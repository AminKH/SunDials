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Khiabani\Documents\Sundials\"/>
    </mc:Choice>
  </mc:AlternateContent>
  <xr:revisionPtr revIDLastSave="0" documentId="13_ncr:1_{E38641BA-CB69-495E-8692-1D0F76BFFEAD}" xr6:coauthVersionLast="47" xr6:coauthVersionMax="47" xr10:uidLastSave="{00000000-0000-0000-0000-000000000000}"/>
  <bookViews>
    <workbookView xWindow="1815" yWindow="1455" windowWidth="16335" windowHeight="9720" xr2:uid="{54216032-FD36-4E36-8E0B-D8CA01283E68}"/>
  </bookViews>
  <sheets>
    <sheet name="Enter" sheetId="13" r:id="rId1"/>
    <sheet name="EquSol" sheetId="14" r:id="rId2"/>
    <sheet name="HourLines" sheetId="21" r:id="rId3"/>
    <sheet name="Average" sheetId="27" r:id="rId4"/>
    <sheet name="Equatorial" sheetId="7" r:id="rId5"/>
    <sheet name="Polar" sheetId="30" r:id="rId6"/>
    <sheet name="Horizontal" sheetId="8" r:id="rId7"/>
    <sheet name="Vertical" sheetId="9" r:id="rId8"/>
    <sheet name="General" sheetId="28" r:id="rId9"/>
    <sheet name="Bifilar" sheetId="23" r:id="rId10"/>
    <sheet name="VectorDial" sheetId="11" r:id="rId11"/>
    <sheet name="V_Polar" sheetId="29" r:id="rId12"/>
    <sheet name="V_Vertical" sheetId="19" r:id="rId13"/>
    <sheet name="V_Equatorial" sheetId="20" r:id="rId14"/>
    <sheet name="V_General" sheetId="31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1" l="1"/>
  <c r="A2" i="20"/>
  <c r="A2" i="29"/>
  <c r="A2" i="30" l="1"/>
  <c r="N101" i="21"/>
  <c r="D101" i="21"/>
  <c r="E101" i="21"/>
  <c r="F101" i="21"/>
  <c r="G101" i="21"/>
  <c r="H101" i="21"/>
  <c r="I101" i="21"/>
  <c r="J101" i="21"/>
  <c r="K101" i="21"/>
  <c r="L101" i="21"/>
  <c r="M101" i="21"/>
  <c r="C101" i="21"/>
  <c r="C100" i="21"/>
  <c r="D100" i="21"/>
  <c r="E100" i="21"/>
  <c r="F100" i="21"/>
  <c r="G100" i="21"/>
  <c r="H100" i="21"/>
  <c r="I100" i="21"/>
  <c r="J100" i="21"/>
  <c r="K100" i="21"/>
  <c r="L100" i="21"/>
  <c r="M100" i="21"/>
  <c r="N100" i="21"/>
  <c r="D93" i="21"/>
  <c r="E93" i="21"/>
  <c r="F93" i="21"/>
  <c r="G93" i="21"/>
  <c r="H93" i="21"/>
  <c r="I93" i="21"/>
  <c r="J93" i="21"/>
  <c r="K93" i="21"/>
  <c r="L93" i="21"/>
  <c r="M93" i="21"/>
  <c r="N93" i="21"/>
  <c r="O93" i="21"/>
  <c r="P93" i="21"/>
  <c r="Q93" i="21"/>
  <c r="D94" i="21"/>
  <c r="E94" i="21"/>
  <c r="F94" i="21"/>
  <c r="G94" i="21"/>
  <c r="H94" i="21"/>
  <c r="I94" i="21"/>
  <c r="J94" i="21"/>
  <c r="K94" i="21"/>
  <c r="L94" i="21"/>
  <c r="M94" i="21"/>
  <c r="N94" i="21"/>
  <c r="O94" i="21"/>
  <c r="P94" i="21"/>
  <c r="Q94" i="21"/>
  <c r="C94" i="21"/>
  <c r="C93" i="21"/>
  <c r="F92" i="21"/>
  <c r="E90" i="21"/>
  <c r="F90" i="21"/>
  <c r="G90" i="21"/>
  <c r="H90" i="21"/>
  <c r="I90" i="21"/>
  <c r="J90" i="21"/>
  <c r="K90" i="21"/>
  <c r="L90" i="21"/>
  <c r="M90" i="21"/>
  <c r="N90" i="21"/>
  <c r="O90" i="21"/>
  <c r="P90" i="21"/>
  <c r="Q90" i="21"/>
  <c r="E91" i="21"/>
  <c r="F91" i="21"/>
  <c r="G91" i="21"/>
  <c r="H91" i="21"/>
  <c r="I91" i="21"/>
  <c r="J91" i="21"/>
  <c r="K91" i="21"/>
  <c r="L91" i="21"/>
  <c r="M91" i="21"/>
  <c r="N91" i="21"/>
  <c r="O91" i="21"/>
  <c r="P91" i="21"/>
  <c r="Q91" i="21"/>
  <c r="C86" i="21"/>
  <c r="F1" i="14" l="1"/>
  <c r="G3" i="11" l="1"/>
  <c r="A2" i="28"/>
  <c r="D60" i="21"/>
  <c r="E60" i="21"/>
  <c r="F60" i="21"/>
  <c r="G60" i="21"/>
  <c r="H60" i="21"/>
  <c r="I60" i="21"/>
  <c r="J60" i="21"/>
  <c r="K60" i="21"/>
  <c r="L60" i="21"/>
  <c r="M60" i="21"/>
  <c r="N60" i="21"/>
  <c r="O60" i="21"/>
  <c r="C60" i="21"/>
  <c r="J56" i="21"/>
  <c r="D51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C42" i="21"/>
  <c r="D33" i="21"/>
  <c r="E18" i="21"/>
  <c r="D13" i="21"/>
  <c r="E33" i="21" l="1"/>
  <c r="E51" i="21"/>
  <c r="E13" i="21"/>
  <c r="D8" i="27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7" i="27"/>
  <c r="F5" i="27"/>
  <c r="G5" i="27" s="1"/>
  <c r="H5" i="27" s="1"/>
  <c r="I5" i="27" s="1"/>
  <c r="J5" i="27" s="1"/>
  <c r="K5" i="27" s="1"/>
  <c r="L5" i="27" s="1"/>
  <c r="M5" i="27" s="1"/>
  <c r="N5" i="27" s="1"/>
  <c r="O5" i="27" s="1"/>
  <c r="P5" i="27" s="1"/>
  <c r="K2" i="27"/>
  <c r="B3" i="27"/>
  <c r="B4" i="27"/>
  <c r="B5" i="27"/>
  <c r="B6" i="27"/>
  <c r="B7" i="27"/>
  <c r="B8" i="27"/>
  <c r="B9" i="27"/>
  <c r="B2" i="27"/>
  <c r="A2" i="27" a="1"/>
  <c r="A2" i="27" s="1"/>
  <c r="A2" i="23"/>
  <c r="F33" i="21" l="1"/>
  <c r="F51" i="21"/>
  <c r="F13" i="21"/>
  <c r="G33" i="21" l="1"/>
  <c r="G51" i="21"/>
  <c r="G13" i="21"/>
  <c r="G83" i="21"/>
  <c r="E83" i="21"/>
  <c r="E76" i="21"/>
  <c r="D71" i="21"/>
  <c r="J38" i="21"/>
  <c r="E62" i="21"/>
  <c r="E44" i="21"/>
  <c r="C2" i="21" a="1"/>
  <c r="A2" i="9"/>
  <c r="A2" i="8"/>
  <c r="A2" i="7"/>
  <c r="J3" i="11"/>
  <c r="I3" i="11"/>
  <c r="H3" i="11"/>
  <c r="E4" i="21" l="1"/>
  <c r="D38" i="21"/>
  <c r="H83" i="21"/>
  <c r="I83" i="21" s="1"/>
  <c r="H33" i="21"/>
  <c r="E38" i="21"/>
  <c r="C27" i="21"/>
  <c r="D27" i="21" s="1"/>
  <c r="D56" i="21"/>
  <c r="E56" i="21" s="1"/>
  <c r="C23" i="21"/>
  <c r="D23" i="21" s="1"/>
  <c r="H51" i="21"/>
  <c r="H13" i="21"/>
  <c r="C2" i="21"/>
  <c r="D7" i="21"/>
  <c r="C8" i="21"/>
  <c r="E3" i="21"/>
  <c r="F3" i="11"/>
  <c r="A2" i="19" s="1"/>
  <c r="I33" i="21" l="1"/>
  <c r="E57" i="21"/>
  <c r="J57" i="21"/>
  <c r="E39" i="21"/>
  <c r="I51" i="21"/>
  <c r="J39" i="21"/>
  <c r="J33" i="21"/>
  <c r="J34" i="21" s="1"/>
  <c r="I13" i="21"/>
  <c r="H14" i="21" s="1"/>
  <c r="E8" i="21"/>
  <c r="K76" i="21"/>
  <c r="J77" i="21" s="1"/>
  <c r="C7" i="21"/>
  <c r="E7" i="21" s="1"/>
  <c r="G4" i="21"/>
  <c r="F4" i="21"/>
  <c r="J83" i="21"/>
  <c r="H84" i="21" s="1"/>
  <c r="F71" i="21"/>
  <c r="M62" i="21"/>
  <c r="M44" i="21"/>
  <c r="I62" i="21"/>
  <c r="E1" i="14"/>
  <c r="E3" i="14"/>
  <c r="D3" i="14"/>
  <c r="C3" i="14"/>
  <c r="B3" i="14"/>
  <c r="C1" i="14"/>
  <c r="C7" i="13"/>
  <c r="D11" i="13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F9" i="13"/>
  <c r="G9" i="13" s="1"/>
  <c r="H9" i="13" s="1"/>
  <c r="I9" i="13" s="1"/>
  <c r="J9" i="13" s="1"/>
  <c r="K9" i="13" s="1"/>
  <c r="L9" i="13" s="1"/>
  <c r="M9" i="13" s="1"/>
  <c r="N9" i="13" s="1"/>
  <c r="O9" i="13" s="1"/>
  <c r="P9" i="13" s="1"/>
  <c r="F89" i="21" l="1"/>
  <c r="F86" i="21"/>
  <c r="I84" i="21"/>
  <c r="D84" i="21"/>
  <c r="F84" i="21"/>
  <c r="J84" i="21"/>
  <c r="C84" i="21"/>
  <c r="G84" i="21"/>
  <c r="E84" i="21"/>
  <c r="C52" i="21"/>
  <c r="I52" i="21"/>
  <c r="D52" i="21"/>
  <c r="E52" i="21"/>
  <c r="F52" i="21"/>
  <c r="G52" i="21"/>
  <c r="H52" i="21"/>
  <c r="I14" i="21"/>
  <c r="C14" i="21"/>
  <c r="D14" i="21"/>
  <c r="E14" i="21"/>
  <c r="F14" i="21"/>
  <c r="G14" i="21"/>
  <c r="C34" i="21"/>
  <c r="I34" i="21"/>
  <c r="D34" i="21"/>
  <c r="E34" i="21"/>
  <c r="F34" i="21"/>
  <c r="G34" i="21"/>
  <c r="H34" i="21"/>
  <c r="J51" i="21"/>
  <c r="J52" i="21" s="1"/>
  <c r="K33" i="21"/>
  <c r="K34" i="21" s="1"/>
  <c r="J13" i="21"/>
  <c r="J14" i="21" s="1"/>
  <c r="D77" i="21"/>
  <c r="K83" i="21"/>
  <c r="K84" i="21" s="1"/>
  <c r="G71" i="21"/>
  <c r="K51" i="21" l="1"/>
  <c r="K52" i="21" s="1"/>
  <c r="L33" i="21"/>
  <c r="L34" i="21" s="1"/>
  <c r="K13" i="21"/>
  <c r="K14" i="21" s="1"/>
  <c r="E99" i="21"/>
  <c r="I99" i="21"/>
  <c r="M99" i="21"/>
  <c r="L99" i="21"/>
  <c r="F99" i="21"/>
  <c r="J99" i="21"/>
  <c r="N99" i="21"/>
  <c r="D99" i="21"/>
  <c r="G99" i="21"/>
  <c r="K99" i="21"/>
  <c r="C99" i="21"/>
  <c r="H99" i="21"/>
  <c r="L83" i="21"/>
  <c r="L84" i="21" s="1"/>
  <c r="H71" i="21"/>
  <c r="L51" i="21" l="1"/>
  <c r="L52" i="21" s="1"/>
  <c r="M33" i="21"/>
  <c r="M34" i="21" s="1"/>
  <c r="L13" i="21"/>
  <c r="L14" i="21" s="1"/>
  <c r="M83" i="21"/>
  <c r="M84" i="21" s="1"/>
  <c r="I71" i="21"/>
  <c r="E72" i="21" l="1"/>
  <c r="C72" i="21"/>
  <c r="I72" i="21"/>
  <c r="D72" i="21"/>
  <c r="F72" i="21"/>
  <c r="G72" i="21"/>
  <c r="H72" i="21"/>
  <c r="L35" i="21"/>
  <c r="L40" i="21" s="1"/>
  <c r="K54" i="21"/>
  <c r="K55" i="21" s="1"/>
  <c r="K53" i="21"/>
  <c r="M51" i="21"/>
  <c r="M52" i="21" s="1"/>
  <c r="L36" i="21"/>
  <c r="L37" i="21" s="1"/>
  <c r="N33" i="21"/>
  <c r="N34" i="21" s="1"/>
  <c r="K16" i="21"/>
  <c r="K17" i="21" s="1"/>
  <c r="K29" i="21" s="1"/>
  <c r="M13" i="21"/>
  <c r="M14" i="21" s="1"/>
  <c r="C85" i="21"/>
  <c r="D85" i="21"/>
  <c r="F85" i="21"/>
  <c r="F88" i="21" s="1"/>
  <c r="E85" i="21"/>
  <c r="E88" i="21" s="1"/>
  <c r="H85" i="21"/>
  <c r="H88" i="21" s="1"/>
  <c r="G85" i="21"/>
  <c r="G88" i="21" s="1"/>
  <c r="I85" i="21"/>
  <c r="I88" i="21" s="1"/>
  <c r="J85" i="21"/>
  <c r="J88" i="21" s="1"/>
  <c r="K85" i="21"/>
  <c r="K88" i="21" s="1"/>
  <c r="L85" i="21"/>
  <c r="L88" i="21" s="1"/>
  <c r="M85" i="21"/>
  <c r="M88" i="21" s="1"/>
  <c r="N83" i="21"/>
  <c r="N84" i="21" s="1"/>
  <c r="J71" i="21"/>
  <c r="J72" i="21" s="1"/>
  <c r="C88" i="21" l="1"/>
  <c r="C91" i="21"/>
  <c r="C90" i="21"/>
  <c r="D88" i="21"/>
  <c r="D90" i="21"/>
  <c r="D91" i="21"/>
  <c r="K58" i="21"/>
  <c r="K63" i="21"/>
  <c r="K65" i="21"/>
  <c r="K59" i="21"/>
  <c r="K64" i="21"/>
  <c r="E53" i="21"/>
  <c r="E54" i="21"/>
  <c r="E55" i="21" s="1"/>
  <c r="H54" i="21"/>
  <c r="H55" i="21" s="1"/>
  <c r="H53" i="21"/>
  <c r="D54" i="21"/>
  <c r="D55" i="21" s="1"/>
  <c r="D53" i="21"/>
  <c r="G53" i="21"/>
  <c r="G54" i="21"/>
  <c r="G55" i="21" s="1"/>
  <c r="C54" i="21"/>
  <c r="C55" i="21" s="1"/>
  <c r="C53" i="21"/>
  <c r="I53" i="21"/>
  <c r="I54" i="21"/>
  <c r="I55" i="21" s="1"/>
  <c r="J53" i="21"/>
  <c r="J54" i="21"/>
  <c r="J55" i="21" s="1"/>
  <c r="F53" i="21"/>
  <c r="F54" i="21"/>
  <c r="F55" i="21" s="1"/>
  <c r="L54" i="21"/>
  <c r="L55" i="21" s="1"/>
  <c r="L53" i="21"/>
  <c r="N51" i="21"/>
  <c r="N52" i="21" s="1"/>
  <c r="K15" i="21"/>
  <c r="K28" i="21" s="1"/>
  <c r="K20" i="21"/>
  <c r="K25" i="21"/>
  <c r="F36" i="21"/>
  <c r="F37" i="21" s="1"/>
  <c r="F35" i="21"/>
  <c r="F40" i="21" s="1"/>
  <c r="L47" i="21"/>
  <c r="L45" i="21"/>
  <c r="I35" i="21"/>
  <c r="I40" i="21" s="1"/>
  <c r="I36" i="21"/>
  <c r="I37" i="21" s="1"/>
  <c r="D36" i="21"/>
  <c r="D37" i="21" s="1"/>
  <c r="D35" i="21"/>
  <c r="D40" i="21" s="1"/>
  <c r="J36" i="21"/>
  <c r="J37" i="21" s="1"/>
  <c r="J35" i="21"/>
  <c r="J40" i="21" s="1"/>
  <c r="K19" i="21"/>
  <c r="L46" i="21"/>
  <c r="L41" i="21"/>
  <c r="H35" i="21"/>
  <c r="H40" i="21" s="1"/>
  <c r="H36" i="21"/>
  <c r="H37" i="21" s="1"/>
  <c r="E35" i="21"/>
  <c r="E40" i="21" s="1"/>
  <c r="E36" i="21"/>
  <c r="E37" i="21" s="1"/>
  <c r="K35" i="21"/>
  <c r="K40" i="21" s="1"/>
  <c r="K36" i="21"/>
  <c r="K37" i="21" s="1"/>
  <c r="G36" i="21"/>
  <c r="G37" i="21" s="1"/>
  <c r="G35" i="21"/>
  <c r="G40" i="21" s="1"/>
  <c r="C35" i="21"/>
  <c r="C40" i="21" s="1"/>
  <c r="C36" i="21"/>
  <c r="C37" i="21" s="1"/>
  <c r="O33" i="21"/>
  <c r="O34" i="21" s="1"/>
  <c r="M35" i="21"/>
  <c r="M40" i="21" s="1"/>
  <c r="M36" i="21"/>
  <c r="M37" i="21" s="1"/>
  <c r="J15" i="21"/>
  <c r="J28" i="21" s="1"/>
  <c r="J16" i="21"/>
  <c r="J17" i="21" s="1"/>
  <c r="J29" i="21" s="1"/>
  <c r="F15" i="21"/>
  <c r="F28" i="21" s="1"/>
  <c r="F16" i="21"/>
  <c r="F17" i="21" s="1"/>
  <c r="F29" i="21" s="1"/>
  <c r="I15" i="21"/>
  <c r="I28" i="21" s="1"/>
  <c r="I16" i="21"/>
  <c r="I17" i="21" s="1"/>
  <c r="I29" i="21" s="1"/>
  <c r="E16" i="21"/>
  <c r="E17" i="21" s="1"/>
  <c r="E29" i="21" s="1"/>
  <c r="E15" i="21"/>
  <c r="E28" i="21" s="1"/>
  <c r="H16" i="21"/>
  <c r="H17" i="21" s="1"/>
  <c r="H29" i="21" s="1"/>
  <c r="H15" i="21"/>
  <c r="H28" i="21" s="1"/>
  <c r="D16" i="21"/>
  <c r="D17" i="21" s="1"/>
  <c r="D29" i="21" s="1"/>
  <c r="D15" i="21"/>
  <c r="G16" i="21"/>
  <c r="G17" i="21" s="1"/>
  <c r="G29" i="21" s="1"/>
  <c r="G15" i="21"/>
  <c r="G28" i="21" s="1"/>
  <c r="C16" i="21"/>
  <c r="C17" i="21" s="1"/>
  <c r="C29" i="21" s="1"/>
  <c r="C15" i="21"/>
  <c r="N13" i="21"/>
  <c r="N14" i="21" s="1"/>
  <c r="L16" i="21"/>
  <c r="L17" i="21" s="1"/>
  <c r="L29" i="21" s="1"/>
  <c r="L15" i="21"/>
  <c r="L28" i="21" s="1"/>
  <c r="C73" i="21"/>
  <c r="C78" i="21" s="1"/>
  <c r="C74" i="21"/>
  <c r="C75" i="21" s="1"/>
  <c r="C79" i="21" s="1"/>
  <c r="I73" i="21"/>
  <c r="I78" i="21" s="1"/>
  <c r="I74" i="21"/>
  <c r="I75" i="21" s="1"/>
  <c r="I79" i="21" s="1"/>
  <c r="G73" i="21"/>
  <c r="G78" i="21" s="1"/>
  <c r="G74" i="21"/>
  <c r="G75" i="21" s="1"/>
  <c r="G79" i="21" s="1"/>
  <c r="E73" i="21"/>
  <c r="E78" i="21" s="1"/>
  <c r="E74" i="21"/>
  <c r="E75" i="21" s="1"/>
  <c r="E79" i="21" s="1"/>
  <c r="H73" i="21"/>
  <c r="H78" i="21" s="1"/>
  <c r="H74" i="21"/>
  <c r="H75" i="21" s="1"/>
  <c r="H79" i="21" s="1"/>
  <c r="F73" i="21"/>
  <c r="F78" i="21" s="1"/>
  <c r="F74" i="21"/>
  <c r="F75" i="21" s="1"/>
  <c r="F79" i="21" s="1"/>
  <c r="D73" i="21"/>
  <c r="D78" i="21" s="1"/>
  <c r="D74" i="21"/>
  <c r="D75" i="21" s="1"/>
  <c r="D79" i="21" s="1"/>
  <c r="I87" i="21"/>
  <c r="H87" i="21"/>
  <c r="K87" i="21"/>
  <c r="C87" i="21"/>
  <c r="J87" i="21"/>
  <c r="F87" i="21"/>
  <c r="D87" i="21"/>
  <c r="M87" i="21"/>
  <c r="E87" i="21"/>
  <c r="L87" i="21"/>
  <c r="G87" i="21"/>
  <c r="N85" i="21"/>
  <c r="N88" i="21" s="1"/>
  <c r="O83" i="21"/>
  <c r="O84" i="21" s="1"/>
  <c r="K71" i="21"/>
  <c r="K72" i="21" s="1"/>
  <c r="K24" i="21" l="1"/>
  <c r="D19" i="21"/>
  <c r="D28" i="21"/>
  <c r="C19" i="21"/>
  <c r="C28" i="21"/>
  <c r="F58" i="21"/>
  <c r="F63" i="21"/>
  <c r="F65" i="21"/>
  <c r="H59" i="21"/>
  <c r="H64" i="21"/>
  <c r="L58" i="21"/>
  <c r="L63" i="21"/>
  <c r="L65" i="21"/>
  <c r="J59" i="21"/>
  <c r="J64" i="21"/>
  <c r="C58" i="21"/>
  <c r="C65" i="21"/>
  <c r="C63" i="21"/>
  <c r="D58" i="21"/>
  <c r="D63" i="21"/>
  <c r="D65" i="21"/>
  <c r="E59" i="21"/>
  <c r="E64" i="21"/>
  <c r="G58" i="21"/>
  <c r="G63" i="21"/>
  <c r="G65" i="21"/>
  <c r="L59" i="21"/>
  <c r="L64" i="21"/>
  <c r="J58" i="21"/>
  <c r="J63" i="21"/>
  <c r="J65" i="21"/>
  <c r="C59" i="21"/>
  <c r="C64" i="21"/>
  <c r="D59" i="21"/>
  <c r="D64" i="21"/>
  <c r="E58" i="21"/>
  <c r="E63" i="21"/>
  <c r="E65" i="21"/>
  <c r="I58" i="21"/>
  <c r="I63" i="21"/>
  <c r="I65" i="21"/>
  <c r="F59" i="21"/>
  <c r="F64" i="21"/>
  <c r="I59" i="21"/>
  <c r="I64" i="21"/>
  <c r="G59" i="21"/>
  <c r="G64" i="21"/>
  <c r="H58" i="21"/>
  <c r="H63" i="21"/>
  <c r="H65" i="21"/>
  <c r="O51" i="21"/>
  <c r="O52" i="21" s="1"/>
  <c r="M53" i="21"/>
  <c r="M54" i="21"/>
  <c r="M55" i="21" s="1"/>
  <c r="F19" i="21"/>
  <c r="F24" i="21"/>
  <c r="G46" i="21"/>
  <c r="G41" i="21"/>
  <c r="J41" i="21"/>
  <c r="J46" i="21"/>
  <c r="I47" i="21"/>
  <c r="I45" i="21"/>
  <c r="F47" i="21"/>
  <c r="F45" i="21"/>
  <c r="L19" i="21"/>
  <c r="L24" i="21"/>
  <c r="C24" i="21"/>
  <c r="H19" i="21"/>
  <c r="H24" i="21"/>
  <c r="I20" i="21"/>
  <c r="I25" i="21"/>
  <c r="J20" i="21"/>
  <c r="J25" i="21"/>
  <c r="M46" i="21"/>
  <c r="M41" i="21"/>
  <c r="C41" i="21"/>
  <c r="C46" i="21"/>
  <c r="K41" i="21"/>
  <c r="K46" i="21"/>
  <c r="H46" i="21"/>
  <c r="H41" i="21"/>
  <c r="D47" i="21"/>
  <c r="D45" i="21"/>
  <c r="F41" i="21"/>
  <c r="F46" i="21"/>
  <c r="G20" i="21"/>
  <c r="G25" i="21"/>
  <c r="D20" i="21"/>
  <c r="D25" i="21"/>
  <c r="E20" i="21"/>
  <c r="E25" i="21"/>
  <c r="E47" i="21"/>
  <c r="E45" i="21"/>
  <c r="L20" i="21"/>
  <c r="L25" i="21"/>
  <c r="C20" i="21"/>
  <c r="C25" i="21"/>
  <c r="H20" i="21"/>
  <c r="H25" i="21"/>
  <c r="I19" i="21"/>
  <c r="I24" i="21"/>
  <c r="J19" i="21"/>
  <c r="J24" i="21"/>
  <c r="M47" i="21"/>
  <c r="M45" i="21"/>
  <c r="C47" i="21"/>
  <c r="C45" i="21"/>
  <c r="K47" i="21"/>
  <c r="K45" i="21"/>
  <c r="H47" i="21"/>
  <c r="H45" i="21"/>
  <c r="D41" i="21"/>
  <c r="D46" i="21"/>
  <c r="G19" i="21"/>
  <c r="G24" i="21"/>
  <c r="D24" i="21"/>
  <c r="E19" i="21"/>
  <c r="E24" i="21"/>
  <c r="F20" i="21"/>
  <c r="F25" i="21"/>
  <c r="G47" i="21"/>
  <c r="G45" i="21"/>
  <c r="E41" i="21"/>
  <c r="E46" i="21"/>
  <c r="J47" i="21"/>
  <c r="J45" i="21"/>
  <c r="I46" i="21"/>
  <c r="I41" i="21"/>
  <c r="O36" i="21"/>
  <c r="O37" i="21" s="1"/>
  <c r="O35" i="21"/>
  <c r="O40" i="21" s="1"/>
  <c r="N36" i="21"/>
  <c r="N37" i="21" s="1"/>
  <c r="N35" i="21"/>
  <c r="N40" i="21" s="1"/>
  <c r="O13" i="21"/>
  <c r="O14" i="21" s="1"/>
  <c r="M15" i="21"/>
  <c r="M28" i="21" s="1"/>
  <c r="M16" i="21"/>
  <c r="M17" i="21" s="1"/>
  <c r="M29" i="21" s="1"/>
  <c r="J73" i="21"/>
  <c r="J78" i="21" s="1"/>
  <c r="J74" i="21"/>
  <c r="J75" i="21" s="1"/>
  <c r="J79" i="21" s="1"/>
  <c r="N87" i="21"/>
  <c r="O85" i="21"/>
  <c r="O88" i="21" s="1"/>
  <c r="P83" i="21"/>
  <c r="P84" i="21" s="1"/>
  <c r="L71" i="21"/>
  <c r="L72" i="21" s="1"/>
  <c r="M58" i="21" l="1"/>
  <c r="M63" i="21"/>
  <c r="M65" i="21"/>
  <c r="M59" i="21"/>
  <c r="M64" i="21"/>
  <c r="O53" i="21"/>
  <c r="O54" i="21"/>
  <c r="O55" i="21" s="1"/>
  <c r="N54" i="21"/>
  <c r="N55" i="21" s="1"/>
  <c r="N53" i="21"/>
  <c r="M19" i="21"/>
  <c r="M24" i="21"/>
  <c r="O41" i="21"/>
  <c r="O46" i="21"/>
  <c r="O47" i="21"/>
  <c r="O45" i="21"/>
  <c r="N47" i="21"/>
  <c r="N45" i="21"/>
  <c r="M20" i="21"/>
  <c r="M25" i="21"/>
  <c r="N46" i="21"/>
  <c r="N41" i="21"/>
  <c r="O16" i="21"/>
  <c r="O17" i="21" s="1"/>
  <c r="O29" i="21" s="1"/>
  <c r="N15" i="21"/>
  <c r="N28" i="21" s="1"/>
  <c r="N16" i="21"/>
  <c r="N17" i="21" s="1"/>
  <c r="N29" i="21" s="1"/>
  <c r="K73" i="21"/>
  <c r="K78" i="21" s="1"/>
  <c r="K74" i="21"/>
  <c r="K75" i="21" s="1"/>
  <c r="K79" i="21" s="1"/>
  <c r="O87" i="21"/>
  <c r="P85" i="21"/>
  <c r="P88" i="21" s="1"/>
  <c r="Q83" i="21"/>
  <c r="M71" i="21"/>
  <c r="M72" i="21" s="1"/>
  <c r="Q84" i="21" l="1"/>
  <c r="Q85" i="21" s="1"/>
  <c r="Q88" i="21" s="1"/>
  <c r="N59" i="21"/>
  <c r="N64" i="21"/>
  <c r="O59" i="21"/>
  <c r="O64" i="21"/>
  <c r="O58" i="21"/>
  <c r="O63" i="21"/>
  <c r="O65" i="21"/>
  <c r="N58" i="21"/>
  <c r="N63" i="21"/>
  <c r="N65" i="21"/>
  <c r="N20" i="21"/>
  <c r="N25" i="21"/>
  <c r="N19" i="21"/>
  <c r="N24" i="21"/>
  <c r="O20" i="21"/>
  <c r="O25" i="21"/>
  <c r="O15" i="21"/>
  <c r="O28" i="21" s="1"/>
  <c r="L73" i="21"/>
  <c r="L78" i="21" s="1"/>
  <c r="L74" i="21"/>
  <c r="L75" i="21" s="1"/>
  <c r="L79" i="21" s="1"/>
  <c r="P87" i="21"/>
  <c r="N71" i="21"/>
  <c r="N72" i="21" s="1"/>
  <c r="Q139" i="21" l="1"/>
  <c r="Q140" i="21" s="1"/>
  <c r="Q138" i="21"/>
  <c r="Q87" i="21"/>
  <c r="O19" i="21"/>
  <c r="O24" i="21"/>
  <c r="M73" i="21"/>
  <c r="M78" i="21" s="1"/>
  <c r="M74" i="21"/>
  <c r="M75" i="21" s="1"/>
  <c r="M79" i="21" s="1"/>
  <c r="O71" i="21"/>
  <c r="O72" i="21" s="1"/>
  <c r="N73" i="21" l="1"/>
  <c r="N78" i="21" s="1"/>
  <c r="N74" i="21"/>
  <c r="N75" i="21" s="1"/>
  <c r="N79" i="21" s="1"/>
  <c r="O73" i="21"/>
  <c r="O78" i="21" s="1"/>
  <c r="O74" i="21"/>
  <c r="O75" i="21" s="1"/>
  <c r="O79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<sst xmlns="http://schemas.openxmlformats.org/spreadsheetml/2006/main" count="1099" uniqueCount="834">
  <si>
    <t>Day</t>
  </si>
  <si>
    <t>mBar</t>
  </si>
  <si>
    <r>
      <t>C</t>
    </r>
    <r>
      <rPr>
        <vertAlign val="superscript"/>
        <sz val="11"/>
        <color theme="1"/>
        <rFont val="Calibri"/>
        <family val="2"/>
        <scheme val="minor"/>
      </rPr>
      <t>o</t>
    </r>
  </si>
  <si>
    <t>1400/12/29</t>
  </si>
  <si>
    <t>θ</t>
  </si>
  <si>
    <t>ε</t>
  </si>
  <si>
    <r>
      <rPr>
        <sz val="11"/>
        <color theme="1"/>
        <rFont val="Symbol"/>
        <family val="1"/>
        <charset val="2"/>
      </rPr>
      <t>p</t>
    </r>
    <r>
      <rPr>
        <sz val="11"/>
        <color theme="1"/>
        <rFont val="Calibri"/>
        <family val="2"/>
        <scheme val="minor"/>
      </rPr>
      <t>/2-φ</t>
    </r>
  </si>
  <si>
    <t>b</t>
  </si>
  <si>
    <t>r</t>
  </si>
  <si>
    <t>φ</t>
  </si>
  <si>
    <t>l</t>
  </si>
  <si>
    <t>e</t>
  </si>
  <si>
    <t>ye</t>
  </si>
  <si>
    <t>x=xe</t>
  </si>
  <si>
    <t>-10:39:44</t>
  </si>
  <si>
    <t>0:0:0</t>
  </si>
  <si>
    <t>12:8:7</t>
  </si>
  <si>
    <t>11:48:4</t>
  </si>
  <si>
    <t>12:10:6</t>
  </si>
  <si>
    <t>0:12:6</t>
  </si>
  <si>
    <t>0:35:48</t>
  </si>
  <si>
    <t>0:59:28</t>
  </si>
  <si>
    <t>1:23:6</t>
  </si>
  <si>
    <t>1:46:43</t>
  </si>
  <si>
    <t>2:10:17</t>
  </si>
  <si>
    <t>2:33:48</t>
  </si>
  <si>
    <t>2:57:16</t>
  </si>
  <si>
    <t>3:20:41</t>
  </si>
  <si>
    <t>3:44:1</t>
  </si>
  <si>
    <t>4:7:18</t>
  </si>
  <si>
    <t>4:30:30</t>
  </si>
  <si>
    <t>4:53:37</t>
  </si>
  <si>
    <t>5:16:39</t>
  </si>
  <si>
    <t>5:39:36</t>
  </si>
  <si>
    <t>6:2:26</t>
  </si>
  <si>
    <t>6:25:10</t>
  </si>
  <si>
    <t>6:47:48</t>
  </si>
  <si>
    <t>7:10:18</t>
  </si>
  <si>
    <t>7:32:42</t>
  </si>
  <si>
    <t>7:54:57</t>
  </si>
  <si>
    <t>8:17:5</t>
  </si>
  <si>
    <t>8:39:4</t>
  </si>
  <si>
    <t>9:0:55</t>
  </si>
  <si>
    <t>9:22:37</t>
  </si>
  <si>
    <t>9:44:9</t>
  </si>
  <si>
    <t>10:5:32</t>
  </si>
  <si>
    <t>10:26:44</t>
  </si>
  <si>
    <t>10:47:47</t>
  </si>
  <si>
    <t>11:8:38</t>
  </si>
  <si>
    <t>11:29:19</t>
  </si>
  <si>
    <t>11:49:48</t>
  </si>
  <si>
    <t>12:30:11</t>
  </si>
  <si>
    <t>12:50:5</t>
  </si>
  <si>
    <t>13:9:45</t>
  </si>
  <si>
    <t>13:29:13</t>
  </si>
  <si>
    <t>13:48:27</t>
  </si>
  <si>
    <t>14:7:28</t>
  </si>
  <si>
    <t>14:26:15</t>
  </si>
  <si>
    <t>14:44:47</t>
  </si>
  <si>
    <t>15:3:5</t>
  </si>
  <si>
    <t>15:21:8</t>
  </si>
  <si>
    <t>15:38:55</t>
  </si>
  <si>
    <t>15:56:27</t>
  </si>
  <si>
    <t>16:13:44</t>
  </si>
  <si>
    <t>16:30:44</t>
  </si>
  <si>
    <t>16:47:27</t>
  </si>
  <si>
    <t>17:3:54</t>
  </si>
  <si>
    <t>17:20:4</t>
  </si>
  <si>
    <t>17:35:56</t>
  </si>
  <si>
    <t>17:51:31</t>
  </si>
  <si>
    <t>18:6:47</t>
  </si>
  <si>
    <t>18:21:46</t>
  </si>
  <si>
    <t>18:36:26</t>
  </si>
  <si>
    <t>18:50:47</t>
  </si>
  <si>
    <t>19:4:48</t>
  </si>
  <si>
    <t>19:18:31</t>
  </si>
  <si>
    <t>19:31:54</t>
  </si>
  <si>
    <t>19:44:57</t>
  </si>
  <si>
    <t>19:57:39</t>
  </si>
  <si>
    <t>20:10:2</t>
  </si>
  <si>
    <t>20:22:3</t>
  </si>
  <si>
    <t>20:33:44</t>
  </si>
  <si>
    <t>20:45:3</t>
  </si>
  <si>
    <t>20:56:1</t>
  </si>
  <si>
    <t>21:6:38</t>
  </si>
  <si>
    <t>21:16:52</t>
  </si>
  <si>
    <t>21:26:45</t>
  </si>
  <si>
    <t>21:36:15</t>
  </si>
  <si>
    <t>21:45:23</t>
  </si>
  <si>
    <t>21:54:8</t>
  </si>
  <si>
    <t>22:2:30</t>
  </si>
  <si>
    <t>22:10:29</t>
  </si>
  <si>
    <t>22:18:5</t>
  </si>
  <si>
    <t>22:25:17</t>
  </si>
  <si>
    <t>22:32:6</t>
  </si>
  <si>
    <t>22:38:31</t>
  </si>
  <si>
    <t>22:44:32</t>
  </si>
  <si>
    <t>22:50:10</t>
  </si>
  <si>
    <t>22:55:23</t>
  </si>
  <si>
    <t>23:0:12</t>
  </si>
  <si>
    <t>23:4:37</t>
  </si>
  <si>
    <t>23:8:37</t>
  </si>
  <si>
    <t>23:12:13</t>
  </si>
  <si>
    <t>23:15:25</t>
  </si>
  <si>
    <t>23:18:11</t>
  </si>
  <si>
    <t>23:20:33</t>
  </si>
  <si>
    <t>23:22:31</t>
  </si>
  <si>
    <t>23:24:3</t>
  </si>
  <si>
    <t>23:25:11</t>
  </si>
  <si>
    <t>23:25:54</t>
  </si>
  <si>
    <t>23:26:12</t>
  </si>
  <si>
    <t>23:26:6</t>
  </si>
  <si>
    <t>23:25:34</t>
  </si>
  <si>
    <t>23:24:38</t>
  </si>
  <si>
    <t>23:23:17</t>
  </si>
  <si>
    <t>23:21:31</t>
  </si>
  <si>
    <t>23:19:21</t>
  </si>
  <si>
    <t>23:16:46</t>
  </si>
  <si>
    <t>23:13:47</t>
  </si>
  <si>
    <t>23:10:23</t>
  </si>
  <si>
    <t>23:6:34</t>
  </si>
  <si>
    <t>23:2:22</t>
  </si>
  <si>
    <t>22:57:45</t>
  </si>
  <si>
    <t>22:52:44</t>
  </si>
  <si>
    <t>22:47:20</t>
  </si>
  <si>
    <t>22:41:32</t>
  </si>
  <si>
    <t>22:35:20</t>
  </si>
  <si>
    <t>22:28:44</t>
  </si>
  <si>
    <t>22:21:45</t>
  </si>
  <si>
    <t>22:14:23</t>
  </si>
  <si>
    <t>22:6:38</t>
  </si>
  <si>
    <t>21:58:31</t>
  </si>
  <si>
    <t>21:50:0</t>
  </si>
  <si>
    <t>21:41:8</t>
  </si>
  <si>
    <t>21:31:53</t>
  </si>
  <si>
    <t>21:22:16</t>
  </si>
  <si>
    <t>21:12:17</t>
  </si>
  <si>
    <t>21:1:57</t>
  </si>
  <si>
    <t>20:51:15</t>
  </si>
  <si>
    <t>20:40:13</t>
  </si>
  <si>
    <t>20:28:49</t>
  </si>
  <si>
    <t>20:17:5</t>
  </si>
  <si>
    <t>20:5:1</t>
  </si>
  <si>
    <t>19:52:36</t>
  </si>
  <si>
    <t>19:39:52</t>
  </si>
  <si>
    <t>19:26:48</t>
  </si>
  <si>
    <t>19:13:24</t>
  </si>
  <si>
    <t>18:59:42</t>
  </si>
  <si>
    <t>18:45:41</t>
  </si>
  <si>
    <t>18:31:21</t>
  </si>
  <si>
    <t>18:16:43</t>
  </si>
  <si>
    <t>18:1:48</t>
  </si>
  <si>
    <t>17:46:34</t>
  </si>
  <si>
    <t>17:31:3</t>
  </si>
  <si>
    <t>17:15:15</t>
  </si>
  <si>
    <t>16:59:11</t>
  </si>
  <si>
    <t>16:42:50</t>
  </si>
  <si>
    <t>16:26:13</t>
  </si>
  <si>
    <t>16:9:20</t>
  </si>
  <si>
    <t>15:52:11</t>
  </si>
  <si>
    <t>15:34:47</t>
  </si>
  <si>
    <t>15:17:8</t>
  </si>
  <si>
    <t>14:59:15</t>
  </si>
  <si>
    <t>14:41:7</t>
  </si>
  <si>
    <t>14:22:45</t>
  </si>
  <si>
    <t>14:4:10</t>
  </si>
  <si>
    <t>13:45:21</t>
  </si>
  <si>
    <t>13:26:19</t>
  </si>
  <si>
    <t>13:7:4</t>
  </si>
  <si>
    <t>12:47:37</t>
  </si>
  <si>
    <t>12:27:58</t>
  </si>
  <si>
    <t>11:27:50</t>
  </si>
  <si>
    <t>11:7:26</t>
  </si>
  <si>
    <t>10:46:50</t>
  </si>
  <si>
    <t>10:26:5</t>
  </si>
  <si>
    <t>10:5:10</t>
  </si>
  <si>
    <t>9:44:5</t>
  </si>
  <si>
    <t>9:22:50</t>
  </si>
  <si>
    <t>9:1:27</t>
  </si>
  <si>
    <t>8:39:55</t>
  </si>
  <si>
    <t>8:18:15</t>
  </si>
  <si>
    <t>7:56:27</t>
  </si>
  <si>
    <t>7:34:31</t>
  </si>
  <si>
    <t>7:12:28</t>
  </si>
  <si>
    <t>6:50:18</t>
  </si>
  <si>
    <t>6:28:1</t>
  </si>
  <si>
    <t>6:5:38</t>
  </si>
  <si>
    <t>5:43:9</t>
  </si>
  <si>
    <t>5:20:34</t>
  </si>
  <si>
    <t>4:57:54</t>
  </si>
  <si>
    <t>4:35:8</t>
  </si>
  <si>
    <t>4:12:18</t>
  </si>
  <si>
    <t>3:49:24</t>
  </si>
  <si>
    <t>3:26:25</t>
  </si>
  <si>
    <t>3:3:23</t>
  </si>
  <si>
    <t>2:40:17</t>
  </si>
  <si>
    <t>2:17:8</t>
  </si>
  <si>
    <t>1:53:56</t>
  </si>
  <si>
    <t>1:30:42</t>
  </si>
  <si>
    <t>1:7:26</t>
  </si>
  <si>
    <t>0:44:8</t>
  </si>
  <si>
    <t>0:20:49</t>
  </si>
  <si>
    <t>0:-2:32</t>
  </si>
  <si>
    <t>0:-25:53</t>
  </si>
  <si>
    <t>0:-49:14</t>
  </si>
  <si>
    <t>-1:12:36</t>
  </si>
  <si>
    <t>-1:35:57</t>
  </si>
  <si>
    <t>-1:59:18</t>
  </si>
  <si>
    <t>-2:22:38</t>
  </si>
  <si>
    <t>-2:45:57</t>
  </si>
  <si>
    <t>-3:9:13</t>
  </si>
  <si>
    <t>-3:32:28</t>
  </si>
  <si>
    <t>-3:55:41</t>
  </si>
  <si>
    <t>-4:18:50</t>
  </si>
  <si>
    <t>-4:41:57</t>
  </si>
  <si>
    <t>-5:5:0</t>
  </si>
  <si>
    <t>-5:27:59</t>
  </si>
  <si>
    <t>-5:50:55</t>
  </si>
  <si>
    <t>-6:13:45</t>
  </si>
  <si>
    <t>-6:36:31</t>
  </si>
  <si>
    <t>-6:59:11</t>
  </si>
  <si>
    <t>-7:21:46</t>
  </si>
  <si>
    <t>-7:44:15</t>
  </si>
  <si>
    <t>-8:6:37</t>
  </si>
  <si>
    <t>-8:28:53</t>
  </si>
  <si>
    <t>-8:51:2</t>
  </si>
  <si>
    <t>-9:13:3</t>
  </si>
  <si>
    <t>-9:34:56</t>
  </si>
  <si>
    <t>-9:56:40</t>
  </si>
  <si>
    <t>-10:18:17</t>
  </si>
  <si>
    <t>-11:1:1</t>
  </si>
  <si>
    <t>-11:22:9</t>
  </si>
  <si>
    <t>-11:43:6</t>
  </si>
  <si>
    <t>-12:3:53</t>
  </si>
  <si>
    <t>-12:24:29</t>
  </si>
  <si>
    <t>-12:44:53</t>
  </si>
  <si>
    <t>-13:5:6</t>
  </si>
  <si>
    <t>-13:25:6</t>
  </si>
  <si>
    <t>-13:44:54</t>
  </si>
  <si>
    <t>-14:4:28</t>
  </si>
  <si>
    <t>-14:23:49</t>
  </si>
  <si>
    <t>-14:42:57</t>
  </si>
  <si>
    <t>-15:1:50</t>
  </si>
  <si>
    <t>-15:20:28</t>
  </si>
  <si>
    <t>-15:38:51</t>
  </si>
  <si>
    <t>-15:56:59</t>
  </si>
  <si>
    <t>-16:14:51</t>
  </si>
  <si>
    <t>-16:32:26</t>
  </si>
  <si>
    <t>-16:49:45</t>
  </si>
  <si>
    <t>-17:6:47</t>
  </si>
  <si>
    <t>-17:23:31</t>
  </si>
  <si>
    <t>-17:39:57</t>
  </si>
  <si>
    <t>-17:56:5</t>
  </si>
  <si>
    <t>-18:11:54</t>
  </si>
  <si>
    <t>-18:27:25</t>
  </si>
  <si>
    <t>-18:42:35</t>
  </si>
  <si>
    <t>-18:57:26</t>
  </si>
  <si>
    <t>-19:11:57</t>
  </si>
  <si>
    <t>-19:26:7</t>
  </si>
  <si>
    <t>-19:39:56</t>
  </si>
  <si>
    <t>-19:53:24</t>
  </si>
  <si>
    <t>-20:6:30</t>
  </si>
  <si>
    <t>-20:19:14</t>
  </si>
  <si>
    <t>-20:31:35</t>
  </si>
  <si>
    <t>-20:43:34</t>
  </si>
  <si>
    <t>-20:55:9</t>
  </si>
  <si>
    <t>-21:6:21</t>
  </si>
  <si>
    <t>-21:17:9</t>
  </si>
  <si>
    <t>-21:27:33</t>
  </si>
  <si>
    <t>-21:37:33</t>
  </si>
  <si>
    <t>-21:47:8</t>
  </si>
  <si>
    <t>-21:56:18</t>
  </si>
  <si>
    <t>-22:5:3</t>
  </si>
  <si>
    <t>-22:13:22</t>
  </si>
  <si>
    <t>-22:21:15</t>
  </si>
  <si>
    <t>-22:28:43</t>
  </si>
  <si>
    <t>-22:35:44</t>
  </si>
  <si>
    <t>-22:42:18</t>
  </si>
  <si>
    <t>-22:48:26</t>
  </si>
  <si>
    <t>-22:54:7</t>
  </si>
  <si>
    <t>-22:59:20</t>
  </si>
  <si>
    <t>-23:4:7</t>
  </si>
  <si>
    <t>-23:8:26</t>
  </si>
  <si>
    <t>-23:12:17</t>
  </si>
  <si>
    <t>-23:15:41</t>
  </si>
  <si>
    <t>-23:18:37</t>
  </si>
  <si>
    <t>-23:21:5</t>
  </si>
  <si>
    <t>-23:23:4</t>
  </si>
  <si>
    <t>-23:24:36</t>
  </si>
  <si>
    <t>-23:25:40</t>
  </si>
  <si>
    <t>-23:26:15</t>
  </si>
  <si>
    <t>-23:26:22</t>
  </si>
  <si>
    <t>-23:26:1</t>
  </si>
  <si>
    <t>-23:25:11</t>
  </si>
  <si>
    <t>-23:23:54</t>
  </si>
  <si>
    <t>-23:22:8</t>
  </si>
  <si>
    <t>-23:19:53</t>
  </si>
  <si>
    <t>-23:17:11</t>
  </si>
  <si>
    <t>-23:14:1</t>
  </si>
  <si>
    <t>-23:10:23</t>
  </si>
  <si>
    <t>-23:6:16</t>
  </si>
  <si>
    <t>-23:1:43</t>
  </si>
  <si>
    <t>-22:56:41</t>
  </si>
  <si>
    <t>-22:51:12</t>
  </si>
  <si>
    <t>-22:45:16</t>
  </si>
  <si>
    <t>-22:38:53</t>
  </si>
  <si>
    <t>-22:32:3</t>
  </si>
  <si>
    <t>-22:24:46</t>
  </si>
  <si>
    <t>-22:17:2</t>
  </si>
  <si>
    <t>-22:8:52</t>
  </si>
  <si>
    <t>-22:0:17</t>
  </si>
  <si>
    <t>-21:51:15</t>
  </si>
  <si>
    <t>-21:41:48</t>
  </si>
  <si>
    <t>-21:31:56</t>
  </si>
  <si>
    <t>-21:21:38</t>
  </si>
  <si>
    <t>-21:10:56</t>
  </si>
  <si>
    <t>-20:59:50</t>
  </si>
  <si>
    <t>-20:48:19</t>
  </si>
  <si>
    <t>-20:36:25</t>
  </si>
  <si>
    <t>-20:24:7</t>
  </si>
  <si>
    <t>-20:11:27</t>
  </si>
  <si>
    <t>-19:58:23</t>
  </si>
  <si>
    <t>-19:44:57</t>
  </si>
  <si>
    <t>-19:31:9</t>
  </si>
  <si>
    <t>-19:17:0</t>
  </si>
  <si>
    <t>-19:2:29</t>
  </si>
  <si>
    <t>-18:47:37</t>
  </si>
  <si>
    <t>-18:32:24</t>
  </si>
  <si>
    <t>-18:16:52</t>
  </si>
  <si>
    <t>-18:0:59</t>
  </si>
  <si>
    <t>-17:44:47</t>
  </si>
  <si>
    <t>-17:28:17</t>
  </si>
  <si>
    <t>-17:11:27</t>
  </si>
  <si>
    <t>-16:54:20</t>
  </si>
  <si>
    <t>-16:36:54</t>
  </si>
  <si>
    <t>-16:19:12</t>
  </si>
  <si>
    <t>-16:1:12</t>
  </si>
  <si>
    <t>-15:42:56</t>
  </si>
  <si>
    <t>-15:24:23</t>
  </si>
  <si>
    <t>-15:5:35</t>
  </si>
  <si>
    <t>-14:46:32</t>
  </si>
  <si>
    <t>-14:27:14</t>
  </si>
  <si>
    <t>-14:7:41</t>
  </si>
  <si>
    <t>-13:47:54</t>
  </si>
  <si>
    <t>-13:27:54</t>
  </si>
  <si>
    <t>-13:7:40</t>
  </si>
  <si>
    <t>-12:47:14</t>
  </si>
  <si>
    <t>-12:26:35</t>
  </si>
  <si>
    <t>-12:5:44</t>
  </si>
  <si>
    <t>-11:44:42</t>
  </si>
  <si>
    <t>-11:23:29</t>
  </si>
  <si>
    <t>-11:2:4</t>
  </si>
  <si>
    <t>-10:40:30</t>
  </si>
  <si>
    <t>-10:18:45</t>
  </si>
  <si>
    <t>-9:56:51</t>
  </si>
  <si>
    <t>-9:34:48</t>
  </si>
  <si>
    <t>-9:12:37</t>
  </si>
  <si>
    <t>-8:50:17</t>
  </si>
  <si>
    <t>-8:27:49</t>
  </si>
  <si>
    <t>-8:5:14</t>
  </si>
  <si>
    <t>-7:42:31</t>
  </si>
  <si>
    <t>-7:19:42</t>
  </si>
  <si>
    <t>-6:56:47</t>
  </si>
  <si>
    <t>-6:33:46</t>
  </si>
  <si>
    <t>-6:10:39</t>
  </si>
  <si>
    <t>-5:47:27</t>
  </si>
  <si>
    <t>-5:24:11</t>
  </si>
  <si>
    <t>-5:0:50</t>
  </si>
  <si>
    <t>-4:37:25</t>
  </si>
  <si>
    <t>-4:13:57</t>
  </si>
  <si>
    <t>-3:50:25</t>
  </si>
  <si>
    <t>-3:26:51</t>
  </si>
  <si>
    <t>-3:3:14</t>
  </si>
  <si>
    <t>-2:39:35</t>
  </si>
  <si>
    <t>-2:15:55</t>
  </si>
  <si>
    <t>-1:52:13</t>
  </si>
  <si>
    <t>-1:28:30</t>
  </si>
  <si>
    <t>-1:4:47</t>
  </si>
  <si>
    <t>0:-41:3</t>
  </si>
  <si>
    <t>0:-17:20</t>
  </si>
  <si>
    <t>0:0:-18</t>
  </si>
  <si>
    <t xml:space="preserve">Sa = arctan (sin(φ) · tan(Ha )) </t>
  </si>
  <si>
    <t>Sa = arctan (cos(φ) · tan(Ha))</t>
  </si>
  <si>
    <t>90 - φ</t>
  </si>
  <si>
    <r>
      <t>Sa = ATAN(sin(</t>
    </r>
    <r>
      <rPr>
        <sz val="11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 xml:space="preserve">) · tan(Ha )) </t>
    </r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</si>
  <si>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arctan(tan(φ) sin(θ))</t>
    </r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</si>
  <si>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arcsin(sin(φ) cos(θ)</t>
    </r>
  </si>
  <si>
    <t>Sa = ATAN(sin(φ)sin(Ha)/(cos(θ) cos(Ha) + cos(φ) sin(θ)sin(Ha)))</t>
  </si>
  <si>
    <t>Sa = ATAN(cos(φ)sin(Ha)/(cos(θ) cos(Ha) + sin(φ) sin(θ)sin(Ha)))</t>
  </si>
  <si>
    <t>Latitude</t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</si>
  <si>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 sin(θ)/tan(φ))</t>
    </r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</si>
  <si>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arcsin(cos(φ) cos(θ)</t>
    </r>
  </si>
  <si>
    <t>Apparent Declination of Sun, Delta,Degrees</t>
  </si>
  <si>
    <t>Location</t>
  </si>
  <si>
    <t>Longitude</t>
  </si>
  <si>
    <t>Elevation</t>
  </si>
  <si>
    <t>Time Zone</t>
  </si>
  <si>
    <t>Atmospheric Pressure</t>
  </si>
  <si>
    <t>Amospheric Temperature</t>
  </si>
  <si>
    <t>Data Selection</t>
  </si>
  <si>
    <t>Calendar Selection</t>
  </si>
  <si>
    <t>Time Selection</t>
  </si>
  <si>
    <t>Type of Sundial</t>
  </si>
  <si>
    <t>Year</t>
  </si>
  <si>
    <t>Month</t>
  </si>
  <si>
    <t>Style Hight</t>
  </si>
  <si>
    <t>Local and Civil Time Difference</t>
  </si>
  <si>
    <t>Inclination</t>
  </si>
  <si>
    <t>Declination</t>
  </si>
  <si>
    <t>Noon, Local Time</t>
  </si>
  <si>
    <t>Equaton of Time</t>
  </si>
  <si>
    <t>Mean Declination of Sun</t>
  </si>
  <si>
    <t>Elevation of Sun</t>
  </si>
  <si>
    <t>Apparent Declination of Sun</t>
  </si>
  <si>
    <t>Horizontal</t>
  </si>
  <si>
    <t>Equatorial</t>
  </si>
  <si>
    <t>Polar</t>
  </si>
  <si>
    <t>Vertical</t>
  </si>
  <si>
    <t>General</t>
  </si>
  <si>
    <t>Horizontal Bifillar</t>
  </si>
  <si>
    <t>Vertical Bifillar</t>
  </si>
  <si>
    <t>Dial at Local Time</t>
  </si>
  <si>
    <t>Dial at Civil Time</t>
  </si>
  <si>
    <t>Spring Equinox</t>
  </si>
  <si>
    <t>Summer Solitice</t>
  </si>
  <si>
    <t>Autmon  Equinox</t>
  </si>
  <si>
    <t>Winter Solitice</t>
  </si>
  <si>
    <t>Hour</t>
  </si>
  <si>
    <t>Minutes</t>
  </si>
  <si>
    <t>Time</t>
  </si>
  <si>
    <t>Azimuth</t>
  </si>
  <si>
    <t>From Year</t>
  </si>
  <si>
    <t>To Year</t>
  </si>
  <si>
    <t>Solar Time</t>
  </si>
  <si>
    <t>Hour Angle, Radians</t>
  </si>
  <si>
    <t>Hour Angle, Angles</t>
  </si>
  <si>
    <t>Hour Angle, Civil Time, Angles</t>
  </si>
  <si>
    <t>Hour Angle, Civil Time, Radians</t>
  </si>
  <si>
    <r>
      <rPr>
        <b/>
        <sz val="11"/>
        <color theme="1"/>
        <rFont val="Symbol"/>
        <family val="1"/>
        <charset val="2"/>
      </rPr>
      <t>e</t>
    </r>
    <r>
      <rPr>
        <b/>
        <sz val="11"/>
        <color theme="1"/>
        <rFont val="B Nazanin"/>
        <charset val="178"/>
      </rPr>
      <t xml:space="preserve"> </t>
    </r>
    <r>
      <rPr>
        <b/>
        <sz val="11"/>
        <color theme="1"/>
        <rFont val="Calibri"/>
        <family val="2"/>
        <scheme val="minor"/>
      </rPr>
      <t>Equatorial</t>
    </r>
    <r>
      <rPr>
        <b/>
        <sz val="11"/>
        <color theme="1"/>
        <rFont val="Symbol"/>
        <family val="1"/>
        <charset val="2"/>
      </rPr>
      <t xml:space="preserve"> </t>
    </r>
    <r>
      <rPr>
        <b/>
        <sz val="10"/>
        <color theme="1"/>
        <rFont val="Symbol"/>
        <family val="1"/>
        <charset val="2"/>
      </rPr>
      <t>=</t>
    </r>
  </si>
  <si>
    <r>
      <t>e</t>
    </r>
    <r>
      <rPr>
        <b/>
        <sz val="11"/>
        <color theme="1"/>
        <rFont val="Calibri"/>
        <family val="2"/>
        <scheme val="minor"/>
      </rPr>
      <t xml:space="preserve"> Polar</t>
    </r>
    <r>
      <rPr>
        <b/>
        <sz val="11"/>
        <color theme="1"/>
        <rFont val="Symbol"/>
        <family val="1"/>
        <charset val="2"/>
      </rPr>
      <t xml:space="preserve"> =</t>
    </r>
  </si>
  <si>
    <r>
      <t>e</t>
    </r>
    <r>
      <rPr>
        <b/>
        <sz val="11"/>
        <color theme="1"/>
        <rFont val="B Nazanin"/>
        <charset val="178"/>
      </rPr>
      <t xml:space="preserve"> </t>
    </r>
    <r>
      <rPr>
        <b/>
        <sz val="11"/>
        <color theme="1"/>
        <rFont val="Calibri"/>
        <family val="2"/>
        <scheme val="minor"/>
      </rPr>
      <t>Vertical</t>
    </r>
    <r>
      <rPr>
        <b/>
        <sz val="11"/>
        <color theme="1"/>
        <rFont val="Symbol"/>
        <family val="1"/>
        <charset val="2"/>
      </rPr>
      <t xml:space="preserve"> =</t>
    </r>
  </si>
  <si>
    <t>Elevation above sea level</t>
  </si>
  <si>
    <t>Solar Time and Civil Time Difference</t>
  </si>
  <si>
    <t>Radians</t>
  </si>
  <si>
    <t>Sin</t>
  </si>
  <si>
    <t>Cos</t>
  </si>
  <si>
    <t>Shadow Angles, Degrees</t>
  </si>
  <si>
    <t>Solar Time, Shadow Angles</t>
  </si>
  <si>
    <t>Civil Time, Shadow Angles</t>
  </si>
  <si>
    <t>Tehran</t>
  </si>
  <si>
    <t>q</t>
  </si>
  <si>
    <t xml:space="preserve"> Horizontal Plate with rotation about North-South =</t>
  </si>
  <si>
    <t>Rotatin about North-South θ</t>
  </si>
  <si>
    <t>Vertical Facing East</t>
  </si>
  <si>
    <t xml:space="preserve">Rotation about Plumb θ </t>
  </si>
  <si>
    <t>Vertical Facing West</t>
  </si>
  <si>
    <t>Angles Of Style with Plate</t>
  </si>
  <si>
    <t>Distance to Style or Gnomon</t>
  </si>
  <si>
    <t>90  Degree Rotation of plate</t>
  </si>
  <si>
    <t>90  Degree Rotation of  plate</t>
  </si>
  <si>
    <r>
      <t xml:space="preserve">Plate Angle with East-West   </t>
    </r>
    <r>
      <rPr>
        <b/>
        <sz val="11"/>
        <color theme="1"/>
        <rFont val="Symbol"/>
        <family val="1"/>
        <charset val="2"/>
      </rPr>
      <t>e</t>
    </r>
  </si>
  <si>
    <t>Plate Angle with East-West</t>
  </si>
  <si>
    <r>
      <t xml:space="preserve">Rotation of vertical plate about plumb = </t>
    </r>
    <r>
      <rPr>
        <b/>
        <sz val="11"/>
        <color theme="1"/>
        <rFont val="Symbol"/>
        <family val="1"/>
        <charset val="2"/>
      </rPr>
      <t xml:space="preserve"> q</t>
    </r>
    <r>
      <rPr>
        <b/>
        <sz val="11"/>
        <color theme="1"/>
        <rFont val="Calibri"/>
        <family val="2"/>
        <scheme val="minor"/>
      </rPr>
      <t xml:space="preserve">  and rotaion about plate horizon line =  </t>
    </r>
    <r>
      <rPr>
        <b/>
        <sz val="11"/>
        <color theme="1"/>
        <rFont val="Symbol"/>
        <family val="1"/>
        <charset val="2"/>
      </rPr>
      <t>e</t>
    </r>
  </si>
  <si>
    <t>Angle</t>
  </si>
  <si>
    <r>
      <t xml:space="preserve">e </t>
    </r>
    <r>
      <rPr>
        <b/>
        <sz val="10"/>
        <color theme="1"/>
        <rFont val="Calibri"/>
        <family val="2"/>
        <scheme val="minor"/>
      </rPr>
      <t>Horizontal</t>
    </r>
    <r>
      <rPr>
        <b/>
        <sz val="10"/>
        <color theme="1"/>
        <rFont val="Symbol"/>
        <family val="1"/>
        <charset val="2"/>
      </rPr>
      <t xml:space="preserve"> =</t>
    </r>
  </si>
  <si>
    <r>
      <t xml:space="preserve">Vertical Plate with rotation abuot plumb line = </t>
    </r>
    <r>
      <rPr>
        <b/>
        <sz val="11"/>
        <color theme="1"/>
        <rFont val="Symbol"/>
        <family val="1"/>
        <charset val="2"/>
      </rPr>
      <t>q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</si>
  <si>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= ATAN((cos(φ) · sin(θ))/|cos(ε) · sin(φ) − sin(ε) · cos(θ) · cos(φ)|)</t>
    </r>
  </si>
  <si>
    <t>ρ = ASIN(sin(φ) sin(ε) + cos(ε) cos(φ) cos(θ))</t>
  </si>
  <si>
    <t>Sa=  ATAN((sin(ε) cos(θ) sin(φ) + cos(ε) cos(φ) − cot(τ) sin(ε) sin(θ))/(cot(τ) cos(θ) + sin(φ) sin(θ)))</t>
  </si>
  <si>
    <t>Analemmatic Sundial of Style Hight =</t>
  </si>
  <si>
    <t>M =</t>
  </si>
  <si>
    <r>
      <rPr>
        <sz val="11"/>
        <color theme="1"/>
        <rFont val="Symbol"/>
        <family val="1"/>
        <charset val="2"/>
      </rPr>
      <t xml:space="preserve">d </t>
    </r>
    <r>
      <rPr>
        <sz val="11"/>
        <color theme="1"/>
        <rFont val="Calibri"/>
        <family val="2"/>
        <scheme val="minor"/>
      </rPr>
      <t xml:space="preserve">= </t>
    </r>
  </si>
  <si>
    <r>
      <rPr>
        <sz val="11"/>
        <color theme="1"/>
        <rFont val="Symbol"/>
        <family val="1"/>
        <charset val="2"/>
      </rPr>
      <t xml:space="preserve">d </t>
    </r>
    <r>
      <rPr>
        <sz val="11"/>
        <color theme="1"/>
        <rFont val="Calibri"/>
        <family val="2"/>
        <scheme val="minor"/>
      </rPr>
      <t>=</t>
    </r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</si>
  <si>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 xml:space="preserve"> = 0 , d =</t>
    </r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</si>
  <si>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 xml:space="preserve"> = 23.44 , d =</t>
    </r>
  </si>
  <si>
    <t>Sun Delination</t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</si>
  <si>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 xml:space="preserve"> = -23.44 , d =</t>
    </r>
  </si>
  <si>
    <t>23 Septemer</t>
  </si>
  <si>
    <t>Style Length</t>
  </si>
  <si>
    <t>Angle  with Plate</t>
  </si>
  <si>
    <t>Angle with Horizion</t>
  </si>
  <si>
    <t>X0</t>
  </si>
  <si>
    <t>Y0</t>
  </si>
  <si>
    <t>Dial Inclination</t>
  </si>
  <si>
    <t>Dial Declination</t>
  </si>
  <si>
    <t>Horizontal Dial</t>
  </si>
  <si>
    <t>Polar Dial</t>
  </si>
  <si>
    <t xml:space="preserve">Equatorial North </t>
  </si>
  <si>
    <t>Equatorial South</t>
  </si>
  <si>
    <t>Rod1 Hight</t>
  </si>
  <si>
    <t>Rod2 Hight</t>
  </si>
  <si>
    <t>Plate Angle</t>
  </si>
  <si>
    <t>Horizontal Sundial</t>
  </si>
  <si>
    <t>Equatorial Sundial</t>
  </si>
  <si>
    <t>Polar Sundial</t>
  </si>
  <si>
    <t>Vertical Sundial</t>
  </si>
  <si>
    <t>Dial Selection</t>
  </si>
  <si>
    <t>Style Declination</t>
  </si>
  <si>
    <t>Style inclination</t>
  </si>
  <si>
    <t>Angle with main Axes</t>
  </si>
  <si>
    <t>Vertical Dial</t>
  </si>
  <si>
    <t>Genteral</t>
  </si>
  <si>
    <t xml:space="preserve"> Euatorial Sundial South Side</t>
  </si>
  <si>
    <t>Sundial</t>
  </si>
  <si>
    <t xml:space="preserve"> Sundial</t>
  </si>
  <si>
    <t xml:space="preserve"> Bifillar Vertical Sundial</t>
  </si>
  <si>
    <t>Local Noon Times, Hour</t>
  </si>
  <si>
    <t>12:7:59</t>
  </si>
  <si>
    <t>12:8:27</t>
  </si>
  <si>
    <t>12:8:55</t>
  </si>
  <si>
    <t>12:9:22</t>
  </si>
  <si>
    <t>12:9:49</t>
  </si>
  <si>
    <t>12:10:15</t>
  </si>
  <si>
    <t>12:10:42</t>
  </si>
  <si>
    <t>12:11:7</t>
  </si>
  <si>
    <t>12:11:32</t>
  </si>
  <si>
    <t>12:11:57</t>
  </si>
  <si>
    <t>12:12:21</t>
  </si>
  <si>
    <t>12:12:44</t>
  </si>
  <si>
    <t>12:13:7</t>
  </si>
  <si>
    <t>12:13:29</t>
  </si>
  <si>
    <t>12:13:50</t>
  </si>
  <si>
    <t>12:14:11</t>
  </si>
  <si>
    <t>12:14:31</t>
  </si>
  <si>
    <t>12:14:51</t>
  </si>
  <si>
    <t>12:15:9</t>
  </si>
  <si>
    <t>12:15:27</t>
  </si>
  <si>
    <t>12:15:44</t>
  </si>
  <si>
    <t>12:16:1</t>
  </si>
  <si>
    <t>12:16:16</t>
  </si>
  <si>
    <t>12:16:31</t>
  </si>
  <si>
    <t>12:16:45</t>
  </si>
  <si>
    <t>12:16:59</t>
  </si>
  <si>
    <t>12:17:11</t>
  </si>
  <si>
    <t>12:17:23</t>
  </si>
  <si>
    <t>12:17:34</t>
  </si>
  <si>
    <t>12:17:44</t>
  </si>
  <si>
    <t>12:17:53</t>
  </si>
  <si>
    <t>12:18:1</t>
  </si>
  <si>
    <t>12:18:9</t>
  </si>
  <si>
    <t>12:18:16</t>
  </si>
  <si>
    <t>12:18:22</t>
  </si>
  <si>
    <t>12:18:27</t>
  </si>
  <si>
    <t>12:18:31</t>
  </si>
  <si>
    <t>12:18:35</t>
  </si>
  <si>
    <t>12:18:38</t>
  </si>
  <si>
    <t>12:18:40</t>
  </si>
  <si>
    <t>12:18:41</t>
  </si>
  <si>
    <t>12:18:32</t>
  </si>
  <si>
    <t>12:18:28</t>
  </si>
  <si>
    <t>12:18:23</t>
  </si>
  <si>
    <t>12:18:18</t>
  </si>
  <si>
    <t>12:18:12</t>
  </si>
  <si>
    <t>12:18:5</t>
  </si>
  <si>
    <t>12:17:58</t>
  </si>
  <si>
    <t>12:17:50</t>
  </si>
  <si>
    <t>12:17:41</t>
  </si>
  <si>
    <t>12:17:32</t>
  </si>
  <si>
    <t>12:17:22</t>
  </si>
  <si>
    <t>12:17:12</t>
  </si>
  <si>
    <t>12:17:1</t>
  </si>
  <si>
    <t>12:16:50</t>
  </si>
  <si>
    <t>12:16:38</t>
  </si>
  <si>
    <t>12:16:25</t>
  </si>
  <si>
    <t>12:16:13</t>
  </si>
  <si>
    <t>12:15:59</t>
  </si>
  <si>
    <t>12:15:46</t>
  </si>
  <si>
    <t>12:15:31</t>
  </si>
  <si>
    <t>12:15:17</t>
  </si>
  <si>
    <t>12:15:2</t>
  </si>
  <si>
    <t>12:14:47</t>
  </si>
  <si>
    <t>12:14:15</t>
  </si>
  <si>
    <t>12:13:59</t>
  </si>
  <si>
    <t>12:13:43</t>
  </si>
  <si>
    <t>12:13:26</t>
  </si>
  <si>
    <t>12:13:9</t>
  </si>
  <si>
    <t>12:12:52</t>
  </si>
  <si>
    <t>12:12:35</t>
  </si>
  <si>
    <t>12:12:17</t>
  </si>
  <si>
    <t>12:11:59</t>
  </si>
  <si>
    <t>12:11:42</t>
  </si>
  <si>
    <t>12:11:24</t>
  </si>
  <si>
    <t>12:11:6</t>
  </si>
  <si>
    <t>12:10:48</t>
  </si>
  <si>
    <t>12:10:30</t>
  </si>
  <si>
    <t>12:10:12</t>
  </si>
  <si>
    <t>12:9:53</t>
  </si>
  <si>
    <t>12:9:35</t>
  </si>
  <si>
    <t>12:9:17</t>
  </si>
  <si>
    <t>12:8:59</t>
  </si>
  <si>
    <t>12:8:41</t>
  </si>
  <si>
    <t>12:8:23</t>
  </si>
  <si>
    <t>12:8:6</t>
  </si>
  <si>
    <t>12:7:48</t>
  </si>
  <si>
    <t>12:7:31</t>
  </si>
  <si>
    <t>12:7:13</t>
  </si>
  <si>
    <t>12:6:56</t>
  </si>
  <si>
    <t>12:6:39</t>
  </si>
  <si>
    <t>12:6:23</t>
  </si>
  <si>
    <t>12:6:6</t>
  </si>
  <si>
    <t>12:5:50</t>
  </si>
  <si>
    <t>12:5:34</t>
  </si>
  <si>
    <t>12:5:18</t>
  </si>
  <si>
    <t>12:5:3</t>
  </si>
  <si>
    <t>12:4:48</t>
  </si>
  <si>
    <t>12:4:33</t>
  </si>
  <si>
    <t>12:4:19</t>
  </si>
  <si>
    <t>12:4:5</t>
  </si>
  <si>
    <t>12:3:52</t>
  </si>
  <si>
    <t>12:3:38</t>
  </si>
  <si>
    <t>12:3:26</t>
  </si>
  <si>
    <t>12:3:13</t>
  </si>
  <si>
    <t>12:3:1</t>
  </si>
  <si>
    <t>12:2:50</t>
  </si>
  <si>
    <t>12:2:39</t>
  </si>
  <si>
    <t>12:2:29</t>
  </si>
  <si>
    <t>12:2:19</t>
  </si>
  <si>
    <t>12:2:9</t>
  </si>
  <si>
    <t>12:2:0</t>
  </si>
  <si>
    <t>12:1:51</t>
  </si>
  <si>
    <t>12:1:44</t>
  </si>
  <si>
    <t>12:1:36</t>
  </si>
  <si>
    <t>12:1:29</t>
  </si>
  <si>
    <t>12:1:23</t>
  </si>
  <si>
    <t>12:1:17</t>
  </si>
  <si>
    <t>12:1:12</t>
  </si>
  <si>
    <t>12:1:7</t>
  </si>
  <si>
    <t>12:1:3</t>
  </si>
  <si>
    <t>12:0:59</t>
  </si>
  <si>
    <t>12:0:56</t>
  </si>
  <si>
    <t>12:0:54</t>
  </si>
  <si>
    <t>12:0:52</t>
  </si>
  <si>
    <t>12:0:51</t>
  </si>
  <si>
    <t>12:0:50</t>
  </si>
  <si>
    <t>12:0:53</t>
  </si>
  <si>
    <t>12:0:55</t>
  </si>
  <si>
    <t>12:0:58</t>
  </si>
  <si>
    <t>12:1:1</t>
  </si>
  <si>
    <t>12:1:5</t>
  </si>
  <si>
    <t>12:1:9</t>
  </si>
  <si>
    <t>12:1:14</t>
  </si>
  <si>
    <t>12:1:19</t>
  </si>
  <si>
    <t>12:1:25</t>
  </si>
  <si>
    <t>12:1:31</t>
  </si>
  <si>
    <t>12:1:38</t>
  </si>
  <si>
    <t>12:1:45</t>
  </si>
  <si>
    <t>12:1:53</t>
  </si>
  <si>
    <t>12:2:1</t>
  </si>
  <si>
    <t>12:2:10</t>
  </si>
  <si>
    <t>12:2:28</t>
  </si>
  <si>
    <t>12:2:38</t>
  </si>
  <si>
    <t>12:2:48</t>
  </si>
  <si>
    <t>12:2:58</t>
  </si>
  <si>
    <t>12:3:9</t>
  </si>
  <si>
    <t>12:3:20</t>
  </si>
  <si>
    <t>12:3:32</t>
  </si>
  <si>
    <t>12:3:43</t>
  </si>
  <si>
    <t>12:3:55</t>
  </si>
  <si>
    <t>12:4:7</t>
  </si>
  <si>
    <t>12:4:32</t>
  </si>
  <si>
    <t>12:4:45</t>
  </si>
  <si>
    <t>12:4:57</t>
  </si>
  <si>
    <t>12:5:10</t>
  </si>
  <si>
    <t>12:5:23</t>
  </si>
  <si>
    <t>12:5:36</t>
  </si>
  <si>
    <t>12:5:49</t>
  </si>
  <si>
    <t>12:6:2</t>
  </si>
  <si>
    <t>12:6:16</t>
  </si>
  <si>
    <t>12:6:29</t>
  </si>
  <si>
    <t>12:6:42</t>
  </si>
  <si>
    <t>12:6:54</t>
  </si>
  <si>
    <t>12:7:7</t>
  </si>
  <si>
    <t>12:7:20</t>
  </si>
  <si>
    <t>12:7:33</t>
  </si>
  <si>
    <t>12:7:45</t>
  </si>
  <si>
    <t>12:7:57</t>
  </si>
  <si>
    <t>12:8:9</t>
  </si>
  <si>
    <t>12:8:21</t>
  </si>
  <si>
    <t>12:8:32</t>
  </si>
  <si>
    <t>12:8:43</t>
  </si>
  <si>
    <t>12:8:54</t>
  </si>
  <si>
    <t>12:9:5</t>
  </si>
  <si>
    <t>12:9:15</t>
  </si>
  <si>
    <t>12:9:25</t>
  </si>
  <si>
    <t>12:9:34</t>
  </si>
  <si>
    <t>12:9:43</t>
  </si>
  <si>
    <t>12:9:52</t>
  </si>
  <si>
    <t>12:10:0</t>
  </si>
  <si>
    <t>12:10:8</t>
  </si>
  <si>
    <t>12:10:22</t>
  </si>
  <si>
    <t>12:10:28</t>
  </si>
  <si>
    <t>12:10:34</t>
  </si>
  <si>
    <t>12:10:39</t>
  </si>
  <si>
    <t>12:10:44</t>
  </si>
  <si>
    <t>12:10:52</t>
  </si>
  <si>
    <t>12:10:55</t>
  </si>
  <si>
    <t>12:10:58</t>
  </si>
  <si>
    <t>12:11:0</t>
  </si>
  <si>
    <t>12:11:1</t>
  </si>
  <si>
    <t>12:11:2</t>
  </si>
  <si>
    <t>12:10:59</t>
  </si>
  <si>
    <t>12:10:57</t>
  </si>
  <si>
    <t>12:10:54</t>
  </si>
  <si>
    <t>12:10:51</t>
  </si>
  <si>
    <t>12:10:47</t>
  </si>
  <si>
    <t>12:10:37</t>
  </si>
  <si>
    <t>12:10:31</t>
  </si>
  <si>
    <t>12:10:25</t>
  </si>
  <si>
    <t>12:10:18</t>
  </si>
  <si>
    <t>12:10:10</t>
  </si>
  <si>
    <t>12:10:2</t>
  </si>
  <si>
    <t>12:9:44</t>
  </si>
  <si>
    <t>12:9:23</t>
  </si>
  <si>
    <t>12:9:12</t>
  </si>
  <si>
    <t>12:9:1</t>
  </si>
  <si>
    <t>12:8:48</t>
  </si>
  <si>
    <t>12:8:36</t>
  </si>
  <si>
    <t>12:7:55</t>
  </si>
  <si>
    <t>12:7:40</t>
  </si>
  <si>
    <t>12:7:25</t>
  </si>
  <si>
    <t>12:7:10</t>
  </si>
  <si>
    <t>12:6:37</t>
  </si>
  <si>
    <t>12:6:21</t>
  </si>
  <si>
    <t>12:6:4</t>
  </si>
  <si>
    <t>12:5:46</t>
  </si>
  <si>
    <t>12:5:28</t>
  </si>
  <si>
    <t>12:4:51</t>
  </si>
  <si>
    <t>12:4:13</t>
  </si>
  <si>
    <t>12:3:54</t>
  </si>
  <si>
    <t>12:3:34</t>
  </si>
  <si>
    <t>12:3:14</t>
  </si>
  <si>
    <t>12:2:54</t>
  </si>
  <si>
    <t>12:2:33</t>
  </si>
  <si>
    <t>12:2:13</t>
  </si>
  <si>
    <t>12:1:52</t>
  </si>
  <si>
    <t>12:1:10</t>
  </si>
  <si>
    <t>12:0:49</t>
  </si>
  <si>
    <t>12:0:28</t>
  </si>
  <si>
    <t>12:0:6</t>
  </si>
  <si>
    <t>11:59:45</t>
  </si>
  <si>
    <t>11:59:23</t>
  </si>
  <si>
    <t>11:59:2</t>
  </si>
  <si>
    <t>11:58:41</t>
  </si>
  <si>
    <t>11:58:19</t>
  </si>
  <si>
    <t>11:57:58</t>
  </si>
  <si>
    <t>11:57:37</t>
  </si>
  <si>
    <t>11:57:15</t>
  </si>
  <si>
    <t>11:56:54</t>
  </si>
  <si>
    <t>11:56:33</t>
  </si>
  <si>
    <t>11:56:12</t>
  </si>
  <si>
    <t>11:55:52</t>
  </si>
  <si>
    <t>11:55:31</t>
  </si>
  <si>
    <t>11:55:11</t>
  </si>
  <si>
    <t>11:54:51</t>
  </si>
  <si>
    <t>11:54:31</t>
  </si>
  <si>
    <t>11:54:12</t>
  </si>
  <si>
    <t>11:53:52</t>
  </si>
  <si>
    <t>11:53:33</t>
  </si>
  <si>
    <t>11:53:15</t>
  </si>
  <si>
    <t>11:52:57</t>
  </si>
  <si>
    <t>11:52:39</t>
  </si>
  <si>
    <t>11:52:21</t>
  </si>
  <si>
    <t>11:52:4</t>
  </si>
  <si>
    <t>11:51:47</t>
  </si>
  <si>
    <t>11:51:31</t>
  </si>
  <si>
    <t>11:51:16</t>
  </si>
  <si>
    <t>11:51:0</t>
  </si>
  <si>
    <t>11:50:46</t>
  </si>
  <si>
    <t>11:50:31</t>
  </si>
  <si>
    <t>11:50:18</t>
  </si>
  <si>
    <t>11:50:5</t>
  </si>
  <si>
    <t>11:49:52</t>
  </si>
  <si>
    <t>11:49:40</t>
  </si>
  <si>
    <t>11:49:29</t>
  </si>
  <si>
    <t>11:49:18</t>
  </si>
  <si>
    <t>11:49:8</t>
  </si>
  <si>
    <t>11:48:59</t>
  </si>
  <si>
    <t>11:48:50</t>
  </si>
  <si>
    <t>11:48:42</t>
  </si>
  <si>
    <t>11:48:34</t>
  </si>
  <si>
    <t>11:48:28</t>
  </si>
  <si>
    <t>11:48:22</t>
  </si>
  <si>
    <t>11:48:17</t>
  </si>
  <si>
    <t>11:48:12</t>
  </si>
  <si>
    <t>11:48:9</t>
  </si>
  <si>
    <t>11:48:6</t>
  </si>
  <si>
    <t>11:48:3</t>
  </si>
  <si>
    <t>11:48:2</t>
  </si>
  <si>
    <t>11:48:13</t>
  </si>
  <si>
    <t>11:48:23</t>
  </si>
  <si>
    <t>11:48:29</t>
  </si>
  <si>
    <t>11:48:36</t>
  </si>
  <si>
    <t>11:48:44</t>
  </si>
  <si>
    <t>11:48:53</t>
  </si>
  <si>
    <t>11:49:2</t>
  </si>
  <si>
    <t>11:49:13</t>
  </si>
  <si>
    <t>11:49:24</t>
  </si>
  <si>
    <t>11:49:36</t>
  </si>
  <si>
    <t>11:49:49</t>
  </si>
  <si>
    <t>11:50:3</t>
  </si>
  <si>
    <t>11:50:33</t>
  </si>
  <si>
    <t>11:50:49</t>
  </si>
  <si>
    <t>11:51:6</t>
  </si>
  <si>
    <t>11:51:24</t>
  </si>
  <si>
    <t>11:51:43</t>
  </si>
  <si>
    <t>11:52:2</t>
  </si>
  <si>
    <t>11:52:22</t>
  </si>
  <si>
    <t>11:52:43</t>
  </si>
  <si>
    <t>11:53:4</t>
  </si>
  <si>
    <t>11:53:26</t>
  </si>
  <si>
    <t>11:53:49</t>
  </si>
  <si>
    <t>11:54:36</t>
  </si>
  <si>
    <t>11:55:1</t>
  </si>
  <si>
    <t>11:55:26</t>
  </si>
  <si>
    <t>11:55:51</t>
  </si>
  <si>
    <t>11:56:17</t>
  </si>
  <si>
    <t>11:56:44</t>
  </si>
  <si>
    <t>11:57:11</t>
  </si>
  <si>
    <t>11:57:38</t>
  </si>
  <si>
    <t>11:58:6</t>
  </si>
  <si>
    <t>11:58:34</t>
  </si>
  <si>
    <t>11:59:3</t>
  </si>
  <si>
    <t>11:59:31</t>
  </si>
  <si>
    <t>12:0:0</t>
  </si>
  <si>
    <t>12:0:29</t>
  </si>
  <si>
    <t>12:1:28</t>
  </si>
  <si>
    <t>12:1:58</t>
  </si>
  <si>
    <t>12:3:28</t>
  </si>
  <si>
    <t>12:3:58</t>
  </si>
  <si>
    <t>12:4:27</t>
  </si>
  <si>
    <t>12:5:27</t>
  </si>
  <si>
    <t>12:5:56</t>
  </si>
  <si>
    <t>12:6:25</t>
  </si>
  <si>
    <t>12:7:23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</si>
</sst>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00"/>
    <numFmt numFmtId="166" formatCode="0.0"/>
    <numFmt numFmtId="167" formatCode="0.00000"/>
  </numFmts>
  <fonts count="2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11"/>
      <color rgb="FF000000"/>
      <name val="Calibri"/>
      <family val="2"/>
    </font>
    <font>
      <sz val="11"/>
      <color theme="1"/>
      <name val="B Nazanin"/>
      <charset val="178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B Nazanin"/>
      <charset val="178"/>
    </font>
    <font>
      <sz val="11"/>
      <color theme="1"/>
      <name val="B Titr"/>
      <charset val="178"/>
    </font>
    <font>
      <sz val="11"/>
      <color rgb="FF000000"/>
      <name val="Calibri"/>
      <family val="2"/>
    </font>
    <font>
      <b/>
      <sz val="11"/>
      <color theme="1"/>
      <name val="Symbol"/>
      <family val="1"/>
      <charset val="2"/>
    </font>
    <font>
      <b/>
      <sz val="12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B Nazanin"/>
      <charset val="178"/>
    </font>
    <font>
      <sz val="12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b/>
      <sz val="11"/>
      <color theme="1"/>
      <name val="Calibri Light"/>
      <family val="2"/>
      <scheme val="major"/>
    </font>
    <font>
      <b/>
      <sz val="11"/>
      <color theme="1"/>
      <name val="Calibri"/>
      <family val="1"/>
      <charset val="2"/>
      <scheme val="minor"/>
    </font>
    <font>
      <b/>
      <sz val="11"/>
      <color rgb="FFFF0000"/>
      <name val="Calibri "/>
    </font>
    <font>
      <sz val="11"/>
      <color theme="1"/>
      <name val="Calibri 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13" xfId="0" applyBorder="1"/>
    <xf numFmtId="0" fontId="0" fillId="0" borderId="4" xfId="0" applyBorder="1"/>
    <xf numFmtId="0" fontId="0" fillId="0" borderId="0" xfId="0" applyAlignment="1">
      <alignment horizontal="right"/>
    </xf>
    <xf numFmtId="0" fontId="1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21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4" xfId="0" applyBorder="1"/>
    <xf numFmtId="0" fontId="0" fillId="0" borderId="5" xfId="0" applyBorder="1"/>
    <xf numFmtId="0" fontId="0" fillId="0" borderId="20" xfId="0" applyBorder="1" applyAlignment="1">
      <alignment horizontal="center"/>
    </xf>
    <xf numFmtId="0" fontId="8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15" xfId="0" applyFont="1" applyBorder="1"/>
    <xf numFmtId="0" fontId="0" fillId="0" borderId="8" xfId="0" applyBorder="1"/>
    <xf numFmtId="0" fontId="1" fillId="0" borderId="16" xfId="0" applyFont="1" applyBorder="1"/>
    <xf numFmtId="0" fontId="0" fillId="0" borderId="10" xfId="0" applyBorder="1"/>
    <xf numFmtId="0" fontId="1" fillId="0" borderId="12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166" fontId="1" fillId="0" borderId="15" xfId="0" applyNumberFormat="1" applyFont="1" applyBorder="1" applyAlignment="1">
      <alignment horizontal="center"/>
    </xf>
    <xf numFmtId="0" fontId="1" fillId="0" borderId="13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0" borderId="10" xfId="0" applyBorder="1" applyAlignment="1">
      <alignment horizontal="right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 applyAlignment="1">
      <alignment horizontal="center"/>
    </xf>
    <xf numFmtId="0" fontId="13" fillId="0" borderId="0" xfId="0" applyFont="1"/>
    <xf numFmtId="49" fontId="0" fillId="0" borderId="25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20" xfId="0" applyBorder="1"/>
    <xf numFmtId="0" fontId="0" fillId="0" borderId="22" xfId="0" applyBorder="1"/>
    <xf numFmtId="0" fontId="0" fillId="0" borderId="31" xfId="0" applyBorder="1"/>
    <xf numFmtId="0" fontId="14" fillId="0" borderId="25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0" borderId="29" xfId="0" applyBorder="1"/>
    <xf numFmtId="0" fontId="14" fillId="0" borderId="31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0" fillId="0" borderId="16" xfId="0" applyBorder="1"/>
    <xf numFmtId="0" fontId="0" fillId="0" borderId="10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/>
    <xf numFmtId="0" fontId="19" fillId="0" borderId="35" xfId="0" applyFont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0" borderId="40" xfId="0" applyBorder="1"/>
    <xf numFmtId="0" fontId="13" fillId="0" borderId="0" xfId="0" applyFont="1" applyAlignment="1">
      <alignment horizontal="right"/>
    </xf>
    <xf numFmtId="0" fontId="20" fillId="0" borderId="16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1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4" fontId="0" fillId="0" borderId="0" xfId="0" applyNumberFormat="1"/>
    <xf numFmtId="14" fontId="1" fillId="0" borderId="15" xfId="0" applyNumberFormat="1" applyFont="1" applyBorder="1" applyAlignment="1">
      <alignment horizontal="right"/>
    </xf>
    <xf numFmtId="14" fontId="1" fillId="0" borderId="14" xfId="0" applyNumberFormat="1" applyFont="1" applyBorder="1" applyAlignment="1">
      <alignment horizontal="right"/>
    </xf>
    <xf numFmtId="14" fontId="1" fillId="0" borderId="24" xfId="0" applyNumberFormat="1" applyFont="1" applyBorder="1"/>
    <xf numFmtId="0" fontId="21" fillId="0" borderId="0" xfId="0" applyFont="1"/>
    <xf numFmtId="0" fontId="2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15" fillId="0" borderId="0" xfId="0" applyFont="1"/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2" fillId="0" borderId="0" xfId="0" applyFont="1" applyAlignment="1">
      <alignment horizontal="right"/>
    </xf>
    <xf numFmtId="0" fontId="22" fillId="0" borderId="0" xfId="0" applyFont="1" applyAlignment="1">
      <alignment horizontal="left"/>
    </xf>
    <xf numFmtId="0" fontId="23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23" fillId="0" borderId="19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1" fillId="0" borderId="1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34" xfId="0" applyFont="1" applyBorder="1" applyAlignment="1">
      <alignment horizontal="left"/>
    </xf>
    <xf numFmtId="0" fontId="3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25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41" xfId="0" applyFont="1" applyBorder="1" applyAlignment="1">
      <alignment horizontal="left"/>
    </xf>
    <xf numFmtId="0" fontId="1" fillId="0" borderId="18" xfId="0" applyFont="1" applyBorder="1" applyAlignment="1">
      <alignment horizontal="left"/>
    </xf>
    <xf numFmtId="0" fontId="0" fillId="0" borderId="16" xfId="0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3" fillId="0" borderId="21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6" fillId="0" borderId="19" xfId="0" applyFon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0" fontId="26" fillId="0" borderId="41" xfId="0" applyFont="1" applyBorder="1" applyAlignment="1">
      <alignment horizontal="center"/>
    </xf>
    <xf numFmtId="49" fontId="0" fillId="0" borderId="44" xfId="0" applyNumberFormat="1" applyBorder="1" applyAlignment="1">
      <alignment horizontal="center"/>
    </xf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16" fontId="1" fillId="0" borderId="13" xfId="0" applyNumberFormat="1" applyFont="1" applyBorder="1" applyAlignment="1">
      <alignment horizontal="center"/>
    </xf>
    <xf numFmtId="16" fontId="1" fillId="0" borderId="14" xfId="0" applyNumberFormat="1" applyFont="1" applyBorder="1" applyAlignment="1">
      <alignment horizontal="center"/>
    </xf>
    <xf numFmtId="0" fontId="27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 shrinkToFit="1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14" fontId="1" fillId="0" borderId="0" xfId="0" applyNumberFormat="1" applyFo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cs typeface="B Traffic" panose="00000400000000000000" pitchFamily="2" charset="-78"/>
              </a:rPr>
              <a:t>Analemmatic Sundial</a:t>
            </a:r>
          </a:p>
        </c:rich>
      </c:tx>
      <c:layout>
        <c:manualLayout>
          <c:xMode val="edge"/>
          <c:yMode val="edge"/>
          <c:x val="0.4094577506169938"/>
          <c:y val="3.19149741881078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HourLines!$C$87:$Q$87</c:f>
              <c:numCache>
                <c:formatCode>General</c:formatCode>
                <c:ptCount val="15"/>
                <c:pt idx="0">
                  <c:v>-2.0221240515473027</c:v>
                </c:pt>
                <c:pt idx="1">
                  <c:v>-2.0934568644012534</c:v>
                </c:pt>
                <c:pt idx="2">
                  <c:v>-2.0221240515473027</c:v>
                </c:pt>
                <c:pt idx="3">
                  <c:v>-1.8129868262984001</c:v>
                </c:pt>
                <c:pt idx="4">
                  <c:v>-1.4802975449396529</c:v>
                </c:pt>
                <c:pt idx="5">
                  <c:v>-1.0467284322006265</c:v>
                </c:pt>
                <c:pt idx="6">
                  <c:v>-0.54182650660764964</c:v>
                </c:pt>
                <c:pt idx="7">
                  <c:v>0</c:v>
                </c:pt>
                <c:pt idx="8">
                  <c:v>0.54182650660764964</c:v>
                </c:pt>
                <c:pt idx="9">
                  <c:v>1.0467284322006265</c:v>
                </c:pt>
                <c:pt idx="10">
                  <c:v>1.4802975449396529</c:v>
                </c:pt>
                <c:pt idx="11">
                  <c:v>1.8129868262984001</c:v>
                </c:pt>
                <c:pt idx="12">
                  <c:v>2.0221240515473027</c:v>
                </c:pt>
                <c:pt idx="13">
                  <c:v>2.0934568644012534</c:v>
                </c:pt>
                <c:pt idx="14">
                  <c:v>2.0221240515473027</c:v>
                </c:pt>
              </c:numCache>
            </c:numRef>
          </c:xVal>
          <c:yVal>
            <c:numRef>
              <c:f>HourLines!$C$88:$Q$88</c:f>
              <c:numCache>
                <c:formatCode>General</c:formatCode>
                <c:ptCount val="15"/>
                <c:pt idx="0">
                  <c:v>-0.31620036643110233</c:v>
                </c:pt>
                <c:pt idx="1">
                  <c:v>7.4838462954137417E-17</c:v>
                </c:pt>
                <c:pt idx="2">
                  <c:v>0.31620036643110222</c:v>
                </c:pt>
                <c:pt idx="3">
                  <c:v>0.6108522004357374</c:v>
                </c:pt>
                <c:pt idx="4">
                  <c:v>0.86387546646166791</c:v>
                </c:pt>
                <c:pt idx="5">
                  <c:v>1.0580270470699444</c:v>
                </c:pt>
                <c:pt idx="6">
                  <c:v>1.1800758328927701</c:v>
                </c:pt>
                <c:pt idx="7">
                  <c:v>1.2217044008714746</c:v>
                </c:pt>
                <c:pt idx="8">
                  <c:v>1.1800758328927701</c:v>
                </c:pt>
                <c:pt idx="9">
                  <c:v>1.0580270470699444</c:v>
                </c:pt>
                <c:pt idx="10">
                  <c:v>0.86387546646166791</c:v>
                </c:pt>
                <c:pt idx="11">
                  <c:v>0.6108522004357374</c:v>
                </c:pt>
                <c:pt idx="12">
                  <c:v>0.31620036643110222</c:v>
                </c:pt>
                <c:pt idx="13">
                  <c:v>7.4838462954137417E-17</c:v>
                </c:pt>
                <c:pt idx="14">
                  <c:v>-0.31620036643110233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40-411C-AB13-DB12C8949161}"/>
            </c:ext>
          </c:extLst>
        </c:ser>
        <c:ser>
          <c:idx val="0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HourLines!$C$90:$Q$90</c:f>
              <c:numCache>
                <c:formatCode>General</c:formatCode>
                <c:ptCount val="15"/>
                <c:pt idx="0">
                  <c:v>-0.61159555695991541</c:v>
                </c:pt>
                <c:pt idx="1">
                  <c:v>-0.63317031216523856</c:v>
                </c:pt>
                <c:pt idx="2">
                  <c:v>-0.61159555695991541</c:v>
                </c:pt>
                <c:pt idx="3">
                  <c:v>-0.54834157525721972</c:v>
                </c:pt>
                <c:pt idx="4">
                  <c:v>-0.44771902137804331</c:v>
                </c:pt>
                <c:pt idx="5">
                  <c:v>-0.31658515608261922</c:v>
                </c:pt>
                <c:pt idx="6">
                  <c:v>-0.16387653558187201</c:v>
                </c:pt>
                <c:pt idx="7">
                  <c:v>0</c:v>
                </c:pt>
                <c:pt idx="8">
                  <c:v>0.16387653558187201</c:v>
                </c:pt>
                <c:pt idx="9">
                  <c:v>0.31658515608261922</c:v>
                </c:pt>
                <c:pt idx="10">
                  <c:v>0.44771902137804331</c:v>
                </c:pt>
                <c:pt idx="11">
                  <c:v>0.54834157525721972</c:v>
                </c:pt>
                <c:pt idx="12">
                  <c:v>0.61159555695991541</c:v>
                </c:pt>
                <c:pt idx="13">
                  <c:v>0.63317031216523856</c:v>
                </c:pt>
                <c:pt idx="14">
                  <c:v>0.61159555695991541</c:v>
                </c:pt>
              </c:numCache>
            </c:numRef>
          </c:xVal>
          <c:yVal>
            <c:numRef>
              <c:f>HourLines!$C$91:$Q$91</c:f>
              <c:numCache>
                <c:formatCode>General</c:formatCode>
                <c:ptCount val="15"/>
                <c:pt idx="0">
                  <c:v>-9.5635447820514474E-2</c:v>
                </c:pt>
                <c:pt idx="1">
                  <c:v>2.2635046251211143E-17</c:v>
                </c:pt>
                <c:pt idx="2">
                  <c:v>9.5635447820514419E-2</c:v>
                </c:pt>
                <c:pt idx="3">
                  <c:v>0.18475349791711099</c:v>
                </c:pt>
                <c:pt idx="4">
                  <c:v>0.26128090245024771</c:v>
                </c:pt>
                <c:pt idx="5">
                  <c:v>0.32000244526850696</c:v>
                </c:pt>
                <c:pt idx="6">
                  <c:v>0.35691635027076213</c:v>
                </c:pt>
                <c:pt idx="7">
                  <c:v>0.36950699583422192</c:v>
                </c:pt>
                <c:pt idx="8">
                  <c:v>0.35691635027076213</c:v>
                </c:pt>
                <c:pt idx="9">
                  <c:v>0.32000244526850696</c:v>
                </c:pt>
                <c:pt idx="10">
                  <c:v>0.26128090245024771</c:v>
                </c:pt>
                <c:pt idx="11">
                  <c:v>0.18475349791711099</c:v>
                </c:pt>
                <c:pt idx="12">
                  <c:v>9.5635447820514419E-2</c:v>
                </c:pt>
                <c:pt idx="13">
                  <c:v>2.2635046251211143E-17</c:v>
                </c:pt>
                <c:pt idx="14">
                  <c:v>-9.5635447820514474E-2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8A-44F5-959D-E22B7B85AB26}"/>
            </c:ext>
          </c:extLst>
        </c:ser>
        <c:ser>
          <c:idx val="1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HourLines!$C$93:$Q$93</c:f>
              <c:numCache>
                <c:formatCode>General</c:formatCode>
                <c:ptCount val="15"/>
                <c:pt idx="0">
                  <c:v>-4.7094872242347403</c:v>
                </c:pt>
                <c:pt idx="1">
                  <c:v>-4.875619945195826</c:v>
                </c:pt>
                <c:pt idx="2">
                  <c:v>-4.7094872242347403</c:v>
                </c:pt>
                <c:pt idx="3">
                  <c:v>-4.2224107317376776</c:v>
                </c:pt>
                <c:pt idx="4">
                  <c:v>-3.4475839257363514</c:v>
                </c:pt>
                <c:pt idx="5">
                  <c:v>-2.4378099725979125</c:v>
                </c:pt>
                <c:pt idx="6">
                  <c:v>-1.2619032984983882</c:v>
                </c:pt>
                <c:pt idx="7">
                  <c:v>0</c:v>
                </c:pt>
                <c:pt idx="8">
                  <c:v>1.2619032984983882</c:v>
                </c:pt>
                <c:pt idx="9">
                  <c:v>2.4378099725979125</c:v>
                </c:pt>
                <c:pt idx="10">
                  <c:v>3.4475839257363514</c:v>
                </c:pt>
                <c:pt idx="11">
                  <c:v>4.2224107317376776</c:v>
                </c:pt>
                <c:pt idx="12">
                  <c:v>4.7094872242347403</c:v>
                </c:pt>
                <c:pt idx="13">
                  <c:v>4.875619945195826</c:v>
                </c:pt>
                <c:pt idx="14">
                  <c:v>4.7094872242347403</c:v>
                </c:pt>
              </c:numCache>
            </c:numRef>
          </c:xVal>
          <c:yVal>
            <c:numRef>
              <c:f>HourLines!$C$94:$Q$94</c:f>
              <c:numCache>
                <c:formatCode>General</c:formatCode>
                <c:ptCount val="15"/>
                <c:pt idx="0">
                  <c:v>-0.73642444679204933</c:v>
                </c:pt>
                <c:pt idx="1">
                  <c:v>1.7429731123280213E-16</c:v>
                </c:pt>
                <c:pt idx="2">
                  <c:v>0.7364244467920491</c:v>
                </c:pt>
                <c:pt idx="3">
                  <c:v>1.4226627845341604</c:v>
                </c:pt>
                <c:pt idx="4">
                  <c:v>2.0119490045716817</c:v>
                </c:pt>
                <c:pt idx="5">
                  <c:v>2.4641242248505799</c:v>
                </c:pt>
                <c:pt idx="6">
                  <c:v>2.7483734513637308</c:v>
                </c:pt>
                <c:pt idx="7">
                  <c:v>2.8453255690683203</c:v>
                </c:pt>
                <c:pt idx="8">
                  <c:v>2.7483734513637308</c:v>
                </c:pt>
                <c:pt idx="9">
                  <c:v>2.4641242248505799</c:v>
                </c:pt>
                <c:pt idx="10">
                  <c:v>2.0119490045716817</c:v>
                </c:pt>
                <c:pt idx="11">
                  <c:v>1.4226627845341604</c:v>
                </c:pt>
                <c:pt idx="12">
                  <c:v>0.7364244467920491</c:v>
                </c:pt>
                <c:pt idx="13">
                  <c:v>1.7429731123280213E-16</c:v>
                </c:pt>
                <c:pt idx="14">
                  <c:v>-0.73642444679204933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8A-44F5-959D-E22B7B85A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626312"/>
        <c:axId val="619624672"/>
      </c:scatterChart>
      <c:valAx>
        <c:axId val="619626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24672"/>
        <c:crosses val="autoZero"/>
        <c:crossBetween val="midCat"/>
        <c:majorUnit val="1"/>
      </c:valAx>
      <c:valAx>
        <c:axId val="61962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26312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Equatorial</a:t>
            </a:r>
          </a:p>
        </c:rich>
      </c:tx>
      <c:layout>
        <c:manualLayout>
          <c:xMode val="edge"/>
          <c:yMode val="edge"/>
          <c:x val="0.40393734011096716"/>
          <c:y val="1.7473531375520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21805001818523"/>
          <c:y val="0.11579143389199256"/>
          <c:w val="0.83923995247900329"/>
          <c:h val="0.8208938547486033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Equatorial!$A$5:$A$17</c:f>
              <c:numCache>
                <c:formatCode>0.0000000</c:formatCode>
                <c:ptCount val="13"/>
                <c:pt idx="0">
                  <c:v>-49.274220590023887</c:v>
                </c:pt>
                <c:pt idx="1">
                  <c:v>-47.844634543024561</c:v>
                </c:pt>
                <c:pt idx="2">
                  <c:v>-43.154515713940803</c:v>
                </c:pt>
                <c:pt idx="3">
                  <c:v>-35.523487950674458</c:v>
                </c:pt>
                <c:pt idx="4">
                  <c:v>-25.471593227406807</c:v>
                </c:pt>
                <c:pt idx="5">
                  <c:v>-13.683851482680442</c:v>
                </c:pt>
                <c:pt idx="6">
                  <c:v>-0.96357787162050645</c:v>
                </c:pt>
                <c:pt idx="7">
                  <c:v>11.822361979102824</c:v>
                </c:pt>
                <c:pt idx="8">
                  <c:v>23.802627397098082</c:v>
                </c:pt>
                <c:pt idx="9">
                  <c:v>34.160783055684533</c:v>
                </c:pt>
                <c:pt idx="10">
                  <c:v>42.190937841992181</c:v>
                </c:pt>
                <c:pt idx="11">
                  <c:v>47.345849933803002</c:v>
                </c:pt>
                <c:pt idx="12">
                  <c:v>49.274220590419155</c:v>
                </c:pt>
              </c:numCache>
            </c:numRef>
          </c:xVal>
          <c:yVal>
            <c:numRef>
              <c:f>Equatorial!$B$5:$B$17</c:f>
              <c:numCache>
                <c:formatCode>0.0000000</c:formatCode>
                <c:ptCount val="13"/>
                <c:pt idx="0">
                  <c:v>0.96357788172681613</c:v>
                </c:pt>
                <c:pt idx="1">
                  <c:v>-11.822361969289727</c:v>
                </c:pt>
                <c:pt idx="2">
                  <c:v>-23.802627388246943</c:v>
                </c:pt>
                <c:pt idx="3">
                  <c:v>-34.160783083922034</c:v>
                </c:pt>
                <c:pt idx="4">
                  <c:v>-42.190937836767873</c:v>
                </c:pt>
                <c:pt idx="5">
                  <c:v>-47.345849930996394</c:v>
                </c:pt>
                <c:pt idx="6">
                  <c:v>-49.274220590221518</c:v>
                </c:pt>
                <c:pt idx="7">
                  <c:v>-47.844634540599749</c:v>
                </c:pt>
                <c:pt idx="8">
                  <c:v>-43.154515709058799</c:v>
                </c:pt>
                <c:pt idx="9">
                  <c:v>-35.523487977828751</c:v>
                </c:pt>
                <c:pt idx="10">
                  <c:v>-25.471593218753302</c:v>
                </c:pt>
                <c:pt idx="11">
                  <c:v>-13.683851472969645</c:v>
                </c:pt>
                <c:pt idx="12">
                  <c:v>-0.963577861514193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3-42FF-96EA-B9A3458015E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Equatorial!$C$5:$C$17</c:f>
              <c:numCache>
                <c:formatCode>0.0000000</c:formatCode>
                <c:ptCount val="13"/>
                <c:pt idx="0">
                  <c:v>-23.060036796920489</c:v>
                </c:pt>
                <c:pt idx="1">
                  <c:v>-22.390999185499744</c:v>
                </c:pt>
                <c:pt idx="2">
                  <c:v>-20.196051980134953</c:v>
                </c:pt>
                <c:pt idx="3">
                  <c:v>-16.624777205778173</c:v>
                </c:pt>
                <c:pt idx="4">
                  <c:v>-11.920551356607607</c:v>
                </c:pt>
                <c:pt idx="5">
                  <c:v>-6.4039596149003852</c:v>
                </c:pt>
                <c:pt idx="6">
                  <c:v>-0.45094860781554241</c:v>
                </c:pt>
                <c:pt idx="7">
                  <c:v>5.5327938017110041</c:v>
                </c:pt>
                <c:pt idx="8">
                  <c:v>11.139485456449783</c:v>
                </c:pt>
                <c:pt idx="9">
                  <c:v>15.987039568418702</c:v>
                </c:pt>
                <c:pt idx="10">
                  <c:v>19.745103372165858</c:v>
                </c:pt>
                <c:pt idx="11">
                  <c:v>22.157571009373189</c:v>
                </c:pt>
                <c:pt idx="12">
                  <c:v>23.060036797105472</c:v>
                </c:pt>
              </c:numCache>
            </c:numRef>
          </c:xVal>
          <c:yVal>
            <c:numRef>
              <c:f>Equatorial!$D$5:$D$17</c:f>
              <c:numCache>
                <c:formatCode>0.0000000</c:formatCode>
                <c:ptCount val="13"/>
                <c:pt idx="0">
                  <c:v>0.45094861254523416</c:v>
                </c:pt>
                <c:pt idx="1">
                  <c:v>-5.5327937971185337</c:v>
                </c:pt>
                <c:pt idx="2">
                  <c:v>-11.139485452307504</c:v>
                </c:pt>
                <c:pt idx="3">
                  <c:v>-15.987039581633681</c:v>
                </c:pt>
                <c:pt idx="4">
                  <c:v>-19.745103369720912</c:v>
                </c:pt>
                <c:pt idx="5">
                  <c:v>-22.157571008059715</c:v>
                </c:pt>
                <c:pt idx="6">
                  <c:v>-23.06003679701298</c:v>
                </c:pt>
                <c:pt idx="7">
                  <c:v>-22.390999184364947</c:v>
                </c:pt>
                <c:pt idx="8">
                  <c:v>-20.196051977850207</c:v>
                </c:pt>
                <c:pt idx="9">
                  <c:v>-16.624777218486216</c:v>
                </c:pt>
                <c:pt idx="10">
                  <c:v>-11.920551352557819</c:v>
                </c:pt>
                <c:pt idx="11">
                  <c:v>-6.4039596103557912</c:v>
                </c:pt>
                <c:pt idx="12">
                  <c:v>-0.45094860308584894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3-42FF-96EA-B9A3458015E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Equatorial!$E$5:$E$17</c:f>
              <c:numCache>
                <c:formatCode>0.0000000</c:formatCode>
                <c:ptCount val="13"/>
                <c:pt idx="0">
                  <c:v>49.274220590023887</c:v>
                </c:pt>
                <c:pt idx="1">
                  <c:v>47.844634543024561</c:v>
                </c:pt>
                <c:pt idx="2">
                  <c:v>43.154515713940803</c:v>
                </c:pt>
                <c:pt idx="3">
                  <c:v>35.523487950674458</c:v>
                </c:pt>
                <c:pt idx="4">
                  <c:v>25.471593227406807</c:v>
                </c:pt>
                <c:pt idx="5">
                  <c:v>13.683851482680442</c:v>
                </c:pt>
                <c:pt idx="6">
                  <c:v>0.96357787162050645</c:v>
                </c:pt>
                <c:pt idx="7">
                  <c:v>-11.822361979102824</c:v>
                </c:pt>
                <c:pt idx="8">
                  <c:v>-23.802627397098082</c:v>
                </c:pt>
                <c:pt idx="9">
                  <c:v>-34.160783055684533</c:v>
                </c:pt>
                <c:pt idx="10">
                  <c:v>-42.190937841992181</c:v>
                </c:pt>
                <c:pt idx="11">
                  <c:v>-47.345849933803002</c:v>
                </c:pt>
                <c:pt idx="12">
                  <c:v>-49.274220590419155</c:v>
                </c:pt>
              </c:numCache>
            </c:numRef>
          </c:xVal>
          <c:yVal>
            <c:numRef>
              <c:f>Equatorial!$F$5:$F$17</c:f>
              <c:numCache>
                <c:formatCode>0.0000000</c:formatCode>
                <c:ptCount val="13"/>
                <c:pt idx="0">
                  <c:v>-0.96357788172681613</c:v>
                </c:pt>
                <c:pt idx="1">
                  <c:v>11.822361969289727</c:v>
                </c:pt>
                <c:pt idx="2">
                  <c:v>23.802627388246943</c:v>
                </c:pt>
                <c:pt idx="3">
                  <c:v>34.160783083922034</c:v>
                </c:pt>
                <c:pt idx="4">
                  <c:v>42.190937836767873</c:v>
                </c:pt>
                <c:pt idx="5">
                  <c:v>47.345849930996394</c:v>
                </c:pt>
                <c:pt idx="6">
                  <c:v>49.274220590221518</c:v>
                </c:pt>
                <c:pt idx="7">
                  <c:v>47.844634540599749</c:v>
                </c:pt>
                <c:pt idx="8">
                  <c:v>43.154515709058799</c:v>
                </c:pt>
                <c:pt idx="9">
                  <c:v>35.523487977828751</c:v>
                </c:pt>
                <c:pt idx="10">
                  <c:v>25.471593218753302</c:v>
                </c:pt>
                <c:pt idx="11">
                  <c:v>13.683851472969645</c:v>
                </c:pt>
                <c:pt idx="12">
                  <c:v>0.963577861514193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3-42FF-96EA-B9A3458015E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Equatorial!$G$5:$G$17</c:f>
              <c:numCache>
                <c:formatCode>0.0000000</c:formatCode>
                <c:ptCount val="13"/>
                <c:pt idx="0">
                  <c:v>23.060036796920489</c:v>
                </c:pt>
                <c:pt idx="1">
                  <c:v>22.390999185499744</c:v>
                </c:pt>
                <c:pt idx="2">
                  <c:v>20.196051980134953</c:v>
                </c:pt>
                <c:pt idx="3">
                  <c:v>16.624777205778173</c:v>
                </c:pt>
                <c:pt idx="4">
                  <c:v>11.920551356607607</c:v>
                </c:pt>
                <c:pt idx="5">
                  <c:v>6.4039596149003852</c:v>
                </c:pt>
                <c:pt idx="6">
                  <c:v>0.45094860781554241</c:v>
                </c:pt>
                <c:pt idx="7">
                  <c:v>-5.5327938017110041</c:v>
                </c:pt>
                <c:pt idx="8">
                  <c:v>-11.139485456449783</c:v>
                </c:pt>
                <c:pt idx="9">
                  <c:v>-15.987039568418702</c:v>
                </c:pt>
                <c:pt idx="10">
                  <c:v>-19.745103372165858</c:v>
                </c:pt>
                <c:pt idx="11">
                  <c:v>-22.157571009373189</c:v>
                </c:pt>
                <c:pt idx="12">
                  <c:v>-23.060036797105472</c:v>
                </c:pt>
              </c:numCache>
            </c:numRef>
          </c:xVal>
          <c:yVal>
            <c:numRef>
              <c:f>Equatorial!$H$5:$H$17</c:f>
              <c:numCache>
                <c:formatCode>0.0000000</c:formatCode>
                <c:ptCount val="13"/>
                <c:pt idx="0">
                  <c:v>-0.45094861254523416</c:v>
                </c:pt>
                <c:pt idx="1">
                  <c:v>5.5327937971185337</c:v>
                </c:pt>
                <c:pt idx="2">
                  <c:v>11.139485452307504</c:v>
                </c:pt>
                <c:pt idx="3">
                  <c:v>15.987039581633681</c:v>
                </c:pt>
                <c:pt idx="4">
                  <c:v>19.745103369720912</c:v>
                </c:pt>
                <c:pt idx="5">
                  <c:v>22.157571008059715</c:v>
                </c:pt>
                <c:pt idx="6">
                  <c:v>23.06003679701298</c:v>
                </c:pt>
                <c:pt idx="7">
                  <c:v>22.390999184364947</c:v>
                </c:pt>
                <c:pt idx="8">
                  <c:v>20.196051977850207</c:v>
                </c:pt>
                <c:pt idx="9">
                  <c:v>16.624777218486216</c:v>
                </c:pt>
                <c:pt idx="10">
                  <c:v>11.920551352557819</c:v>
                </c:pt>
                <c:pt idx="11">
                  <c:v>6.4039596103557912</c:v>
                </c:pt>
                <c:pt idx="12">
                  <c:v>0.45094860308584894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3-42FF-96EA-B9A3458015E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Equatorial!$A$19:$A$20</c:f>
              <c:numCache>
                <c:formatCode>0.0000000</c:formatCode>
                <c:ptCount val="2"/>
                <c:pt idx="0">
                  <c:v>-49.274220590023887</c:v>
                </c:pt>
                <c:pt idx="1">
                  <c:v>-23.060036796920489</c:v>
                </c:pt>
              </c:numCache>
            </c:numRef>
          </c:xVal>
          <c:yVal>
            <c:numRef>
              <c:f>Equatorial!$B$19:$B$20</c:f>
              <c:numCache>
                <c:formatCode>0.0000000</c:formatCode>
                <c:ptCount val="2"/>
                <c:pt idx="0">
                  <c:v>0.96357788172681613</c:v>
                </c:pt>
                <c:pt idx="1">
                  <c:v>0.45094861254523416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3-42FF-96EA-B9A3458015E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Equatorial!$C$19:$C$20</c:f>
              <c:numCache>
                <c:formatCode>0.0000000</c:formatCode>
                <c:ptCount val="2"/>
                <c:pt idx="0">
                  <c:v>-47.844634543024561</c:v>
                </c:pt>
                <c:pt idx="1">
                  <c:v>-22.390999185499744</c:v>
                </c:pt>
              </c:numCache>
            </c:numRef>
          </c:xVal>
          <c:yVal>
            <c:numRef>
              <c:f>Equatorial!$D$19:$D$20</c:f>
              <c:numCache>
                <c:formatCode>0.0000000</c:formatCode>
                <c:ptCount val="2"/>
                <c:pt idx="0">
                  <c:v>-11.822361969289727</c:v>
                </c:pt>
                <c:pt idx="1">
                  <c:v>-5.5327937971185337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703-42FF-96EA-B9A3458015E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Equatorial!$C$21:$C$22</c:f>
              <c:numCache>
                <c:formatCode>0.0000000</c:formatCode>
                <c:ptCount val="2"/>
                <c:pt idx="0">
                  <c:v>47.844634543024561</c:v>
                </c:pt>
                <c:pt idx="1">
                  <c:v>22.390999185499744</c:v>
                </c:pt>
              </c:numCache>
            </c:numRef>
          </c:xVal>
          <c:yVal>
            <c:numRef>
              <c:f>Equatorial!$D$21:$D$22</c:f>
              <c:numCache>
                <c:formatCode>0.0000000</c:formatCode>
                <c:ptCount val="2"/>
                <c:pt idx="0">
                  <c:v>11.822361969289727</c:v>
                </c:pt>
                <c:pt idx="1">
                  <c:v>5.5327937971185337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03-42FF-96EA-B9A3458015E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Equatorial!$E$19:$E$20</c:f>
              <c:numCache>
                <c:formatCode>0.0000000</c:formatCode>
                <c:ptCount val="2"/>
                <c:pt idx="0">
                  <c:v>-43.154515713940803</c:v>
                </c:pt>
                <c:pt idx="1">
                  <c:v>-20.196051980134953</c:v>
                </c:pt>
              </c:numCache>
            </c:numRef>
          </c:xVal>
          <c:yVal>
            <c:numRef>
              <c:f>Equatorial!$F$19:$F$20</c:f>
              <c:numCache>
                <c:formatCode>0.0000000</c:formatCode>
                <c:ptCount val="2"/>
                <c:pt idx="0">
                  <c:v>-23.802627388246943</c:v>
                </c:pt>
                <c:pt idx="1">
                  <c:v>-11.139485452307504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3-42FF-96EA-B9A3458015E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Equatorial!$E$21:$E$22</c:f>
              <c:numCache>
                <c:formatCode>0.0000000</c:formatCode>
                <c:ptCount val="2"/>
                <c:pt idx="0">
                  <c:v>43.154515713940803</c:v>
                </c:pt>
                <c:pt idx="1">
                  <c:v>20.196051980134953</c:v>
                </c:pt>
              </c:numCache>
            </c:numRef>
          </c:xVal>
          <c:yVal>
            <c:numRef>
              <c:f>Equatorial!$F$21:$F$22</c:f>
              <c:numCache>
                <c:formatCode>0.0000000</c:formatCode>
                <c:ptCount val="2"/>
                <c:pt idx="0">
                  <c:v>23.802627388246943</c:v>
                </c:pt>
                <c:pt idx="1">
                  <c:v>11.139485452307504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03-42FF-96EA-B9A3458015E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Equatorial!$G$19:$G$20</c:f>
              <c:numCache>
                <c:formatCode>0.0000000</c:formatCode>
                <c:ptCount val="2"/>
                <c:pt idx="0">
                  <c:v>-35.523487950674458</c:v>
                </c:pt>
                <c:pt idx="1">
                  <c:v>-16.624777205778173</c:v>
                </c:pt>
              </c:numCache>
            </c:numRef>
          </c:xVal>
          <c:yVal>
            <c:numRef>
              <c:f>Equatorial!$H$19:$H$20</c:f>
              <c:numCache>
                <c:formatCode>0.0000000</c:formatCode>
                <c:ptCount val="2"/>
                <c:pt idx="0">
                  <c:v>-34.160783083922034</c:v>
                </c:pt>
                <c:pt idx="1">
                  <c:v>-15.987039581633681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03-42FF-96EA-B9A3458015E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Equatorial!$G$21:$G$22</c:f>
              <c:numCache>
                <c:formatCode>0.0000000</c:formatCode>
                <c:ptCount val="2"/>
                <c:pt idx="0">
                  <c:v>35.523487950674458</c:v>
                </c:pt>
                <c:pt idx="1">
                  <c:v>16.624777205778173</c:v>
                </c:pt>
              </c:numCache>
            </c:numRef>
          </c:xVal>
          <c:yVal>
            <c:numRef>
              <c:f>Equatorial!$H$21:$H$22</c:f>
              <c:numCache>
                <c:formatCode>0.0000000</c:formatCode>
                <c:ptCount val="2"/>
                <c:pt idx="0">
                  <c:v>34.160783083922034</c:v>
                </c:pt>
                <c:pt idx="1">
                  <c:v>15.987039581633681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03-42FF-96EA-B9A3458015E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Equatorial!$I$19:$I$20</c:f>
              <c:numCache>
                <c:formatCode>0.0000000</c:formatCode>
                <c:ptCount val="2"/>
                <c:pt idx="0">
                  <c:v>-25.471593227406807</c:v>
                </c:pt>
                <c:pt idx="1">
                  <c:v>-11.920551356607607</c:v>
                </c:pt>
              </c:numCache>
            </c:numRef>
          </c:xVal>
          <c:yVal>
            <c:numRef>
              <c:f>Equatorial!$J$19:$J$20</c:f>
              <c:numCache>
                <c:formatCode>0.0000000</c:formatCode>
                <c:ptCount val="2"/>
                <c:pt idx="0">
                  <c:v>-42.190937836767873</c:v>
                </c:pt>
                <c:pt idx="1">
                  <c:v>-19.745103369720912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03-42FF-96EA-B9A3458015E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Equatorial!$I$21:$I$22</c:f>
              <c:numCache>
                <c:formatCode>0.0000000</c:formatCode>
                <c:ptCount val="2"/>
                <c:pt idx="0">
                  <c:v>25.471593227406807</c:v>
                </c:pt>
                <c:pt idx="1">
                  <c:v>11.920551356607607</c:v>
                </c:pt>
              </c:numCache>
            </c:numRef>
          </c:xVal>
          <c:yVal>
            <c:numRef>
              <c:f>Equatorial!$J$21:$J$22</c:f>
              <c:numCache>
                <c:formatCode>0.0000000</c:formatCode>
                <c:ptCount val="2"/>
                <c:pt idx="0">
                  <c:v>42.190937836767873</c:v>
                </c:pt>
                <c:pt idx="1">
                  <c:v>19.745103369720912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03-42FF-96EA-B9A3458015E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Equatorial!$K$19:$K$20</c:f>
              <c:numCache>
                <c:formatCode>0.0000000</c:formatCode>
                <c:ptCount val="2"/>
                <c:pt idx="0">
                  <c:v>-13.683851482680442</c:v>
                </c:pt>
                <c:pt idx="1">
                  <c:v>-6.4039596149003852</c:v>
                </c:pt>
              </c:numCache>
            </c:numRef>
          </c:xVal>
          <c:yVal>
            <c:numRef>
              <c:f>Equatorial!$L$19:$L$20</c:f>
              <c:numCache>
                <c:formatCode>0.0000000</c:formatCode>
                <c:ptCount val="2"/>
                <c:pt idx="0">
                  <c:v>-47.345849930996394</c:v>
                </c:pt>
                <c:pt idx="1">
                  <c:v>-22.157571008059715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703-42FF-96EA-B9A3458015E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Equatorial!$K$21:$K$22</c:f>
              <c:numCache>
                <c:formatCode>0.0000000</c:formatCode>
                <c:ptCount val="2"/>
                <c:pt idx="0">
                  <c:v>13.683851482680442</c:v>
                </c:pt>
                <c:pt idx="1">
                  <c:v>6.4039596149003852</c:v>
                </c:pt>
              </c:numCache>
            </c:numRef>
          </c:xVal>
          <c:yVal>
            <c:numRef>
              <c:f>Equatorial!$L$21:$L$22</c:f>
              <c:numCache>
                <c:formatCode>0.0000000</c:formatCode>
                <c:ptCount val="2"/>
                <c:pt idx="0">
                  <c:v>47.345849930996394</c:v>
                </c:pt>
                <c:pt idx="1">
                  <c:v>22.157571008059715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703-42FF-96EA-B9A3458015E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Equatorial!$M$19:$M$20</c:f>
              <c:numCache>
                <c:formatCode>0.0000000</c:formatCode>
                <c:ptCount val="2"/>
                <c:pt idx="0">
                  <c:v>-0.96357787162050645</c:v>
                </c:pt>
                <c:pt idx="1">
                  <c:v>-0.45094860781554241</c:v>
                </c:pt>
              </c:numCache>
            </c:numRef>
          </c:xVal>
          <c:yVal>
            <c:numRef>
              <c:f>Equatorial!$N$19:$N$20</c:f>
              <c:numCache>
                <c:formatCode>0.0000000</c:formatCode>
                <c:ptCount val="2"/>
                <c:pt idx="0">
                  <c:v>-49.274220590221518</c:v>
                </c:pt>
                <c:pt idx="1">
                  <c:v>-23.06003679701298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703-42FF-96EA-B9A3458015E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Equatorial!$M$21:$M$22</c:f>
              <c:numCache>
                <c:formatCode>0.0000000</c:formatCode>
                <c:ptCount val="2"/>
                <c:pt idx="0">
                  <c:v>0.96357787162050645</c:v>
                </c:pt>
                <c:pt idx="1">
                  <c:v>0.45094860781554241</c:v>
                </c:pt>
              </c:numCache>
            </c:numRef>
          </c:xVal>
          <c:yVal>
            <c:numRef>
              <c:f>Equatorial!$N$21:$N$22</c:f>
              <c:numCache>
                <c:formatCode>0.0000000</c:formatCode>
                <c:ptCount val="2"/>
                <c:pt idx="0">
                  <c:v>49.274220590221518</c:v>
                </c:pt>
                <c:pt idx="1">
                  <c:v>23.06003679701298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703-42FF-96EA-B9A3458015E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Equatorial!$O$19:$O$20</c:f>
              <c:numCache>
                <c:formatCode>0.0000000</c:formatCode>
                <c:ptCount val="2"/>
                <c:pt idx="0">
                  <c:v>11.822361979102824</c:v>
                </c:pt>
                <c:pt idx="1">
                  <c:v>5.5327938017110041</c:v>
                </c:pt>
              </c:numCache>
            </c:numRef>
          </c:xVal>
          <c:yVal>
            <c:numRef>
              <c:f>Equatorial!$P$19:$P$20</c:f>
              <c:numCache>
                <c:formatCode>0.0000000</c:formatCode>
                <c:ptCount val="2"/>
                <c:pt idx="0">
                  <c:v>-47.844634540599749</c:v>
                </c:pt>
                <c:pt idx="1">
                  <c:v>-22.390999184364947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703-42FF-96EA-B9A3458015E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Equatorial!$O$21:$O$22</c:f>
              <c:numCache>
                <c:formatCode>0.0000000</c:formatCode>
                <c:ptCount val="2"/>
                <c:pt idx="0">
                  <c:v>-11.822361979102824</c:v>
                </c:pt>
                <c:pt idx="1">
                  <c:v>-5.5327938017110041</c:v>
                </c:pt>
              </c:numCache>
            </c:numRef>
          </c:xVal>
          <c:yVal>
            <c:numRef>
              <c:f>Equatorial!$P$21:$P$22</c:f>
              <c:numCache>
                <c:formatCode>0.0000000</c:formatCode>
                <c:ptCount val="2"/>
                <c:pt idx="0">
                  <c:v>47.844634540599749</c:v>
                </c:pt>
                <c:pt idx="1">
                  <c:v>22.390999184364947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703-42FF-96EA-B9A3458015E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Equatorial!$Q$19:$Q$20</c:f>
              <c:numCache>
                <c:formatCode>0.0000000</c:formatCode>
                <c:ptCount val="2"/>
                <c:pt idx="0">
                  <c:v>23.802627397098082</c:v>
                </c:pt>
                <c:pt idx="1">
                  <c:v>11.139485456449783</c:v>
                </c:pt>
              </c:numCache>
            </c:numRef>
          </c:xVal>
          <c:yVal>
            <c:numRef>
              <c:f>Equatorial!$R$19:$R$20</c:f>
              <c:numCache>
                <c:formatCode>0.0000000</c:formatCode>
                <c:ptCount val="2"/>
                <c:pt idx="0">
                  <c:v>-43.154515709058799</c:v>
                </c:pt>
                <c:pt idx="1">
                  <c:v>-20.196051977850207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703-42FF-96EA-B9A3458015E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Equatorial!$Q$21:$Q$22</c:f>
              <c:numCache>
                <c:formatCode>0.0000000</c:formatCode>
                <c:ptCount val="2"/>
                <c:pt idx="0">
                  <c:v>-23.802627397098082</c:v>
                </c:pt>
                <c:pt idx="1">
                  <c:v>-11.139485456449783</c:v>
                </c:pt>
              </c:numCache>
            </c:numRef>
          </c:xVal>
          <c:yVal>
            <c:numRef>
              <c:f>Equatorial!$R$21:$R$22</c:f>
              <c:numCache>
                <c:formatCode>0.0000000</c:formatCode>
                <c:ptCount val="2"/>
                <c:pt idx="0">
                  <c:v>43.154515709058799</c:v>
                </c:pt>
                <c:pt idx="1">
                  <c:v>20.196051977850207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703-42FF-96EA-B9A3458015E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Equatorial!$S$19:$S$20</c:f>
              <c:numCache>
                <c:formatCode>0.0000000</c:formatCode>
                <c:ptCount val="2"/>
                <c:pt idx="0">
                  <c:v>34.160783055684533</c:v>
                </c:pt>
                <c:pt idx="1">
                  <c:v>15.987039568418702</c:v>
                </c:pt>
              </c:numCache>
            </c:numRef>
          </c:xVal>
          <c:yVal>
            <c:numRef>
              <c:f>Equatorial!$T$19:$T$20</c:f>
              <c:numCache>
                <c:formatCode>0.0000000</c:formatCode>
                <c:ptCount val="2"/>
                <c:pt idx="0">
                  <c:v>-35.523487977828751</c:v>
                </c:pt>
                <c:pt idx="1">
                  <c:v>-16.624777218486216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703-42FF-96EA-B9A3458015E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Equatorial!$S$21:$S$22</c:f>
              <c:numCache>
                <c:formatCode>0.0000000</c:formatCode>
                <c:ptCount val="2"/>
                <c:pt idx="0">
                  <c:v>-34.160783055684533</c:v>
                </c:pt>
                <c:pt idx="1">
                  <c:v>-15.987039568418702</c:v>
                </c:pt>
              </c:numCache>
            </c:numRef>
          </c:xVal>
          <c:yVal>
            <c:numRef>
              <c:f>Equatorial!$T$21:$T$22</c:f>
              <c:numCache>
                <c:formatCode>0.0000000</c:formatCode>
                <c:ptCount val="2"/>
                <c:pt idx="0">
                  <c:v>35.523487977828751</c:v>
                </c:pt>
                <c:pt idx="1">
                  <c:v>16.624777218486216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703-42FF-96EA-B9A3458015E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Equatorial!$Y$19:$Y$20</c:f>
              <c:numCache>
                <c:formatCode>0.0000000</c:formatCode>
                <c:ptCount val="2"/>
                <c:pt idx="0">
                  <c:v>49.274220590419155</c:v>
                </c:pt>
                <c:pt idx="1">
                  <c:v>23.060036797105472</c:v>
                </c:pt>
              </c:numCache>
            </c:numRef>
          </c:xVal>
          <c:yVal>
            <c:numRef>
              <c:f>Equatorial!$Z$19:$Z$20</c:f>
              <c:numCache>
                <c:formatCode>0.0000000</c:formatCode>
                <c:ptCount val="2"/>
                <c:pt idx="0">
                  <c:v>-0.963577861514193</c:v>
                </c:pt>
                <c:pt idx="1">
                  <c:v>-0.45094860308584894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703-42FF-96EA-B9A3458015E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Equatorial!$W$19:$W$20</c:f>
              <c:numCache>
                <c:formatCode>0.0000000</c:formatCode>
                <c:ptCount val="2"/>
                <c:pt idx="0">
                  <c:v>47.345849933803002</c:v>
                </c:pt>
                <c:pt idx="1">
                  <c:v>22.157571009373189</c:v>
                </c:pt>
              </c:numCache>
            </c:numRef>
          </c:xVal>
          <c:yVal>
            <c:numRef>
              <c:f>Equatorial!$X$19:$X$20</c:f>
              <c:numCache>
                <c:formatCode>0.0000000</c:formatCode>
                <c:ptCount val="2"/>
                <c:pt idx="0">
                  <c:v>-13.683851472969645</c:v>
                </c:pt>
                <c:pt idx="1">
                  <c:v>-6.4039596103557912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703-42FF-96EA-B9A3458015E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Equatorial!$U$19:$U$20</c:f>
              <c:numCache>
                <c:formatCode>0.0000000</c:formatCode>
                <c:ptCount val="2"/>
                <c:pt idx="0">
                  <c:v>42.190937841992181</c:v>
                </c:pt>
                <c:pt idx="1">
                  <c:v>19.745103372165858</c:v>
                </c:pt>
              </c:numCache>
            </c:numRef>
          </c:xVal>
          <c:yVal>
            <c:numRef>
              <c:f>Equatorial!$V$19:$V$20</c:f>
              <c:numCache>
                <c:formatCode>0.0000000</c:formatCode>
                <c:ptCount val="2"/>
                <c:pt idx="0">
                  <c:v>-25.471593218753302</c:v>
                </c:pt>
                <c:pt idx="1">
                  <c:v>-11.920551352557819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703-42FF-96EA-B9A3458015E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Equatorial!$W$21:$W$22</c:f>
              <c:numCache>
                <c:formatCode>0.0000000</c:formatCode>
                <c:ptCount val="2"/>
                <c:pt idx="0">
                  <c:v>-47.345849933803002</c:v>
                </c:pt>
                <c:pt idx="1">
                  <c:v>-22.157571009373189</c:v>
                </c:pt>
              </c:numCache>
            </c:numRef>
          </c:xVal>
          <c:yVal>
            <c:numRef>
              <c:f>Equatorial!$X$21:$X$22</c:f>
              <c:numCache>
                <c:formatCode>0.0000000</c:formatCode>
                <c:ptCount val="2"/>
                <c:pt idx="0">
                  <c:v>13.683851472969645</c:v>
                </c:pt>
                <c:pt idx="1">
                  <c:v>6.4039596103557912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03-42FF-96EA-B9A3458015E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Equatorial!$U$21:$U$22</c:f>
              <c:numCache>
                <c:formatCode>0.0000000</c:formatCode>
                <c:ptCount val="2"/>
                <c:pt idx="0">
                  <c:v>-42.190937841992181</c:v>
                </c:pt>
                <c:pt idx="1">
                  <c:v>-19.745103372165858</c:v>
                </c:pt>
              </c:numCache>
            </c:numRef>
          </c:xVal>
          <c:yVal>
            <c:numRef>
              <c:f>Equatorial!$V$21:$V$22</c:f>
              <c:numCache>
                <c:formatCode>0.0000000</c:formatCode>
                <c:ptCount val="2"/>
                <c:pt idx="0">
                  <c:v>25.471593218753302</c:v>
                </c:pt>
                <c:pt idx="1">
                  <c:v>11.920551352557819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703-42FF-96EA-B9A345801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999976"/>
        <c:axId val="444012112"/>
      </c:scatterChart>
      <c:valAx>
        <c:axId val="44399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12112"/>
        <c:crosses val="autoZero"/>
        <c:crossBetween val="midCat"/>
      </c:valAx>
      <c:valAx>
        <c:axId val="44401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9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Polar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Polar!$C$20:$C$30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-40.469607230186178</c:v>
                </c:pt>
                <c:pt idx="2">
                  <c:v>-40.469607230186178</c:v>
                </c:pt>
                <c:pt idx="3">
                  <c:v>-40.469607230186178</c:v>
                </c:pt>
                <c:pt idx="4">
                  <c:v>-40.469607230186178</c:v>
                </c:pt>
                <c:pt idx="5">
                  <c:v>-40.469607230186178</c:v>
                </c:pt>
                <c:pt idx="6">
                  <c:v>-40.469607230186178</c:v>
                </c:pt>
                <c:pt idx="7">
                  <c:v>-40.469607230186178</c:v>
                </c:pt>
                <c:pt idx="8">
                  <c:v>-40.469607230186178</c:v>
                </c:pt>
                <c:pt idx="9">
                  <c:v>-40.469607230186178</c:v>
                </c:pt>
                <c:pt idx="10">
                  <c:v>-40.469607230186178</c:v>
                </c:pt>
              </c:numCache>
            </c:numRef>
          </c:xVal>
          <c:yVal>
            <c:numRef>
              <c:f>Polar!$D$20:$D$30</c:f>
              <c:numCache>
                <c:formatCode>General</c:formatCode>
                <c:ptCount val="11"/>
                <c:pt idx="0">
                  <c:v>-18.071702375931391</c:v>
                </c:pt>
                <c:pt idx="1">
                  <c:v>-4.1882333682271131</c:v>
                </c:pt>
                <c:pt idx="2">
                  <c:v>-8.5253510020094776</c:v>
                </c:pt>
                <c:pt idx="3">
                  <c:v>-12.179765307023183</c:v>
                </c:pt>
                <c:pt idx="4">
                  <c:v>-15.344714883378145</c:v>
                </c:pt>
                <c:pt idx="5">
                  <c:v>8.7957835981724977E-2</c:v>
                </c:pt>
                <c:pt idx="6">
                  <c:v>4.0465018946513727</c:v>
                </c:pt>
                <c:pt idx="7">
                  <c:v>8.4360906962682023</c:v>
                </c:pt>
                <c:pt idx="8">
                  <c:v>12.196054179295206</c:v>
                </c:pt>
                <c:pt idx="9">
                  <c:v>15.298299361132798</c:v>
                </c:pt>
                <c:pt idx="10">
                  <c:v>18.073297175610278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C-4A45-87E7-47A0374661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Polar!$E$20:$E$30</c:f>
              <c:numCache>
                <c:formatCode>General</c:formatCode>
                <c:ptCount val="11"/>
                <c:pt idx="0">
                  <c:v>-18.130147991666362</c:v>
                </c:pt>
                <c:pt idx="1">
                  <c:v>-18.130147991666362</c:v>
                </c:pt>
                <c:pt idx="2">
                  <c:v>-18.130147991666362</c:v>
                </c:pt>
                <c:pt idx="3">
                  <c:v>-18.130147991666362</c:v>
                </c:pt>
                <c:pt idx="4">
                  <c:v>-18.130147991666362</c:v>
                </c:pt>
                <c:pt idx="5">
                  <c:v>-18.130147991666362</c:v>
                </c:pt>
                <c:pt idx="6">
                  <c:v>-18.130147991666362</c:v>
                </c:pt>
                <c:pt idx="7">
                  <c:v>-18.130147991666362</c:v>
                </c:pt>
                <c:pt idx="8">
                  <c:v>-18.130147991666362</c:v>
                </c:pt>
                <c:pt idx="9">
                  <c:v>-18.130147991666362</c:v>
                </c:pt>
                <c:pt idx="10">
                  <c:v>-18.130147991666362</c:v>
                </c:pt>
              </c:numCache>
            </c:numRef>
          </c:xVal>
          <c:yVal>
            <c:numRef>
              <c:f>Polar!$F$20:$F$30</c:f>
              <c:numCache>
                <c:formatCode>General</c:formatCode>
                <c:ptCount val="11"/>
                <c:pt idx="0">
                  <c:v>-8.9759085585244431</c:v>
                </c:pt>
                <c:pt idx="1">
                  <c:v>-2.0802245938398984</c:v>
                </c:pt>
                <c:pt idx="2">
                  <c:v>-4.2343974812952805</c:v>
                </c:pt>
                <c:pt idx="3">
                  <c:v>-6.0494831856976106</c:v>
                </c:pt>
                <c:pt idx="4">
                  <c:v>-7.6214600475752228</c:v>
                </c:pt>
                <c:pt idx="5">
                  <c:v>4.3687167725224602E-2</c:v>
                </c:pt>
                <c:pt idx="6">
                  <c:v>2.0098289708810402</c:v>
                </c:pt>
                <c:pt idx="7">
                  <c:v>4.1900633988954574</c:v>
                </c:pt>
                <c:pt idx="8">
                  <c:v>6.0575735927325276</c:v>
                </c:pt>
                <c:pt idx="9">
                  <c:v>7.5984062436388946</c:v>
                </c:pt>
                <c:pt idx="10">
                  <c:v>8.9767006685199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C-4A45-87E7-47A0374661F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Polar!$G$20:$G$30</c:f>
              <c:numCache>
                <c:formatCode>General</c:formatCode>
                <c:ptCount val="11"/>
                <c:pt idx="0">
                  <c:v>-10.398909141925902</c:v>
                </c:pt>
                <c:pt idx="1">
                  <c:v>-10.398909141925902</c:v>
                </c:pt>
                <c:pt idx="2">
                  <c:v>-10.398909141925902</c:v>
                </c:pt>
                <c:pt idx="3">
                  <c:v>-10.398909141925902</c:v>
                </c:pt>
                <c:pt idx="4">
                  <c:v>-10.398909141925902</c:v>
                </c:pt>
                <c:pt idx="5">
                  <c:v>-10.398909141925902</c:v>
                </c:pt>
                <c:pt idx="6">
                  <c:v>-10.398909141925902</c:v>
                </c:pt>
                <c:pt idx="7">
                  <c:v>-10.398909141925902</c:v>
                </c:pt>
                <c:pt idx="8">
                  <c:v>-10.398909141925902</c:v>
                </c:pt>
                <c:pt idx="9">
                  <c:v>-10.398909141925902</c:v>
                </c:pt>
                <c:pt idx="10">
                  <c:v>-10.398909141925902</c:v>
                </c:pt>
              </c:numCache>
            </c:numRef>
          </c:xVal>
          <c:yVal>
            <c:numRef>
              <c:f>Polar!$H$20:$H$30</c:f>
              <c:numCache>
                <c:formatCode>General</c:formatCode>
                <c:ptCount val="11"/>
                <c:pt idx="0">
                  <c:v>-6.2542537846589861</c:v>
                </c:pt>
                <c:pt idx="1">
                  <c:v>-1.4494635784371954</c:v>
                </c:pt>
                <c:pt idx="2">
                  <c:v>-2.9504530154766915</c:v>
                </c:pt>
                <c:pt idx="3">
                  <c:v>-4.2151725212762088</c:v>
                </c:pt>
                <c:pt idx="4">
                  <c:v>-5.3104981001511593</c:v>
                </c:pt>
                <c:pt idx="5">
                  <c:v>3.0440443137873772E-2</c:v>
                </c:pt>
                <c:pt idx="6">
                  <c:v>1.4004131576978107</c:v>
                </c:pt>
                <c:pt idx="7">
                  <c:v>2.9195618136746018</c:v>
                </c:pt>
                <c:pt idx="8">
                  <c:v>4.2208097733145555</c:v>
                </c:pt>
                <c:pt idx="9">
                  <c:v>5.2944346187131011</c:v>
                </c:pt>
                <c:pt idx="10">
                  <c:v>6.2548057128459371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C-4A45-87E7-47A0374661F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Polar!$I$20:$I$30</c:f>
              <c:numCache>
                <c:formatCode>General</c:formatCode>
                <c:ptCount val="11"/>
                <c:pt idx="0">
                  <c:v>-6.0372190174946141</c:v>
                </c:pt>
                <c:pt idx="1">
                  <c:v>-6.0372190174946141</c:v>
                </c:pt>
                <c:pt idx="2">
                  <c:v>-6.0372190174946141</c:v>
                </c:pt>
                <c:pt idx="3">
                  <c:v>-6.0372190174946141</c:v>
                </c:pt>
                <c:pt idx="4">
                  <c:v>-6.0372190174946141</c:v>
                </c:pt>
                <c:pt idx="5">
                  <c:v>-6.0372190174946141</c:v>
                </c:pt>
                <c:pt idx="6">
                  <c:v>-6.0372190174946141</c:v>
                </c:pt>
                <c:pt idx="7">
                  <c:v>-6.0372190174946141</c:v>
                </c:pt>
                <c:pt idx="8">
                  <c:v>-6.0372190174946141</c:v>
                </c:pt>
                <c:pt idx="9">
                  <c:v>-6.0372190174946141</c:v>
                </c:pt>
                <c:pt idx="10">
                  <c:v>-6.0372190174946141</c:v>
                </c:pt>
              </c:numCache>
            </c:numRef>
          </c:xVal>
          <c:yVal>
            <c:numRef>
              <c:f>Polar!$J$20:$J$30</c:f>
              <c:numCache>
                <c:formatCode>General</c:formatCode>
                <c:ptCount val="11"/>
                <c:pt idx="0">
                  <c:v>-5.0638885467804338</c:v>
                </c:pt>
                <c:pt idx="1">
                  <c:v>-1.1735887711860267</c:v>
                </c:pt>
                <c:pt idx="2">
                  <c:v>-2.3888965410284926</c:v>
                </c:pt>
                <c:pt idx="3">
                  <c:v>-3.4129033755476303</c:v>
                </c:pt>
                <c:pt idx="4">
                  <c:v>-4.2997568427775246</c:v>
                </c:pt>
                <c:pt idx="5">
                  <c:v>2.4646747105610923E-2</c:v>
                </c:pt>
                <c:pt idx="6">
                  <c:v>1.1338740630291246</c:v>
                </c:pt>
                <c:pt idx="7">
                  <c:v>2.3638848276590112</c:v>
                </c:pt>
                <c:pt idx="8">
                  <c:v>3.417467695611252</c:v>
                </c:pt>
                <c:pt idx="9">
                  <c:v>4.2867507060781902</c:v>
                </c:pt>
                <c:pt idx="10">
                  <c:v>5.0643354270831491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DC-4A45-87E7-47A0374661F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Polar!$K$20:$K$30</c:f>
              <c:numCache>
                <c:formatCode>General</c:formatCode>
                <c:ptCount val="11"/>
                <c:pt idx="0">
                  <c:v>-2.8901902706623277</c:v>
                </c:pt>
                <c:pt idx="1">
                  <c:v>-2.8901902706623277</c:v>
                </c:pt>
                <c:pt idx="2">
                  <c:v>-2.8901902706623277</c:v>
                </c:pt>
                <c:pt idx="3">
                  <c:v>-2.8901902706623277</c:v>
                </c:pt>
                <c:pt idx="4">
                  <c:v>-2.8901902706623277</c:v>
                </c:pt>
                <c:pt idx="5">
                  <c:v>-2.8901902706623277</c:v>
                </c:pt>
                <c:pt idx="6">
                  <c:v>-2.8901902706623277</c:v>
                </c:pt>
                <c:pt idx="7">
                  <c:v>-2.8901902706623277</c:v>
                </c:pt>
                <c:pt idx="8">
                  <c:v>-2.8901902706623277</c:v>
                </c:pt>
                <c:pt idx="9">
                  <c:v>-2.8901902706623277</c:v>
                </c:pt>
                <c:pt idx="10">
                  <c:v>-2.8901902706623277</c:v>
                </c:pt>
              </c:numCache>
            </c:numRef>
          </c:xVal>
          <c:yVal>
            <c:numRef>
              <c:f>Polar!$L$20:$L$30</c:f>
              <c:numCache>
                <c:formatCode>General</c:formatCode>
                <c:ptCount val="11"/>
                <c:pt idx="0">
                  <c:v>-4.5125434901034795</c:v>
                </c:pt>
                <c:pt idx="1">
                  <c:v>-1.045811004833648</c:v>
                </c:pt>
                <c:pt idx="2">
                  <c:v>-2.1287987354308289</c:v>
                </c:pt>
                <c:pt idx="3">
                  <c:v>-3.0413139561437155</c:v>
                </c:pt>
                <c:pt idx="4">
                  <c:v>-3.8316087667924146</c:v>
                </c:pt>
                <c:pt idx="5">
                  <c:v>2.1963263443932537E-2</c:v>
                </c:pt>
                <c:pt idx="6">
                  <c:v>1.0104203468246502</c:v>
                </c:pt>
                <c:pt idx="7">
                  <c:v>2.1065102424477939</c:v>
                </c:pt>
                <c:pt idx="8">
                  <c:v>3.0453813230692655</c:v>
                </c:pt>
                <c:pt idx="9">
                  <c:v>3.8200187096748874</c:v>
                </c:pt>
                <c:pt idx="10">
                  <c:v>4.5129417150608901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DC-4A45-87E7-47A0374661F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Polar!$M$20:$M$30</c:f>
              <c:numCache>
                <c:formatCode>General</c:formatCode>
                <c:ptCount val="11"/>
                <c:pt idx="0">
                  <c:v>-0.19555415795084716</c:v>
                </c:pt>
                <c:pt idx="1">
                  <c:v>-0.19555415795084716</c:v>
                </c:pt>
                <c:pt idx="2">
                  <c:v>-0.19555415795084716</c:v>
                </c:pt>
                <c:pt idx="3">
                  <c:v>-0.19555415795084716</c:v>
                </c:pt>
                <c:pt idx="4">
                  <c:v>-0.19555415795084716</c:v>
                </c:pt>
                <c:pt idx="5">
                  <c:v>-0.19555415795084716</c:v>
                </c:pt>
                <c:pt idx="6">
                  <c:v>-0.19555415795084716</c:v>
                </c:pt>
                <c:pt idx="7">
                  <c:v>-0.19555415795084716</c:v>
                </c:pt>
                <c:pt idx="8">
                  <c:v>-0.19555415795084716</c:v>
                </c:pt>
                <c:pt idx="9">
                  <c:v>-0.19555415795084716</c:v>
                </c:pt>
                <c:pt idx="10">
                  <c:v>-0.19555415795084716</c:v>
                </c:pt>
              </c:numCache>
            </c:numRef>
          </c:xVal>
          <c:yVal>
            <c:numRef>
              <c:f>Polar!$N$20:$N$30</c:f>
              <c:numCache>
                <c:formatCode>General</c:formatCode>
                <c:ptCount val="11"/>
                <c:pt idx="0">
                  <c:v>-4.3359428993572555</c:v>
                </c:pt>
                <c:pt idx="1">
                  <c:v>-1.0048826810030693</c:v>
                </c:pt>
                <c:pt idx="2">
                  <c:v>-2.0454871584717602</c:v>
                </c:pt>
                <c:pt idx="3">
                  <c:v>-2.9222906508885678</c:v>
                </c:pt>
                <c:pt idx="4">
                  <c:v>-3.6816568886093117</c:v>
                </c:pt>
                <c:pt idx="5">
                  <c:v>2.1103720415168399E-2</c:v>
                </c:pt>
                <c:pt idx="6">
                  <c:v>0.97087705365914845</c:v>
                </c:pt>
                <c:pt idx="7">
                  <c:v>2.0240709365341525</c:v>
                </c:pt>
                <c:pt idx="8">
                  <c:v>2.9261988394253864</c:v>
                </c:pt>
                <c:pt idx="9">
                  <c:v>3.6705204140308174</c:v>
                </c:pt>
                <c:pt idx="10">
                  <c:v>4.3363255395867002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DC-4A45-87E7-47A0374661F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Polar!$O$20:$O$30</c:f>
              <c:numCache>
                <c:formatCode>General</c:formatCode>
                <c:ptCount val="11"/>
                <c:pt idx="0">
                  <c:v>2.4709901314160243</c:v>
                </c:pt>
                <c:pt idx="1">
                  <c:v>2.4709901314160243</c:v>
                </c:pt>
                <c:pt idx="2">
                  <c:v>2.4709901314160243</c:v>
                </c:pt>
                <c:pt idx="3">
                  <c:v>2.4709901314160243</c:v>
                </c:pt>
                <c:pt idx="4">
                  <c:v>2.4709901314160243</c:v>
                </c:pt>
                <c:pt idx="5">
                  <c:v>2.4709901314160243</c:v>
                </c:pt>
                <c:pt idx="6">
                  <c:v>2.4709901314160243</c:v>
                </c:pt>
                <c:pt idx="7">
                  <c:v>2.4709901314160243</c:v>
                </c:pt>
                <c:pt idx="8">
                  <c:v>2.4709901314160243</c:v>
                </c:pt>
                <c:pt idx="9">
                  <c:v>2.4709901314160243</c:v>
                </c:pt>
                <c:pt idx="10">
                  <c:v>2.4709901314160243</c:v>
                </c:pt>
              </c:numCache>
            </c:numRef>
          </c:xVal>
          <c:yVal>
            <c:numRef>
              <c:f>Polar!$P$20:$P$30</c:f>
              <c:numCache>
                <c:formatCode>General</c:formatCode>
                <c:ptCount val="11"/>
                <c:pt idx="0">
                  <c:v>-4.4654998191748305</c:v>
                </c:pt>
                <c:pt idx="1">
                  <c:v>-1.0349083312366285</c:v>
                </c:pt>
                <c:pt idx="2">
                  <c:v>-2.106605817533735</c:v>
                </c:pt>
                <c:pt idx="3">
                  <c:v>-3.0096079851636439</c:v>
                </c:pt>
                <c:pt idx="4">
                  <c:v>-3.7916639014747457</c:v>
                </c:pt>
                <c:pt idx="5">
                  <c:v>2.1734294451114723E-2</c:v>
                </c:pt>
                <c:pt idx="6">
                  <c:v>0.9998866240140275</c:v>
                </c:pt>
                <c:pt idx="7">
                  <c:v>2.0845496840906557</c:v>
                </c:pt>
                <c:pt idx="8">
                  <c:v>3.0136329494239096</c:v>
                </c:pt>
                <c:pt idx="9">
                  <c:v>3.7801946717429882</c:v>
                </c:pt>
                <c:pt idx="10">
                  <c:v>4.4658938926013159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DC-4A45-87E7-47A0374661F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Polar!$Q$20:$Q$30</c:f>
              <c:numCache>
                <c:formatCode>General</c:formatCode>
                <c:ptCount val="11"/>
                <c:pt idx="0">
                  <c:v>5.5156747807278812</c:v>
                </c:pt>
                <c:pt idx="1">
                  <c:v>5.5156747807278812</c:v>
                </c:pt>
                <c:pt idx="2">
                  <c:v>5.5156747807278812</c:v>
                </c:pt>
                <c:pt idx="3">
                  <c:v>5.5156747807278812</c:v>
                </c:pt>
                <c:pt idx="4">
                  <c:v>5.5156747807278812</c:v>
                </c:pt>
                <c:pt idx="5">
                  <c:v>5.5156747807278812</c:v>
                </c:pt>
                <c:pt idx="6">
                  <c:v>5.5156747807278812</c:v>
                </c:pt>
                <c:pt idx="7">
                  <c:v>5.5156747807278812</c:v>
                </c:pt>
                <c:pt idx="8">
                  <c:v>5.5156747807278812</c:v>
                </c:pt>
                <c:pt idx="9">
                  <c:v>5.5156747807278812</c:v>
                </c:pt>
                <c:pt idx="10">
                  <c:v>5.5156747807278812</c:v>
                </c:pt>
              </c:numCache>
            </c:numRef>
          </c:xVal>
          <c:yVal>
            <c:numRef>
              <c:f>Polar!$R$20:$R$30</c:f>
              <c:numCache>
                <c:formatCode>General</c:formatCode>
                <c:ptCount val="11"/>
                <c:pt idx="0">
                  <c:v>-4.9508192451962936</c:v>
                </c:pt>
                <c:pt idx="1">
                  <c:v>-1.1473842326226018</c:v>
                </c:pt>
                <c:pt idx="2">
                  <c:v>-2.3355559390473148</c:v>
                </c:pt>
                <c:pt idx="3">
                  <c:v>-3.3366981831381977</c:v>
                </c:pt>
                <c:pt idx="4">
                  <c:v>-4.2037494961103894</c:v>
                </c:pt>
                <c:pt idx="5">
                  <c:v>2.4096420917384651E-2</c:v>
                </c:pt>
                <c:pt idx="6">
                  <c:v>1.1085562964142597</c:v>
                </c:pt>
                <c:pt idx="7">
                  <c:v>2.311102701034466</c:v>
                </c:pt>
                <c:pt idx="8">
                  <c:v>3.3411605885413698</c:v>
                </c:pt>
                <c:pt idx="9">
                  <c:v>4.1910337676179736</c:v>
                </c:pt>
                <c:pt idx="10">
                  <c:v>4.9512561473086807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DC-4A45-87E7-47A0374661F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9.6163932654938851</c:v>
                </c:pt>
                <c:pt idx="1">
                  <c:v>9.6163932654938851</c:v>
                </c:pt>
                <c:pt idx="2">
                  <c:v>9.6163932654938851</c:v>
                </c:pt>
                <c:pt idx="3">
                  <c:v>9.6163932654938851</c:v>
                </c:pt>
                <c:pt idx="4">
                  <c:v>9.6163932654938851</c:v>
                </c:pt>
                <c:pt idx="5">
                  <c:v>9.6163932654938851</c:v>
                </c:pt>
                <c:pt idx="6">
                  <c:v>9.6163932654938851</c:v>
                </c:pt>
                <c:pt idx="7">
                  <c:v>9.6163932654938851</c:v>
                </c:pt>
                <c:pt idx="8">
                  <c:v>9.6163932654938851</c:v>
                </c:pt>
                <c:pt idx="9">
                  <c:v>9.6163932654938851</c:v>
                </c:pt>
                <c:pt idx="10">
                  <c:v>9.6163932654938851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-6.0143364025199171</c:v>
                </c:pt>
                <c:pt idx="1">
                  <c:v>-1.3938611805783849</c:v>
                </c:pt>
                <c:pt idx="2">
                  <c:v>-2.8372716531639233</c:v>
                </c:pt>
                <c:pt idx="3">
                  <c:v>-4.0534756680001678</c:v>
                </c:pt>
                <c:pt idx="4">
                  <c:v>-5.1067838208924652</c:v>
                </c:pt>
                <c:pt idx="5">
                  <c:v>2.9272727263166893E-2</c:v>
                </c:pt>
                <c:pt idx="6">
                  <c:v>1.346692366972609</c:v>
                </c:pt>
                <c:pt idx="7">
                  <c:v>2.8075654586421055</c:v>
                </c:pt>
                <c:pt idx="8">
                  <c:v>4.0588966712583945</c:v>
                </c:pt>
                <c:pt idx="9">
                  <c:v>5.0913365454075628</c:v>
                </c:pt>
                <c:pt idx="10">
                  <c:v>6.0148671583703592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DC-4A45-87E7-47A0374661F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16.563917882815971</c:v>
                </c:pt>
                <c:pt idx="1">
                  <c:v>16.563917882815971</c:v>
                </c:pt>
                <c:pt idx="2">
                  <c:v>16.563917882815971</c:v>
                </c:pt>
                <c:pt idx="3">
                  <c:v>16.563917882815971</c:v>
                </c:pt>
                <c:pt idx="4">
                  <c:v>16.563917882815971</c:v>
                </c:pt>
                <c:pt idx="5">
                  <c:v>16.563917882815971</c:v>
                </c:pt>
                <c:pt idx="6">
                  <c:v>16.563917882815971</c:v>
                </c:pt>
                <c:pt idx="7">
                  <c:v>16.563917882815971</c:v>
                </c:pt>
                <c:pt idx="8">
                  <c:v>16.563917882815971</c:v>
                </c:pt>
                <c:pt idx="9">
                  <c:v>16.563917882815971</c:v>
                </c:pt>
                <c:pt idx="10">
                  <c:v>16.563917882815971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-8.3877834046217199</c:v>
                </c:pt>
                <c:pt idx="1">
                  <c:v>-1.9439228031713176</c:v>
                </c:pt>
                <c:pt idx="2">
                  <c:v>-3.9569486131239358</c:v>
                </c:pt>
                <c:pt idx="3">
                  <c:v>-5.6531051247556405</c:v>
                </c:pt>
                <c:pt idx="4">
                  <c:v>-7.1220819251024032</c:v>
                </c:pt>
                <c:pt idx="5">
                  <c:v>4.0824669508532023E-2</c:v>
                </c:pt>
                <c:pt idx="6">
                  <c:v>1.8781396867143707</c:v>
                </c:pt>
                <c:pt idx="7">
                  <c:v>3.9155194164930038</c:v>
                </c:pt>
                <c:pt idx="8">
                  <c:v>5.6606654270271761</c:v>
                </c:pt>
                <c:pt idx="9">
                  <c:v>7.100538667079026</c:v>
                </c:pt>
                <c:pt idx="10">
                  <c:v>8.3885236134853898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DC-4A45-87E7-47A0374661F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34.599798183521273</c:v>
                </c:pt>
                <c:pt idx="1">
                  <c:v>34.599798183521273</c:v>
                </c:pt>
                <c:pt idx="2">
                  <c:v>34.599798183521273</c:v>
                </c:pt>
                <c:pt idx="3">
                  <c:v>34.599798183521273</c:v>
                </c:pt>
                <c:pt idx="4">
                  <c:v>34.599798183521273</c:v>
                </c:pt>
                <c:pt idx="5">
                  <c:v>34.599798183521273</c:v>
                </c:pt>
                <c:pt idx="6">
                  <c:v>34.599798183521273</c:v>
                </c:pt>
                <c:pt idx="7">
                  <c:v>34.599798183521273</c:v>
                </c:pt>
                <c:pt idx="8">
                  <c:v>34.599798183521273</c:v>
                </c:pt>
                <c:pt idx="9">
                  <c:v>34.599798183521273</c:v>
                </c:pt>
                <c:pt idx="10">
                  <c:v>34.599798183521273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-15.613309404268774</c:v>
                </c:pt>
                <c:pt idx="1">
                  <c:v>-3.6184849703204818</c:v>
                </c:pt>
                <c:pt idx="2">
                  <c:v>-7.3656006614875738</c:v>
                </c:pt>
                <c:pt idx="3">
                  <c:v>-10.522884908906137</c:v>
                </c:pt>
                <c:pt idx="4">
                  <c:v>-13.257289004136961</c:v>
                </c:pt>
                <c:pt idx="5">
                  <c:v>7.599244825665287E-2</c:v>
                </c:pt>
                <c:pt idx="6">
                  <c:v>3.4960340078584058</c:v>
                </c:pt>
                <c:pt idx="7">
                  <c:v>7.2884829255893608</c:v>
                </c:pt>
                <c:pt idx="8">
                  <c:v>10.536957916381539</c:v>
                </c:pt>
                <c:pt idx="9">
                  <c:v>13.217187640419146</c:v>
                </c:pt>
                <c:pt idx="10">
                  <c:v>15.614687254584497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DC-4A45-87E7-47A0374661F0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Polar!$C$7:$C$17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Polar!$D$7:$D$17</c:f>
              <c:numCache>
                <c:formatCode>General</c:formatCode>
                <c:ptCount val="11"/>
                <c:pt idx="0">
                  <c:v>-4.1882333682271131</c:v>
                </c:pt>
                <c:pt idx="1">
                  <c:v>-2.0802245938398984</c:v>
                </c:pt>
                <c:pt idx="2">
                  <c:v>-1.4494635784371954</c:v>
                </c:pt>
                <c:pt idx="3">
                  <c:v>-1.1735887711860267</c:v>
                </c:pt>
                <c:pt idx="4">
                  <c:v>-1.045811004833648</c:v>
                </c:pt>
                <c:pt idx="5">
                  <c:v>-1.0048826810030693</c:v>
                </c:pt>
                <c:pt idx="6">
                  <c:v>-1.0349083312366285</c:v>
                </c:pt>
                <c:pt idx="7">
                  <c:v>-1.1473842326226018</c:v>
                </c:pt>
                <c:pt idx="8">
                  <c:v>-1.3938611805783849</c:v>
                </c:pt>
                <c:pt idx="9">
                  <c:v>-1.9439228031713176</c:v>
                </c:pt>
                <c:pt idx="10">
                  <c:v>-3.6184849703204818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DC-4A45-87E7-47A0374661F0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Polar!$E$7:$E$17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Polar!$F$7:$F$17</c:f>
              <c:numCache>
                <c:formatCode>General</c:formatCode>
                <c:ptCount val="11"/>
                <c:pt idx="0">
                  <c:v>-8.5253510020094776</c:v>
                </c:pt>
                <c:pt idx="1">
                  <c:v>-4.2343974812952805</c:v>
                </c:pt>
                <c:pt idx="2">
                  <c:v>-2.9504530154766915</c:v>
                </c:pt>
                <c:pt idx="3">
                  <c:v>-2.3888965410284926</c:v>
                </c:pt>
                <c:pt idx="4">
                  <c:v>-2.1287987354308289</c:v>
                </c:pt>
                <c:pt idx="5">
                  <c:v>-2.0454871584717602</c:v>
                </c:pt>
                <c:pt idx="6">
                  <c:v>-2.106605817533735</c:v>
                </c:pt>
                <c:pt idx="7">
                  <c:v>-2.3355559390473148</c:v>
                </c:pt>
                <c:pt idx="8">
                  <c:v>-2.8372716531639233</c:v>
                </c:pt>
                <c:pt idx="9">
                  <c:v>-3.9569486131239358</c:v>
                </c:pt>
                <c:pt idx="10">
                  <c:v>-7.3656006614875738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DC-4A45-87E7-47A0374661F0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Polar!$G$7:$G$17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Polar!$H$7:$H$17</c:f>
              <c:numCache>
                <c:formatCode>General</c:formatCode>
                <c:ptCount val="11"/>
                <c:pt idx="0">
                  <c:v>-12.179765307023183</c:v>
                </c:pt>
                <c:pt idx="1">
                  <c:v>-6.0494831856976106</c:v>
                </c:pt>
                <c:pt idx="2">
                  <c:v>-4.2151725212762088</c:v>
                </c:pt>
                <c:pt idx="3">
                  <c:v>-3.4129033755476303</c:v>
                </c:pt>
                <c:pt idx="4">
                  <c:v>-3.0413139561437155</c:v>
                </c:pt>
                <c:pt idx="5">
                  <c:v>-2.9222906508885678</c:v>
                </c:pt>
                <c:pt idx="6">
                  <c:v>-3.0096079851636439</c:v>
                </c:pt>
                <c:pt idx="7">
                  <c:v>-3.3366981831381977</c:v>
                </c:pt>
                <c:pt idx="8">
                  <c:v>-4.0534756680001678</c:v>
                </c:pt>
                <c:pt idx="9">
                  <c:v>-5.6531051247556405</c:v>
                </c:pt>
                <c:pt idx="10">
                  <c:v>-10.522884908906137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DC-4A45-87E7-47A0374661F0}"/>
            </c:ext>
          </c:extLst>
        </c:ser>
        <c:ser>
          <c:idx val="11"/>
          <c:order val="14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5DC-4A45-87E7-47A0374661F0}"/>
              </c:ext>
            </c:extLst>
          </c:dPt>
          <c:xVal>
            <c:numRef>
              <c:f>Polar!$A$7:$A$17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Polar!$B$7:$B$17</c:f>
              <c:numCache>
                <c:formatCode>General</c:formatCode>
                <c:ptCount val="11"/>
                <c:pt idx="0">
                  <c:v>-18.071702375931391</c:v>
                </c:pt>
                <c:pt idx="1">
                  <c:v>-8.9759085585244431</c:v>
                </c:pt>
                <c:pt idx="2">
                  <c:v>-6.2542537846589861</c:v>
                </c:pt>
                <c:pt idx="3">
                  <c:v>-5.0638885467804338</c:v>
                </c:pt>
                <c:pt idx="4">
                  <c:v>-4.5125434901034795</c:v>
                </c:pt>
                <c:pt idx="5">
                  <c:v>-4.3359428993572555</c:v>
                </c:pt>
                <c:pt idx="6">
                  <c:v>-4.4654998191748305</c:v>
                </c:pt>
                <c:pt idx="7">
                  <c:v>-4.9508192451962936</c:v>
                </c:pt>
                <c:pt idx="8">
                  <c:v>-6.0143364025199171</c:v>
                </c:pt>
                <c:pt idx="9">
                  <c:v>-8.3877834046217199</c:v>
                </c:pt>
                <c:pt idx="10">
                  <c:v>-15.613309404268774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DC-4A45-87E7-47A0374661F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Polar!$I$7:$I$17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Polar!$J$7:$J$17</c:f>
              <c:numCache>
                <c:formatCode>General</c:formatCode>
                <c:ptCount val="11"/>
                <c:pt idx="0">
                  <c:v>-15.344714883378145</c:v>
                </c:pt>
                <c:pt idx="1">
                  <c:v>-7.6214600475752228</c:v>
                </c:pt>
                <c:pt idx="2">
                  <c:v>-5.3104981001511593</c:v>
                </c:pt>
                <c:pt idx="3">
                  <c:v>-4.2997568427775246</c:v>
                </c:pt>
                <c:pt idx="4">
                  <c:v>-3.8316087667924146</c:v>
                </c:pt>
                <c:pt idx="5">
                  <c:v>-3.6816568886093117</c:v>
                </c:pt>
                <c:pt idx="6">
                  <c:v>-3.7916639014747457</c:v>
                </c:pt>
                <c:pt idx="7">
                  <c:v>-4.2037494961103894</c:v>
                </c:pt>
                <c:pt idx="8">
                  <c:v>-5.1067838208924652</c:v>
                </c:pt>
                <c:pt idx="9">
                  <c:v>-7.1220819251024032</c:v>
                </c:pt>
                <c:pt idx="10">
                  <c:v>-13.257289004136961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DC-4A45-87E7-47A0374661F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8.7957835981724977E-2</c:v>
                </c:pt>
                <c:pt idx="1">
                  <c:v>4.3687167725224602E-2</c:v>
                </c:pt>
                <c:pt idx="2">
                  <c:v>3.0440443137873772E-2</c:v>
                </c:pt>
                <c:pt idx="3">
                  <c:v>2.4646747105610923E-2</c:v>
                </c:pt>
                <c:pt idx="4">
                  <c:v>2.1963263443932537E-2</c:v>
                </c:pt>
                <c:pt idx="5">
                  <c:v>2.1103720415168399E-2</c:v>
                </c:pt>
                <c:pt idx="6">
                  <c:v>2.1734294451114723E-2</c:v>
                </c:pt>
                <c:pt idx="7">
                  <c:v>2.4096420917384651E-2</c:v>
                </c:pt>
                <c:pt idx="8">
                  <c:v>2.9272727263166893E-2</c:v>
                </c:pt>
                <c:pt idx="9">
                  <c:v>4.0824669508532023E-2</c:v>
                </c:pt>
                <c:pt idx="10">
                  <c:v>7.599244825665287E-2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DC-4A45-87E7-47A0374661F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34.599798183521273</c:v>
                </c:pt>
                <c:pt idx="1">
                  <c:v>34.599798183521273</c:v>
                </c:pt>
                <c:pt idx="2">
                  <c:v>34.599798183521273</c:v>
                </c:pt>
                <c:pt idx="3">
                  <c:v>34.599798183521273</c:v>
                </c:pt>
                <c:pt idx="4">
                  <c:v>34.599798183521273</c:v>
                </c:pt>
                <c:pt idx="5">
                  <c:v>34.599798183521273</c:v>
                </c:pt>
                <c:pt idx="6">
                  <c:v>34.599798183521273</c:v>
                </c:pt>
                <c:pt idx="7">
                  <c:v>34.599798183521273</c:v>
                </c:pt>
                <c:pt idx="8">
                  <c:v>34.599798183521273</c:v>
                </c:pt>
                <c:pt idx="9">
                  <c:v>34.599798183521273</c:v>
                </c:pt>
                <c:pt idx="10">
                  <c:v>34.599798183521273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-15.613309404268774</c:v>
                </c:pt>
                <c:pt idx="1">
                  <c:v>-3.6184849703204818</c:v>
                </c:pt>
                <c:pt idx="2">
                  <c:v>-7.3656006614875738</c:v>
                </c:pt>
                <c:pt idx="3">
                  <c:v>-10.522884908906137</c:v>
                </c:pt>
                <c:pt idx="4">
                  <c:v>-13.257289004136961</c:v>
                </c:pt>
                <c:pt idx="5">
                  <c:v>7.599244825665287E-2</c:v>
                </c:pt>
                <c:pt idx="6">
                  <c:v>3.4960340078584058</c:v>
                </c:pt>
                <c:pt idx="7">
                  <c:v>7.2884829255893608</c:v>
                </c:pt>
                <c:pt idx="8">
                  <c:v>10.536957916381539</c:v>
                </c:pt>
                <c:pt idx="9">
                  <c:v>13.217187640419146</c:v>
                </c:pt>
                <c:pt idx="10">
                  <c:v>15.614687254584497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DC-4A45-87E7-47A0374661F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16.563917882815971</c:v>
                </c:pt>
                <c:pt idx="1">
                  <c:v>16.563917882815971</c:v>
                </c:pt>
                <c:pt idx="2">
                  <c:v>16.563917882815971</c:v>
                </c:pt>
                <c:pt idx="3">
                  <c:v>16.563917882815971</c:v>
                </c:pt>
                <c:pt idx="4">
                  <c:v>16.563917882815971</c:v>
                </c:pt>
                <c:pt idx="5">
                  <c:v>16.563917882815971</c:v>
                </c:pt>
                <c:pt idx="6">
                  <c:v>16.563917882815971</c:v>
                </c:pt>
                <c:pt idx="7">
                  <c:v>16.563917882815971</c:v>
                </c:pt>
                <c:pt idx="8">
                  <c:v>16.563917882815971</c:v>
                </c:pt>
                <c:pt idx="9">
                  <c:v>16.563917882815971</c:v>
                </c:pt>
                <c:pt idx="10">
                  <c:v>16.563917882815971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-8.3877834046217199</c:v>
                </c:pt>
                <c:pt idx="1">
                  <c:v>-1.9439228031713176</c:v>
                </c:pt>
                <c:pt idx="2">
                  <c:v>-3.9569486131239358</c:v>
                </c:pt>
                <c:pt idx="3">
                  <c:v>-5.6531051247556405</c:v>
                </c:pt>
                <c:pt idx="4">
                  <c:v>-7.1220819251024032</c:v>
                </c:pt>
                <c:pt idx="5">
                  <c:v>4.0824669508532023E-2</c:v>
                </c:pt>
                <c:pt idx="6">
                  <c:v>1.8781396867143707</c:v>
                </c:pt>
                <c:pt idx="7">
                  <c:v>3.9155194164930038</c:v>
                </c:pt>
                <c:pt idx="8">
                  <c:v>5.6606654270271761</c:v>
                </c:pt>
                <c:pt idx="9">
                  <c:v>7.100538667079026</c:v>
                </c:pt>
                <c:pt idx="10">
                  <c:v>8.3885236134853898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DC-4A45-87E7-47A0374661F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9.6163932654938851</c:v>
                </c:pt>
                <c:pt idx="1">
                  <c:v>9.6163932654938851</c:v>
                </c:pt>
                <c:pt idx="2">
                  <c:v>9.6163932654938851</c:v>
                </c:pt>
                <c:pt idx="3">
                  <c:v>9.6163932654938851</c:v>
                </c:pt>
                <c:pt idx="4">
                  <c:v>9.6163932654938851</c:v>
                </c:pt>
                <c:pt idx="5">
                  <c:v>9.6163932654938851</c:v>
                </c:pt>
                <c:pt idx="6">
                  <c:v>9.6163932654938851</c:v>
                </c:pt>
                <c:pt idx="7">
                  <c:v>9.6163932654938851</c:v>
                </c:pt>
                <c:pt idx="8">
                  <c:v>9.6163932654938851</c:v>
                </c:pt>
                <c:pt idx="9">
                  <c:v>9.6163932654938851</c:v>
                </c:pt>
                <c:pt idx="10">
                  <c:v>9.6163932654938851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-6.0143364025199171</c:v>
                </c:pt>
                <c:pt idx="1">
                  <c:v>-1.3938611805783849</c:v>
                </c:pt>
                <c:pt idx="2">
                  <c:v>-2.8372716531639233</c:v>
                </c:pt>
                <c:pt idx="3">
                  <c:v>-4.0534756680001678</c:v>
                </c:pt>
                <c:pt idx="4">
                  <c:v>-5.1067838208924652</c:v>
                </c:pt>
                <c:pt idx="5">
                  <c:v>2.9272727263166893E-2</c:v>
                </c:pt>
                <c:pt idx="6">
                  <c:v>1.346692366972609</c:v>
                </c:pt>
                <c:pt idx="7">
                  <c:v>2.8075654586421055</c:v>
                </c:pt>
                <c:pt idx="8">
                  <c:v>4.0588966712583945</c:v>
                </c:pt>
                <c:pt idx="9">
                  <c:v>5.0913365454075628</c:v>
                </c:pt>
                <c:pt idx="10">
                  <c:v>6.0148671583703592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DC-4A45-87E7-47A0374661F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Polar!$U$7:$U$17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Polar!$V$7:$V$17</c:f>
              <c:numCache>
                <c:formatCode>General</c:formatCode>
                <c:ptCount val="11"/>
                <c:pt idx="0">
                  <c:v>18.073297175610278</c:v>
                </c:pt>
                <c:pt idx="1">
                  <c:v>8.9767006685199</c:v>
                </c:pt>
                <c:pt idx="2">
                  <c:v>6.2548057128459371</c:v>
                </c:pt>
                <c:pt idx="3">
                  <c:v>5.0643354270831491</c:v>
                </c:pt>
                <c:pt idx="4">
                  <c:v>4.5129417150608901</c:v>
                </c:pt>
                <c:pt idx="5">
                  <c:v>4.3363255395867002</c:v>
                </c:pt>
                <c:pt idx="6">
                  <c:v>4.4658938926013159</c:v>
                </c:pt>
                <c:pt idx="7">
                  <c:v>4.9512561473086807</c:v>
                </c:pt>
                <c:pt idx="8">
                  <c:v>6.0148671583703592</c:v>
                </c:pt>
                <c:pt idx="9">
                  <c:v>8.3885236134853898</c:v>
                </c:pt>
                <c:pt idx="10">
                  <c:v>15.614687254584497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DC-4A45-87E7-47A0374661F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Polar!$S$7:$S$17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Polar!$T$7:$T$17</c:f>
              <c:numCache>
                <c:formatCode>General</c:formatCode>
                <c:ptCount val="11"/>
                <c:pt idx="0">
                  <c:v>15.298299361132798</c:v>
                </c:pt>
                <c:pt idx="1">
                  <c:v>7.5984062436388946</c:v>
                </c:pt>
                <c:pt idx="2">
                  <c:v>5.2944346187131011</c:v>
                </c:pt>
                <c:pt idx="3">
                  <c:v>4.2867507060781902</c:v>
                </c:pt>
                <c:pt idx="4">
                  <c:v>3.8200187096748874</c:v>
                </c:pt>
                <c:pt idx="5">
                  <c:v>3.6705204140308174</c:v>
                </c:pt>
                <c:pt idx="6">
                  <c:v>3.7801946717429882</c:v>
                </c:pt>
                <c:pt idx="7">
                  <c:v>4.1910337676179736</c:v>
                </c:pt>
                <c:pt idx="8">
                  <c:v>5.0913365454075628</c:v>
                </c:pt>
                <c:pt idx="9">
                  <c:v>7.100538667079026</c:v>
                </c:pt>
                <c:pt idx="10">
                  <c:v>13.217187640419146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DC-4A45-87E7-47A0374661F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Polar!$Q$7:$Q$17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Polar!$R$7:$R$17</c:f>
              <c:numCache>
                <c:formatCode>General</c:formatCode>
                <c:ptCount val="11"/>
                <c:pt idx="0">
                  <c:v>12.196054179295206</c:v>
                </c:pt>
                <c:pt idx="1">
                  <c:v>6.0575735927325276</c:v>
                </c:pt>
                <c:pt idx="2">
                  <c:v>4.2208097733145555</c:v>
                </c:pt>
                <c:pt idx="3">
                  <c:v>3.417467695611252</c:v>
                </c:pt>
                <c:pt idx="4">
                  <c:v>3.0453813230692655</c:v>
                </c:pt>
                <c:pt idx="5">
                  <c:v>2.9261988394253864</c:v>
                </c:pt>
                <c:pt idx="6">
                  <c:v>3.0136329494239096</c:v>
                </c:pt>
                <c:pt idx="7">
                  <c:v>3.3411605885413698</c:v>
                </c:pt>
                <c:pt idx="8">
                  <c:v>4.0588966712583945</c:v>
                </c:pt>
                <c:pt idx="9">
                  <c:v>5.6606654270271761</c:v>
                </c:pt>
                <c:pt idx="10">
                  <c:v>10.536957916381539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DC-4A45-87E7-47A0374661F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Polar!$O$7:$O$17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Polar!$P$7:$P$17</c:f>
              <c:numCache>
                <c:formatCode>General</c:formatCode>
                <c:ptCount val="11"/>
                <c:pt idx="0">
                  <c:v>8.4360906962682023</c:v>
                </c:pt>
                <c:pt idx="1">
                  <c:v>4.1900633988954574</c:v>
                </c:pt>
                <c:pt idx="2">
                  <c:v>2.9195618136746018</c:v>
                </c:pt>
                <c:pt idx="3">
                  <c:v>2.3638848276590112</c:v>
                </c:pt>
                <c:pt idx="4">
                  <c:v>2.1065102424477939</c:v>
                </c:pt>
                <c:pt idx="5">
                  <c:v>2.0240709365341525</c:v>
                </c:pt>
                <c:pt idx="6">
                  <c:v>2.0845496840906557</c:v>
                </c:pt>
                <c:pt idx="7">
                  <c:v>2.311102701034466</c:v>
                </c:pt>
                <c:pt idx="8">
                  <c:v>2.8075654586421055</c:v>
                </c:pt>
                <c:pt idx="9">
                  <c:v>3.9155194164930038</c:v>
                </c:pt>
                <c:pt idx="10">
                  <c:v>7.2884829255893608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DC-4A45-87E7-47A0374661F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Polar!$M$7:$M$17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Polar!$N$7:$N$17</c:f>
              <c:numCache>
                <c:formatCode>General</c:formatCode>
                <c:ptCount val="11"/>
                <c:pt idx="0">
                  <c:v>4.0465018946513727</c:v>
                </c:pt>
                <c:pt idx="1">
                  <c:v>2.0098289708810402</c:v>
                </c:pt>
                <c:pt idx="2">
                  <c:v>1.4004131576978107</c:v>
                </c:pt>
                <c:pt idx="3">
                  <c:v>1.1338740630291246</c:v>
                </c:pt>
                <c:pt idx="4">
                  <c:v>1.0104203468246502</c:v>
                </c:pt>
                <c:pt idx="5">
                  <c:v>0.97087705365914845</c:v>
                </c:pt>
                <c:pt idx="6">
                  <c:v>0.9998866240140275</c:v>
                </c:pt>
                <c:pt idx="7">
                  <c:v>1.1085562964142597</c:v>
                </c:pt>
                <c:pt idx="8">
                  <c:v>1.346692366972609</c:v>
                </c:pt>
                <c:pt idx="9">
                  <c:v>1.8781396867143707</c:v>
                </c:pt>
                <c:pt idx="10">
                  <c:v>3.4960340078584058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DC-4A45-87E7-47A0374661F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8.7957835981724977E-2</c:v>
                </c:pt>
                <c:pt idx="1">
                  <c:v>4.3687167725224602E-2</c:v>
                </c:pt>
                <c:pt idx="2">
                  <c:v>3.0440443137873772E-2</c:v>
                </c:pt>
                <c:pt idx="3">
                  <c:v>2.4646747105610923E-2</c:v>
                </c:pt>
                <c:pt idx="4">
                  <c:v>2.1963263443932537E-2</c:v>
                </c:pt>
                <c:pt idx="5">
                  <c:v>2.1103720415168399E-2</c:v>
                </c:pt>
                <c:pt idx="6">
                  <c:v>2.1734294451114723E-2</c:v>
                </c:pt>
                <c:pt idx="7">
                  <c:v>2.4096420917384651E-2</c:v>
                </c:pt>
                <c:pt idx="8">
                  <c:v>2.9272727263166893E-2</c:v>
                </c:pt>
                <c:pt idx="9">
                  <c:v>4.0824669508532023E-2</c:v>
                </c:pt>
                <c:pt idx="10">
                  <c:v>7.599244825665287E-2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5DC-4A45-87E7-47A037466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449208"/>
        <c:axId val="628449536"/>
      </c:scatterChart>
      <c:valAx>
        <c:axId val="62844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536"/>
        <c:crosses val="autoZero"/>
        <c:crossBetween val="midCat"/>
        <c:majorUnit val="5"/>
      </c:valAx>
      <c:valAx>
        <c:axId val="62844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cs typeface="B Nazanin" panose="00000400000000000000" pitchFamily="2" charset="-78"/>
              </a:rPr>
              <a:t>Horizontal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70778652668416E-2"/>
          <c:y val="0.11069608378160649"/>
          <c:w val="0.90972922134733158"/>
          <c:h val="0.8407274239234947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Horizontal!$A$7:$A$17</c:f>
              <c:numCache>
                <c:formatCode>General</c:formatCode>
                <c:ptCount val="11"/>
                <c:pt idx="0">
                  <c:v>-21.679915464394615</c:v>
                </c:pt>
                <c:pt idx="1">
                  <c:v>-13.571768933639035</c:v>
                </c:pt>
                <c:pt idx="2">
                  <c:v>-8.8347878744006643</c:v>
                </c:pt>
                <c:pt idx="3">
                  <c:v>-5.4508514672700414</c:v>
                </c:pt>
                <c:pt idx="4">
                  <c:v>-2.6875539507442641</c:v>
                </c:pt>
                <c:pt idx="5">
                  <c:v>-0.18360307586903224</c:v>
                </c:pt>
                <c:pt idx="6">
                  <c:v>2.3036255996417698</c:v>
                </c:pt>
                <c:pt idx="7">
                  <c:v>5.0098090820582453</c:v>
                </c:pt>
                <c:pt idx="8">
                  <c:v>8.2683252974736341</c:v>
                </c:pt>
                <c:pt idx="9">
                  <c:v>12.726299721352028</c:v>
                </c:pt>
                <c:pt idx="10">
                  <c:v>20.078583112834856</c:v>
                </c:pt>
              </c:numCache>
            </c:numRef>
          </c:xVal>
          <c:yVal>
            <c:numRef>
              <c:f>Horizontal!$B$7:$B$17</c:f>
              <c:numCache>
                <c:formatCode>General</c:formatCode>
                <c:ptCount val="11"/>
                <c:pt idx="0">
                  <c:v>-4.7353288896159418</c:v>
                </c:pt>
                <c:pt idx="1">
                  <c:v>-1.0877532211300112</c:v>
                </c:pt>
                <c:pt idx="2">
                  <c:v>0.64316475086219871</c:v>
                </c:pt>
                <c:pt idx="3">
                  <c:v>1.5562598146349114</c:v>
                </c:pt>
                <c:pt idx="4">
                  <c:v>2.0191539281183868</c:v>
                </c:pt>
                <c:pt idx="5">
                  <c:v>2.1733366848737927</c:v>
                </c:pt>
                <c:pt idx="6">
                  <c:v>2.0599363342287762</c:v>
                </c:pt>
                <c:pt idx="7">
                  <c:v>1.6489843467845924</c:v>
                </c:pt>
                <c:pt idx="8">
                  <c:v>0.81842175989368382</c:v>
                </c:pt>
                <c:pt idx="9">
                  <c:v>-0.74949844253475673</c:v>
                </c:pt>
                <c:pt idx="10">
                  <c:v>-3.9710719380838579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C-43FD-AD1C-2E1A007A760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Horizontal!$C$7:$C$17</c:f>
              <c:numCache>
                <c:formatCode>General</c:formatCode>
                <c:ptCount val="11"/>
                <c:pt idx="0">
                  <c:v>-38.306374180929225</c:v>
                </c:pt>
                <c:pt idx="1">
                  <c:v>-19.422684562882683</c:v>
                </c:pt>
                <c:pt idx="2">
                  <c:v>-11.597613917023715</c:v>
                </c:pt>
                <c:pt idx="3">
                  <c:v>-6.8562490041989683</c:v>
                </c:pt>
                <c:pt idx="4">
                  <c:v>-3.3103169223638247</c:v>
                </c:pt>
                <c:pt idx="5">
                  <c:v>-0.22459491720487534</c:v>
                </c:pt>
                <c:pt idx="6">
                  <c:v>2.8322446012333384</c:v>
                </c:pt>
                <c:pt idx="7">
                  <c:v>6.2748478904280782</c:v>
                </c:pt>
                <c:pt idx="8">
                  <c:v>10.763849027393995</c:v>
                </c:pt>
                <c:pt idx="9">
                  <c:v>17.897304917639847</c:v>
                </c:pt>
                <c:pt idx="10">
                  <c:v>33.814544213549546</c:v>
                </c:pt>
              </c:numCache>
            </c:numRef>
          </c:xVal>
          <c:yVal>
            <c:numRef>
              <c:f>Horizontal!$D$7:$D$17</c:f>
              <c:numCache>
                <c:formatCode>General</c:formatCode>
                <c:ptCount val="11"/>
                <c:pt idx="0">
                  <c:v>2.3046060771867167</c:v>
                </c:pt>
                <c:pt idx="1">
                  <c:v>4.4421860862930727</c:v>
                </c:pt>
                <c:pt idx="2">
                  <c:v>5.1958081675254739</c:v>
                </c:pt>
                <c:pt idx="3">
                  <c:v>5.5452239814985296</c:v>
                </c:pt>
                <c:pt idx="4">
                  <c:v>5.7114305112627228</c:v>
                </c:pt>
                <c:pt idx="5">
                  <c:v>5.7652698810263745</c:v>
                </c:pt>
                <c:pt idx="6">
                  <c:v>5.7257436834724658</c:v>
                </c:pt>
                <c:pt idx="7">
                  <c:v>5.579079597364192</c:v>
                </c:pt>
                <c:pt idx="8">
                  <c:v>5.2652194016982712</c:v>
                </c:pt>
                <c:pt idx="9">
                  <c:v>4.5999595782526717</c:v>
                </c:pt>
                <c:pt idx="10">
                  <c:v>2.831660111673107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5C-43FD-AD1C-2E1A007A760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Horizontal!$E$7:$E$17</c:f>
              <c:numCache>
                <c:formatCode>General</c:formatCode>
                <c:ptCount val="11"/>
                <c:pt idx="0">
                  <c:v>-30.902775531090732</c:v>
                </c:pt>
                <c:pt idx="1">
                  <c:v>-17.117382025198463</c:v>
                </c:pt>
                <c:pt idx="2">
                  <c:v>-10.565450113914464</c:v>
                </c:pt>
                <c:pt idx="3">
                  <c:v>-6.3451773307609152</c:v>
                </c:pt>
                <c:pt idx="4">
                  <c:v>-3.0868638778650923</c:v>
                </c:pt>
                <c:pt idx="5">
                  <c:v>-0.20995158741409442</c:v>
                </c:pt>
                <c:pt idx="6">
                  <c:v>2.6427934282429275</c:v>
                </c:pt>
                <c:pt idx="7">
                  <c:v>5.8160572472517291</c:v>
                </c:pt>
                <c:pt idx="8">
                  <c:v>9.8364127107197348</c:v>
                </c:pt>
                <c:pt idx="9">
                  <c:v>15.88142152816838</c:v>
                </c:pt>
                <c:pt idx="10">
                  <c:v>27.860431695631437</c:v>
                </c:pt>
              </c:numCache>
            </c:numRef>
          </c:xVal>
          <c:yVal>
            <c:numRef>
              <c:f>Horizontal!$F$7:$F$17</c:f>
              <c:numCache>
                <c:formatCode>General</c:formatCode>
                <c:ptCount val="11"/>
                <c:pt idx="0">
                  <c:v>-0.83020777005412949</c:v>
                </c:pt>
                <c:pt idx="1">
                  <c:v>2.2633505114088535</c:v>
                </c:pt>
                <c:pt idx="2">
                  <c:v>3.4949867366249183</c:v>
                </c:pt>
                <c:pt idx="3">
                  <c:v>4.0946404003587267</c:v>
                </c:pt>
                <c:pt idx="4">
                  <c:v>4.3866079363280752</c:v>
                </c:pt>
                <c:pt idx="5">
                  <c:v>4.482139856522581</c:v>
                </c:pt>
                <c:pt idx="6">
                  <c:v>4.4119590859076636</c:v>
                </c:pt>
                <c:pt idx="7">
                  <c:v>4.1537550019225327</c:v>
                </c:pt>
                <c:pt idx="8">
                  <c:v>3.6126117440493317</c:v>
                </c:pt>
                <c:pt idx="9">
                  <c:v>2.5145074935164442</c:v>
                </c:pt>
                <c:pt idx="10">
                  <c:v>-0.11711294880048427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5C-43FD-AD1C-2E1A007A760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Horizontal!$G$7:$G$17</c:f>
              <c:numCache>
                <c:formatCode>General</c:formatCode>
                <c:ptCount val="11"/>
                <c:pt idx="0">
                  <c:v>-26.575026155702901</c:v>
                </c:pt>
                <c:pt idx="1">
                  <c:v>-15.561141553395402</c:v>
                </c:pt>
                <c:pt idx="2">
                  <c:v>-9.828427841864281</c:v>
                </c:pt>
                <c:pt idx="3">
                  <c:v>-5.9702035125502455</c:v>
                </c:pt>
                <c:pt idx="4">
                  <c:v>-2.9207421278149508</c:v>
                </c:pt>
                <c:pt idx="5">
                  <c:v>-0.19901832987921955</c:v>
                </c:pt>
                <c:pt idx="6">
                  <c:v>2.5017886777489657</c:v>
                </c:pt>
                <c:pt idx="7">
                  <c:v>5.4785423448559545</c:v>
                </c:pt>
                <c:pt idx="8">
                  <c:v>9.1706303720815399</c:v>
                </c:pt>
                <c:pt idx="9">
                  <c:v>14.50482449807852</c:v>
                </c:pt>
                <c:pt idx="10">
                  <c:v>24.260965057591058</c:v>
                </c:pt>
              </c:numCache>
            </c:numRef>
          </c:xVal>
          <c:yVal>
            <c:numRef>
              <c:f>Horizontal!$H$7:$H$17</c:f>
              <c:numCache>
                <c:formatCode>General</c:formatCode>
                <c:ptCount val="11"/>
                <c:pt idx="0">
                  <c:v>-2.662652951243099</c:v>
                </c:pt>
                <c:pt idx="1">
                  <c:v>0.79248408602187459</c:v>
                </c:pt>
                <c:pt idx="2">
                  <c:v>2.2805057874016987</c:v>
                </c:pt>
                <c:pt idx="3">
                  <c:v>3.030345718568606</c:v>
                </c:pt>
                <c:pt idx="4">
                  <c:v>3.4016947741566526</c:v>
                </c:pt>
                <c:pt idx="5">
                  <c:v>3.5241070040860749</c:v>
                </c:pt>
                <c:pt idx="6">
                  <c:v>3.4341352674623109</c:v>
                </c:pt>
                <c:pt idx="7">
                  <c:v>3.1051976721953962</c:v>
                </c:pt>
                <c:pt idx="8">
                  <c:v>2.4262478165438401</c:v>
                </c:pt>
                <c:pt idx="9">
                  <c:v>1.090403717853472</c:v>
                </c:pt>
                <c:pt idx="10">
                  <c:v>-1.8997480975964565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5C-43FD-AD1C-2E1A007A760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Horizontal!$I$7:$I$17</c:f>
              <c:numCache>
                <c:formatCode>General</c:formatCode>
                <c:ptCount val="11"/>
                <c:pt idx="0">
                  <c:v>-23.70047124320363</c:v>
                </c:pt>
                <c:pt idx="1">
                  <c:v>-14.425310967779048</c:v>
                </c:pt>
                <c:pt idx="2">
                  <c:v>-9.2684768834586873</c:v>
                </c:pt>
                <c:pt idx="3">
                  <c:v>-5.6795216377713844</c:v>
                </c:pt>
                <c:pt idx="4">
                  <c:v>-2.7906750733602603</c:v>
                </c:pt>
                <c:pt idx="5">
                  <c:v>-0.19042988498189198</c:v>
                </c:pt>
                <c:pt idx="6">
                  <c:v>2.3912912875254348</c:v>
                </c:pt>
                <c:pt idx="7">
                  <c:v>5.2163729867450304</c:v>
                </c:pt>
                <c:pt idx="8">
                  <c:v>8.6628174988837703</c:v>
                </c:pt>
                <c:pt idx="9">
                  <c:v>13.491981336976945</c:v>
                </c:pt>
                <c:pt idx="10">
                  <c:v>21.819532330049835</c:v>
                </c:pt>
              </c:numCache>
            </c:numRef>
          </c:xVal>
          <c:yVal>
            <c:numRef>
              <c:f>Horizontal!$J$7:$J$17</c:f>
              <c:numCache>
                <c:formatCode>General</c:formatCode>
                <c:ptCount val="11"/>
                <c:pt idx="0">
                  <c:v>-3.8797900450472702</c:v>
                </c:pt>
                <c:pt idx="1">
                  <c:v>-0.28103578676172947</c:v>
                </c:pt>
                <c:pt idx="2">
                  <c:v>1.3578067085920749</c:v>
                </c:pt>
                <c:pt idx="3">
                  <c:v>2.2052983195363045</c:v>
                </c:pt>
                <c:pt idx="4">
                  <c:v>2.6305449767422515</c:v>
                </c:pt>
                <c:pt idx="5">
                  <c:v>2.7715396803278254</c:v>
                </c:pt>
                <c:pt idx="6">
                  <c:v>2.6678704454750126</c:v>
                </c:pt>
                <c:pt idx="7">
                  <c:v>2.2907162963339029</c:v>
                </c:pt>
                <c:pt idx="8">
                  <c:v>1.5213711928757843</c:v>
                </c:pt>
                <c:pt idx="9">
                  <c:v>4.2607058154863216E-2</c:v>
                </c:pt>
                <c:pt idx="10">
                  <c:v>-3.1088671786126443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5C-43FD-AD1C-2E1A007A760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Horizontal!$K$7:$K$17</c:f>
              <c:numCache>
                <c:formatCode>General</c:formatCode>
                <c:ptCount val="11"/>
                <c:pt idx="0">
                  <c:v>-50.153126414890117</c:v>
                </c:pt>
                <c:pt idx="1">
                  <c:v>-22.396599824372725</c:v>
                </c:pt>
                <c:pt idx="2">
                  <c:v>-12.833762052814645</c:v>
                </c:pt>
                <c:pt idx="3">
                  <c:v>-7.4476961065663678</c:v>
                </c:pt>
                <c:pt idx="4">
                  <c:v>-3.5647375204154481</c:v>
                </c:pt>
                <c:pt idx="5">
                  <c:v>-0.24118000992971111</c:v>
                </c:pt>
                <c:pt idx="6">
                  <c:v>3.0476491998815702</c:v>
                </c:pt>
                <c:pt idx="7">
                  <c:v>6.8040337792996128</c:v>
                </c:pt>
                <c:pt idx="8">
                  <c:v>11.867025932940194</c:v>
                </c:pt>
                <c:pt idx="9">
                  <c:v>20.457577145305599</c:v>
                </c:pt>
                <c:pt idx="10">
                  <c:v>42.841722877006724</c:v>
                </c:pt>
              </c:numCache>
            </c:numRef>
          </c:xVal>
          <c:yVal>
            <c:numRef>
              <c:f>Horizontal!$L$7:$L$17</c:f>
              <c:numCache>
                <c:formatCode>General</c:formatCode>
                <c:ptCount val="11"/>
                <c:pt idx="0">
                  <c:v>7.3207292767691481</c:v>
                </c:pt>
                <c:pt idx="1">
                  <c:v>7.2529548519990801</c:v>
                </c:pt>
                <c:pt idx="2">
                  <c:v>7.2327593130583798</c:v>
                </c:pt>
                <c:pt idx="3">
                  <c:v>7.2239385344600562</c:v>
                </c:pt>
                <c:pt idx="4">
                  <c:v>7.2198554807380306</c:v>
                </c:pt>
                <c:pt idx="5">
                  <c:v>7.2185479768194618</c:v>
                </c:pt>
                <c:pt idx="6">
                  <c:v>7.2195071660717414</c:v>
                </c:pt>
                <c:pt idx="7">
                  <c:v>7.223101057233702</c:v>
                </c:pt>
                <c:pt idx="8">
                  <c:v>7.2309808982770543</c:v>
                </c:pt>
                <c:pt idx="9">
                  <c:v>7.2485875110805162</c:v>
                </c:pt>
                <c:pt idx="10">
                  <c:v>7.3023685799423736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5C-43FD-AD1C-2E1A007A760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Horizontal!$M$7:$M$17</c:f>
              <c:numCache>
                <c:formatCode>General</c:formatCode>
                <c:ptCount val="11"/>
                <c:pt idx="0">
                  <c:v>-70.271044471136989</c:v>
                </c:pt>
                <c:pt idx="1">
                  <c:v>-26.095407823986143</c:v>
                </c:pt>
                <c:pt idx="2">
                  <c:v>-14.238676438505713</c:v>
                </c:pt>
                <c:pt idx="3">
                  <c:v>-8.0940551877905236</c:v>
                </c:pt>
                <c:pt idx="4">
                  <c:v>-3.8377873901597401</c:v>
                </c:pt>
                <c:pt idx="5">
                  <c:v>-0.25887658043870587</c:v>
                </c:pt>
                <c:pt idx="6">
                  <c:v>3.2784693437047179</c:v>
                </c:pt>
                <c:pt idx="7">
                  <c:v>7.3802054074173533</c:v>
                </c:pt>
                <c:pt idx="8">
                  <c:v>13.110938043294635</c:v>
                </c:pt>
                <c:pt idx="9">
                  <c:v>23.580239991670567</c:v>
                </c:pt>
                <c:pt idx="10">
                  <c:v>56.904602581691748</c:v>
                </c:pt>
              </c:numCache>
            </c:numRef>
          </c:xVal>
          <c:yVal>
            <c:numRef>
              <c:f>Horizontal!$N$8:$N$17</c:f>
              <c:numCache>
                <c:formatCode>General</c:formatCode>
                <c:ptCount val="10"/>
                <c:pt idx="0">
                  <c:v>10.748849348484466</c:v>
                </c:pt>
                <c:pt idx="1">
                  <c:v>9.5478070686237277</c:v>
                </c:pt>
                <c:pt idx="2">
                  <c:v>9.0585107079421245</c:v>
                </c:pt>
                <c:pt idx="3">
                  <c:v>8.8387308571362038</c:v>
                </c:pt>
                <c:pt idx="4">
                  <c:v>8.7692199397725439</c:v>
                </c:pt>
                <c:pt idx="5">
                  <c:v>8.8201726302960868</c:v>
                </c:pt>
                <c:pt idx="6">
                  <c:v>9.0130930829346632</c:v>
                </c:pt>
                <c:pt idx="7">
                  <c:v>9.4475198045662054</c:v>
                </c:pt>
                <c:pt idx="8">
                  <c:v>10.479014318946403</c:v>
                </c:pt>
                <c:pt idx="9">
                  <c:v>14.26700700440326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5C-43FD-AD1C-2E1A007A760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Horizontal!$O$7:$O$17</c:f>
              <c:numCache>
                <c:formatCode>General</c:formatCode>
                <c:ptCount val="11"/>
                <c:pt idx="0">
                  <c:v>-126.57089251242718</c:v>
                </c:pt>
                <c:pt idx="1">
                  <c:v>-31.945747938064237</c:v>
                </c:pt>
                <c:pt idx="2">
                  <c:v>-16.205918922194776</c:v>
                </c:pt>
                <c:pt idx="3">
                  <c:v>-8.9559448556180783</c:v>
                </c:pt>
                <c:pt idx="4">
                  <c:v>-4.1940196388960214</c:v>
                </c:pt>
                <c:pt idx="5">
                  <c:v>-0.28180561681801652</c:v>
                </c:pt>
                <c:pt idx="6">
                  <c:v>3.5790528898875413</c:v>
                </c:pt>
                <c:pt idx="7">
                  <c:v>8.1450389567064452</c:v>
                </c:pt>
                <c:pt idx="8">
                  <c:v>14.835318245382052</c:v>
                </c:pt>
                <c:pt idx="9">
                  <c:v>28.384686423173587</c:v>
                </c:pt>
                <c:pt idx="10">
                  <c:v>89.471974286189464</c:v>
                </c:pt>
              </c:numCache>
            </c:numRef>
          </c:xVal>
          <c:yVal>
            <c:numRef>
              <c:f>Horizontal!$P$7:$P$17</c:f>
              <c:numCache>
                <c:formatCode>General</c:formatCode>
                <c:ptCount val="11"/>
                <c:pt idx="0">
                  <c:v>39.67735511074747</c:v>
                </c:pt>
                <c:pt idx="1">
                  <c:v>16.278244713021049</c:v>
                </c:pt>
                <c:pt idx="2">
                  <c:v>12.789471004093325</c:v>
                </c:pt>
                <c:pt idx="3">
                  <c:v>11.504827077804931</c:v>
                </c:pt>
                <c:pt idx="4">
                  <c:v>10.9507831950413</c:v>
                </c:pt>
                <c:pt idx="5">
                  <c:v>10.77838967313169</c:v>
                </c:pt>
                <c:pt idx="6">
                  <c:v>10.904625458024896</c:v>
                </c:pt>
                <c:pt idx="7">
                  <c:v>11.389200977536296</c:v>
                </c:pt>
                <c:pt idx="8">
                  <c:v>12.520209406464538</c:v>
                </c:pt>
                <c:pt idx="9">
                  <c:v>15.449263530240525</c:v>
                </c:pt>
                <c:pt idx="10">
                  <c:v>30.395991474154531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5C-43FD-AD1C-2E1A007A760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Horizontal!$Q$8:$Q$16</c:f>
              <c:numCache>
                <c:formatCode>General</c:formatCode>
                <c:ptCount val="9"/>
                <c:pt idx="0">
                  <c:v>-39.538452070014571</c:v>
                </c:pt>
                <c:pt idx="1">
                  <c:v>-18.381237153189367</c:v>
                </c:pt>
                <c:pt idx="2">
                  <c:v>-9.8548077604983284</c:v>
                </c:pt>
                <c:pt idx="3">
                  <c:v>-4.5562815388551519</c:v>
                </c:pt>
                <c:pt idx="4">
                  <c:v>-0.30494053602996879</c:v>
                </c:pt>
                <c:pt idx="5">
                  <c:v>3.8840827370078745</c:v>
                </c:pt>
                <c:pt idx="6">
                  <c:v>8.9384945943210052</c:v>
                </c:pt>
                <c:pt idx="7">
                  <c:v>16.718813370731208</c:v>
                </c:pt>
                <c:pt idx="8">
                  <c:v>34.385836976657885</c:v>
                </c:pt>
              </c:numCache>
            </c:numRef>
          </c:xVal>
          <c:yVal>
            <c:numRef>
              <c:f>Horizontal!$R$8:$R$16</c:f>
              <c:numCache>
                <c:formatCode>General</c:formatCode>
                <c:ptCount val="9"/>
                <c:pt idx="0">
                  <c:v>23.454419467455772</c:v>
                </c:pt>
                <c:pt idx="1">
                  <c:v>16.374006574086255</c:v>
                </c:pt>
                <c:pt idx="2">
                  <c:v>14.056085226673867</c:v>
                </c:pt>
                <c:pt idx="3">
                  <c:v>13.098584511336616</c:v>
                </c:pt>
                <c:pt idx="4">
                  <c:v>12.805600005717016</c:v>
                </c:pt>
                <c:pt idx="5">
                  <c:v>13.01991199132349</c:v>
                </c:pt>
                <c:pt idx="6">
                  <c:v>13.854229095490238</c:v>
                </c:pt>
                <c:pt idx="7">
                  <c:v>15.876427414465754</c:v>
                </c:pt>
                <c:pt idx="8">
                  <c:v>21.657515454902224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5C-43FD-AD1C-2E1A007A760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Horizontal!$S$8:$S$16</c:f>
              <c:numCache>
                <c:formatCode>General</c:formatCode>
                <c:ptCount val="9"/>
                <c:pt idx="0">
                  <c:v>-49.183249947712874</c:v>
                </c:pt>
                <c:pt idx="1">
                  <c:v>-20.670481928685618</c:v>
                </c:pt>
                <c:pt idx="2">
                  <c:v>-10.744546786368474</c:v>
                </c:pt>
                <c:pt idx="3">
                  <c:v>-4.9059078246792822</c:v>
                </c:pt>
                <c:pt idx="4">
                  <c:v>-0.32709628553212594</c:v>
                </c:pt>
                <c:pt idx="5">
                  <c:v>4.1778617570319172</c:v>
                </c:pt>
                <c:pt idx="6">
                  <c:v>9.7197187716535645</c:v>
                </c:pt>
                <c:pt idx="7">
                  <c:v>18.67505257488369</c:v>
                </c:pt>
                <c:pt idx="8">
                  <c:v>41.651465707136346</c:v>
                </c:pt>
              </c:numCache>
            </c:numRef>
          </c:xVal>
          <c:yVal>
            <c:numRef>
              <c:f>Horizontal!$T$8:$T$16</c:f>
              <c:numCache>
                <c:formatCode>General</c:formatCode>
                <c:ptCount val="9"/>
                <c:pt idx="0">
                  <c:v>32.570111826692418</c:v>
                </c:pt>
                <c:pt idx="1">
                  <c:v>20.146272723133762</c:v>
                </c:pt>
                <c:pt idx="2">
                  <c:v>16.581446911746777</c:v>
                </c:pt>
                <c:pt idx="3">
                  <c:v>15.171470997575517</c:v>
                </c:pt>
                <c:pt idx="4">
                  <c:v>14.74701004071472</c:v>
                </c:pt>
                <c:pt idx="5">
                  <c:v>15.057177559559396</c:v>
                </c:pt>
                <c:pt idx="6">
                  <c:v>16.281257743669901</c:v>
                </c:pt>
                <c:pt idx="7">
                  <c:v>19.362268793384857</c:v>
                </c:pt>
                <c:pt idx="8">
                  <c:v>29.173883049393073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5C-43FD-AD1C-2E1A007A760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Horizontal!$U$8:$U$16</c:f>
              <c:numCache>
                <c:formatCode>General</c:formatCode>
                <c:ptCount val="9"/>
                <c:pt idx="0">
                  <c:v>-62.910483297085996</c:v>
                </c:pt>
                <c:pt idx="1">
                  <c:v>-23.261978711547584</c:v>
                </c:pt>
                <c:pt idx="2">
                  <c:v>-11.688522041495604</c:v>
                </c:pt>
                <c:pt idx="3">
                  <c:v>-5.2674692237497194</c:v>
                </c:pt>
                <c:pt idx="4">
                  <c:v>-0.34983248936263195</c:v>
                </c:pt>
                <c:pt idx="5">
                  <c:v>4.4810397161764488</c:v>
                </c:pt>
                <c:pt idx="6">
                  <c:v>10.544057256766944</c:v>
                </c:pt>
                <c:pt idx="7">
                  <c:v>20.858182024425663</c:v>
                </c:pt>
                <c:pt idx="8">
                  <c:v>51.358662493902983</c:v>
                </c:pt>
              </c:numCache>
            </c:numRef>
          </c:xVal>
          <c:yVal>
            <c:numRef>
              <c:f>Horizontal!$V$8:$V$16</c:f>
              <c:numCache>
                <c:formatCode>General</c:formatCode>
                <c:ptCount val="9"/>
                <c:pt idx="0">
                  <c:v>45.544280673266691</c:v>
                </c:pt>
                <c:pt idx="1">
                  <c:v>24.41659614769484</c:v>
                </c:pt>
                <c:pt idx="2">
                  <c:v>19.260748225548987</c:v>
                </c:pt>
                <c:pt idx="3">
                  <c:v>17.315119139797126</c:v>
                </c:pt>
                <c:pt idx="4">
                  <c:v>16.73928271332279</c:v>
                </c:pt>
                <c:pt idx="5">
                  <c:v>17.159621829278308</c:v>
                </c:pt>
                <c:pt idx="6">
                  <c:v>18.842229584042837</c:v>
                </c:pt>
                <c:pt idx="7">
                  <c:v>23.252408074203153</c:v>
                </c:pt>
                <c:pt idx="8">
                  <c:v>39.216077891434452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5C-43FD-AD1C-2E1A007A760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Horizontal!$W$8:$W$16</c:f>
              <c:numCache>
                <c:formatCode>General</c:formatCode>
                <c:ptCount val="9"/>
              </c:numCache>
            </c:numRef>
          </c:xVal>
          <c:yVal>
            <c:numRef>
              <c:f>Horizontal!$X$8:$X$16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25C-43FD-AD1C-2E1A007A760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Horizontal!$C$20:$C$27</c:f>
              <c:numCache>
                <c:formatCode>General</c:formatCode>
                <c:ptCount val="8"/>
                <c:pt idx="0">
                  <c:v>-21.679915464394615</c:v>
                </c:pt>
                <c:pt idx="1">
                  <c:v>-38.306374180929225</c:v>
                </c:pt>
                <c:pt idx="2">
                  <c:v>-30.902775531090732</c:v>
                </c:pt>
                <c:pt idx="3">
                  <c:v>-26.575026155702901</c:v>
                </c:pt>
                <c:pt idx="4">
                  <c:v>-23.70047124320363</c:v>
                </c:pt>
                <c:pt idx="5">
                  <c:v>-50.153126414890117</c:v>
                </c:pt>
                <c:pt idx="6">
                  <c:v>-70.271044471136989</c:v>
                </c:pt>
                <c:pt idx="7">
                  <c:v>-126.57089251242718</c:v>
                </c:pt>
              </c:numCache>
            </c:numRef>
          </c:xVal>
          <c:yVal>
            <c:numRef>
              <c:f>Horizontal!$D$20:$D$27</c:f>
              <c:numCache>
                <c:formatCode>General</c:formatCode>
                <c:ptCount val="8"/>
                <c:pt idx="0">
                  <c:v>-4.7353288896159418</c:v>
                </c:pt>
                <c:pt idx="1">
                  <c:v>2.3046060771867167</c:v>
                </c:pt>
                <c:pt idx="2">
                  <c:v>-0.83020777005412949</c:v>
                </c:pt>
                <c:pt idx="3">
                  <c:v>-2.662652951243099</c:v>
                </c:pt>
                <c:pt idx="4">
                  <c:v>-3.8797900450472702</c:v>
                </c:pt>
                <c:pt idx="5">
                  <c:v>7.3207292767691481</c:v>
                </c:pt>
                <c:pt idx="6">
                  <c:v>15.839009519007167</c:v>
                </c:pt>
                <c:pt idx="7">
                  <c:v>39.67735511074747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5C-43FD-AD1C-2E1A007A760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Horizontal!$E$20:$E$30</c:f>
              <c:numCache>
                <c:formatCode>General</c:formatCode>
                <c:ptCount val="11"/>
                <c:pt idx="0">
                  <c:v>-13.571768933639035</c:v>
                </c:pt>
                <c:pt idx="1">
                  <c:v>-19.422684562882683</c:v>
                </c:pt>
                <c:pt idx="2">
                  <c:v>-17.117382025198463</c:v>
                </c:pt>
                <c:pt idx="3">
                  <c:v>-15.561141553395402</c:v>
                </c:pt>
                <c:pt idx="4">
                  <c:v>-14.425310967779048</c:v>
                </c:pt>
                <c:pt idx="5">
                  <c:v>-22.396599824372725</c:v>
                </c:pt>
                <c:pt idx="6">
                  <c:v>-26.095407823986143</c:v>
                </c:pt>
                <c:pt idx="7">
                  <c:v>-31.945747938064237</c:v>
                </c:pt>
                <c:pt idx="8">
                  <c:v>-39.538452070014571</c:v>
                </c:pt>
                <c:pt idx="9">
                  <c:v>-49.183249947712874</c:v>
                </c:pt>
                <c:pt idx="10">
                  <c:v>-62.910483297085996</c:v>
                </c:pt>
              </c:numCache>
            </c:numRef>
          </c:xVal>
          <c:yVal>
            <c:numRef>
              <c:f>Horizontal!$F$20:$F$30</c:f>
              <c:numCache>
                <c:formatCode>General</c:formatCode>
                <c:ptCount val="11"/>
                <c:pt idx="0">
                  <c:v>-1.0877532211300112</c:v>
                </c:pt>
                <c:pt idx="1">
                  <c:v>4.4421860862930727</c:v>
                </c:pt>
                <c:pt idx="2">
                  <c:v>2.2633505114088535</c:v>
                </c:pt>
                <c:pt idx="3">
                  <c:v>0.79248408602187459</c:v>
                </c:pt>
                <c:pt idx="4">
                  <c:v>-0.28103578676172947</c:v>
                </c:pt>
                <c:pt idx="5">
                  <c:v>7.2529548519990801</c:v>
                </c:pt>
                <c:pt idx="6">
                  <c:v>10.748849348484466</c:v>
                </c:pt>
                <c:pt idx="7">
                  <c:v>16.278244713021049</c:v>
                </c:pt>
                <c:pt idx="8">
                  <c:v>23.454419467455772</c:v>
                </c:pt>
                <c:pt idx="9">
                  <c:v>32.570111826692418</c:v>
                </c:pt>
                <c:pt idx="10">
                  <c:v>45.544280673266691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25C-43FD-AD1C-2E1A007A760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Horizontal!$G$20:$G$30</c:f>
              <c:numCache>
                <c:formatCode>General</c:formatCode>
                <c:ptCount val="11"/>
                <c:pt idx="0">
                  <c:v>-8.8347878744006643</c:v>
                </c:pt>
                <c:pt idx="1">
                  <c:v>-11.597613917023715</c:v>
                </c:pt>
                <c:pt idx="2">
                  <c:v>-10.565450113914464</c:v>
                </c:pt>
                <c:pt idx="3">
                  <c:v>-9.828427841864281</c:v>
                </c:pt>
                <c:pt idx="4">
                  <c:v>-9.2684768834586873</c:v>
                </c:pt>
                <c:pt idx="5">
                  <c:v>-12.833762052814645</c:v>
                </c:pt>
                <c:pt idx="6">
                  <c:v>-14.238676438505713</c:v>
                </c:pt>
                <c:pt idx="7">
                  <c:v>-16.205918922194776</c:v>
                </c:pt>
                <c:pt idx="8">
                  <c:v>-18.381237153189367</c:v>
                </c:pt>
                <c:pt idx="9">
                  <c:v>-20.670481928685618</c:v>
                </c:pt>
                <c:pt idx="10">
                  <c:v>-23.261978711547584</c:v>
                </c:pt>
              </c:numCache>
            </c:numRef>
          </c:xVal>
          <c:yVal>
            <c:numRef>
              <c:f>Horizontal!$H$20:$H$30</c:f>
              <c:numCache>
                <c:formatCode>General</c:formatCode>
                <c:ptCount val="11"/>
                <c:pt idx="0">
                  <c:v>0.64316475086219871</c:v>
                </c:pt>
                <c:pt idx="1">
                  <c:v>5.1958081675254739</c:v>
                </c:pt>
                <c:pt idx="2">
                  <c:v>3.4949867366249183</c:v>
                </c:pt>
                <c:pt idx="3">
                  <c:v>2.2805057874016987</c:v>
                </c:pt>
                <c:pt idx="4">
                  <c:v>1.3578067085920749</c:v>
                </c:pt>
                <c:pt idx="5">
                  <c:v>7.2327593130583798</c:v>
                </c:pt>
                <c:pt idx="6">
                  <c:v>9.5478070686237277</c:v>
                </c:pt>
                <c:pt idx="7">
                  <c:v>12.789471004093325</c:v>
                </c:pt>
                <c:pt idx="8">
                  <c:v>16.374006574086255</c:v>
                </c:pt>
                <c:pt idx="9">
                  <c:v>20.146272723133762</c:v>
                </c:pt>
                <c:pt idx="10">
                  <c:v>24.41659614769484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5C-43FD-AD1C-2E1A007A760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Horizontal!$I$20:$I$30</c:f>
              <c:numCache>
                <c:formatCode>General</c:formatCode>
                <c:ptCount val="11"/>
                <c:pt idx="0">
                  <c:v>-5.4508514672700414</c:v>
                </c:pt>
                <c:pt idx="1">
                  <c:v>-6.8562490041989683</c:v>
                </c:pt>
                <c:pt idx="2">
                  <c:v>-6.3451773307609152</c:v>
                </c:pt>
                <c:pt idx="3">
                  <c:v>-5.9702035125502455</c:v>
                </c:pt>
                <c:pt idx="4">
                  <c:v>-5.6795216377713844</c:v>
                </c:pt>
                <c:pt idx="5">
                  <c:v>-7.4476961065663678</c:v>
                </c:pt>
                <c:pt idx="6">
                  <c:v>-8.0940551877905236</c:v>
                </c:pt>
                <c:pt idx="7">
                  <c:v>-8.9559448556180783</c:v>
                </c:pt>
                <c:pt idx="8">
                  <c:v>-9.8548077604983284</c:v>
                </c:pt>
                <c:pt idx="9">
                  <c:v>-10.744546786368474</c:v>
                </c:pt>
                <c:pt idx="10">
                  <c:v>-11.688522041495604</c:v>
                </c:pt>
              </c:numCache>
            </c:numRef>
          </c:xVal>
          <c:yVal>
            <c:numRef>
              <c:f>Horizontal!$J$20:$J$30</c:f>
              <c:numCache>
                <c:formatCode>General</c:formatCode>
                <c:ptCount val="11"/>
                <c:pt idx="0">
                  <c:v>1.5562598146349114</c:v>
                </c:pt>
                <c:pt idx="1">
                  <c:v>5.5452239814985296</c:v>
                </c:pt>
                <c:pt idx="2">
                  <c:v>4.0946404003587267</c:v>
                </c:pt>
                <c:pt idx="3">
                  <c:v>3.030345718568606</c:v>
                </c:pt>
                <c:pt idx="4">
                  <c:v>2.2052983195363045</c:v>
                </c:pt>
                <c:pt idx="5">
                  <c:v>7.2239385344600562</c:v>
                </c:pt>
                <c:pt idx="6">
                  <c:v>9.0585107079421245</c:v>
                </c:pt>
                <c:pt idx="7">
                  <c:v>11.504827077804931</c:v>
                </c:pt>
                <c:pt idx="8">
                  <c:v>14.056085226673867</c:v>
                </c:pt>
                <c:pt idx="9">
                  <c:v>16.581446911746777</c:v>
                </c:pt>
                <c:pt idx="10">
                  <c:v>19.260748225548987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25C-43FD-AD1C-2E1A007A760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Horizontal!$K$20:$K$30</c:f>
              <c:numCache>
                <c:formatCode>General</c:formatCode>
                <c:ptCount val="11"/>
                <c:pt idx="0">
                  <c:v>-2.6875539507442641</c:v>
                </c:pt>
                <c:pt idx="1">
                  <c:v>-3.3103169223638247</c:v>
                </c:pt>
                <c:pt idx="2">
                  <c:v>-3.0868638778650923</c:v>
                </c:pt>
                <c:pt idx="3">
                  <c:v>-2.9207421278149508</c:v>
                </c:pt>
                <c:pt idx="4">
                  <c:v>-2.7906750733602603</c:v>
                </c:pt>
                <c:pt idx="5">
                  <c:v>-3.5647375204154481</c:v>
                </c:pt>
                <c:pt idx="6">
                  <c:v>-3.8377873901597401</c:v>
                </c:pt>
                <c:pt idx="7">
                  <c:v>-4.1940196388960214</c:v>
                </c:pt>
                <c:pt idx="8">
                  <c:v>-4.5562815388551519</c:v>
                </c:pt>
                <c:pt idx="9">
                  <c:v>-4.9059078246792822</c:v>
                </c:pt>
                <c:pt idx="10">
                  <c:v>-5.2674692237497194</c:v>
                </c:pt>
              </c:numCache>
            </c:numRef>
          </c:xVal>
          <c:yVal>
            <c:numRef>
              <c:f>Horizontal!$L$20:$L$30</c:f>
              <c:numCache>
                <c:formatCode>General</c:formatCode>
                <c:ptCount val="11"/>
                <c:pt idx="0">
                  <c:v>2.0191539281183868</c:v>
                </c:pt>
                <c:pt idx="1">
                  <c:v>5.7114305112627228</c:v>
                </c:pt>
                <c:pt idx="2">
                  <c:v>4.3866079363280752</c:v>
                </c:pt>
                <c:pt idx="3">
                  <c:v>3.4016947741566526</c:v>
                </c:pt>
                <c:pt idx="4">
                  <c:v>2.6305449767422515</c:v>
                </c:pt>
                <c:pt idx="5">
                  <c:v>7.2198554807380306</c:v>
                </c:pt>
                <c:pt idx="6">
                  <c:v>8.8387308571362038</c:v>
                </c:pt>
                <c:pt idx="7">
                  <c:v>10.9507831950413</c:v>
                </c:pt>
                <c:pt idx="8">
                  <c:v>13.098584511336616</c:v>
                </c:pt>
                <c:pt idx="9">
                  <c:v>15.171470997575517</c:v>
                </c:pt>
                <c:pt idx="10">
                  <c:v>17.315119139797126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5C-43FD-AD1C-2E1A007A760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Horizontal!$M$20:$M$31</c:f>
              <c:numCache>
                <c:formatCode>General</c:formatCode>
                <c:ptCount val="12"/>
                <c:pt idx="0">
                  <c:v>-0.18360307586903224</c:v>
                </c:pt>
                <c:pt idx="1">
                  <c:v>-0.22459491720487534</c:v>
                </c:pt>
                <c:pt idx="2">
                  <c:v>-0.20995158741409442</c:v>
                </c:pt>
                <c:pt idx="3">
                  <c:v>-0.19901832987921955</c:v>
                </c:pt>
                <c:pt idx="4">
                  <c:v>-0.19042988498189198</c:v>
                </c:pt>
                <c:pt idx="5">
                  <c:v>-0.24118000992971111</c:v>
                </c:pt>
                <c:pt idx="6">
                  <c:v>-0.25887658043870587</c:v>
                </c:pt>
                <c:pt idx="7">
                  <c:v>-0.28180561681801652</c:v>
                </c:pt>
                <c:pt idx="8">
                  <c:v>-0.30494053602996879</c:v>
                </c:pt>
                <c:pt idx="9">
                  <c:v>-0.32709628553212594</c:v>
                </c:pt>
                <c:pt idx="10">
                  <c:v>-0.34983248936263195</c:v>
                </c:pt>
              </c:numCache>
            </c:numRef>
          </c:xVal>
          <c:yVal>
            <c:numRef>
              <c:f>Horizontal!$N$20:$N$31</c:f>
              <c:numCache>
                <c:formatCode>General</c:formatCode>
                <c:ptCount val="12"/>
                <c:pt idx="0">
                  <c:v>2.1733366848737927</c:v>
                </c:pt>
                <c:pt idx="1">
                  <c:v>5.7652698810263745</c:v>
                </c:pt>
                <c:pt idx="2">
                  <c:v>4.482139856522581</c:v>
                </c:pt>
                <c:pt idx="3">
                  <c:v>3.5241070040860749</c:v>
                </c:pt>
                <c:pt idx="4">
                  <c:v>2.7715396803278254</c:v>
                </c:pt>
                <c:pt idx="5">
                  <c:v>7.2185479768194618</c:v>
                </c:pt>
                <c:pt idx="6">
                  <c:v>8.7692199397725439</c:v>
                </c:pt>
                <c:pt idx="7">
                  <c:v>10.77838967313169</c:v>
                </c:pt>
                <c:pt idx="8">
                  <c:v>12.805600005717016</c:v>
                </c:pt>
                <c:pt idx="9">
                  <c:v>14.74701004071472</c:v>
                </c:pt>
                <c:pt idx="10">
                  <c:v>16.73928271332279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25C-43FD-AD1C-2E1A007A760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Horizontal!$O$20:$O$30</c:f>
              <c:numCache>
                <c:formatCode>General</c:formatCode>
                <c:ptCount val="11"/>
                <c:pt idx="0">
                  <c:v>2.3036255996417698</c:v>
                </c:pt>
                <c:pt idx="1">
                  <c:v>2.8322446012333384</c:v>
                </c:pt>
                <c:pt idx="2">
                  <c:v>2.6427934282429275</c:v>
                </c:pt>
                <c:pt idx="3">
                  <c:v>2.5017886777489657</c:v>
                </c:pt>
                <c:pt idx="4">
                  <c:v>2.3912912875254348</c:v>
                </c:pt>
                <c:pt idx="5">
                  <c:v>3.0476491998815702</c:v>
                </c:pt>
                <c:pt idx="6">
                  <c:v>3.2784693437047179</c:v>
                </c:pt>
                <c:pt idx="7">
                  <c:v>3.5790528898875413</c:v>
                </c:pt>
                <c:pt idx="8">
                  <c:v>3.8840827370078745</c:v>
                </c:pt>
                <c:pt idx="9">
                  <c:v>4.1778617570319172</c:v>
                </c:pt>
                <c:pt idx="10">
                  <c:v>4.4810397161764488</c:v>
                </c:pt>
              </c:numCache>
            </c:numRef>
          </c:xVal>
          <c:yVal>
            <c:numRef>
              <c:f>Horizontal!$P$20:$P$30</c:f>
              <c:numCache>
                <c:formatCode>General</c:formatCode>
                <c:ptCount val="11"/>
                <c:pt idx="0">
                  <c:v>2.0599363342287762</c:v>
                </c:pt>
                <c:pt idx="1">
                  <c:v>5.7257436834724658</c:v>
                </c:pt>
                <c:pt idx="2">
                  <c:v>4.4119590859076636</c:v>
                </c:pt>
                <c:pt idx="3">
                  <c:v>3.4341352674623109</c:v>
                </c:pt>
                <c:pt idx="4">
                  <c:v>2.6678704454750126</c:v>
                </c:pt>
                <c:pt idx="5">
                  <c:v>7.2195071660717414</c:v>
                </c:pt>
                <c:pt idx="6">
                  <c:v>8.8201726302960868</c:v>
                </c:pt>
                <c:pt idx="7">
                  <c:v>10.904625458024896</c:v>
                </c:pt>
                <c:pt idx="8">
                  <c:v>13.01991199132349</c:v>
                </c:pt>
                <c:pt idx="9">
                  <c:v>15.057177559559396</c:v>
                </c:pt>
                <c:pt idx="10">
                  <c:v>17.159621829278308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25C-43FD-AD1C-2E1A007A760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Horizontal!$Q$20:$Q$30</c:f>
              <c:numCache>
                <c:formatCode>General</c:formatCode>
                <c:ptCount val="11"/>
                <c:pt idx="0">
                  <c:v>5.0098090820582453</c:v>
                </c:pt>
                <c:pt idx="1">
                  <c:v>6.2748478904280782</c:v>
                </c:pt>
                <c:pt idx="2">
                  <c:v>5.8160572472517291</c:v>
                </c:pt>
                <c:pt idx="3">
                  <c:v>5.4785423448559545</c:v>
                </c:pt>
                <c:pt idx="4">
                  <c:v>5.2163729867450304</c:v>
                </c:pt>
                <c:pt idx="5">
                  <c:v>6.8040337792996128</c:v>
                </c:pt>
                <c:pt idx="6">
                  <c:v>7.3802054074173533</c:v>
                </c:pt>
                <c:pt idx="7">
                  <c:v>8.1450389567064452</c:v>
                </c:pt>
                <c:pt idx="8">
                  <c:v>8.9384945943210052</c:v>
                </c:pt>
                <c:pt idx="9">
                  <c:v>9.7197187716535645</c:v>
                </c:pt>
                <c:pt idx="10">
                  <c:v>10.544057256766944</c:v>
                </c:pt>
              </c:numCache>
            </c:numRef>
          </c:xVal>
          <c:yVal>
            <c:numRef>
              <c:f>Horizontal!$R$20:$R$30</c:f>
              <c:numCache>
                <c:formatCode>General</c:formatCode>
                <c:ptCount val="11"/>
                <c:pt idx="0">
                  <c:v>1.6489843467845924</c:v>
                </c:pt>
                <c:pt idx="1">
                  <c:v>5.579079597364192</c:v>
                </c:pt>
                <c:pt idx="2">
                  <c:v>4.1537550019225327</c:v>
                </c:pt>
                <c:pt idx="3">
                  <c:v>3.1051976721953962</c:v>
                </c:pt>
                <c:pt idx="4">
                  <c:v>2.2907162963339029</c:v>
                </c:pt>
                <c:pt idx="5">
                  <c:v>7.223101057233702</c:v>
                </c:pt>
                <c:pt idx="6">
                  <c:v>9.0130930829346632</c:v>
                </c:pt>
                <c:pt idx="7">
                  <c:v>11.389200977536296</c:v>
                </c:pt>
                <c:pt idx="8">
                  <c:v>13.854229095490238</c:v>
                </c:pt>
                <c:pt idx="9">
                  <c:v>16.281257743669901</c:v>
                </c:pt>
                <c:pt idx="10">
                  <c:v>18.842229584042837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5C-43FD-AD1C-2E1A007A760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Horizontal!$S$20:$S$30</c:f>
              <c:numCache>
                <c:formatCode>General</c:formatCode>
                <c:ptCount val="11"/>
                <c:pt idx="0">
                  <c:v>8.2683252974736341</c:v>
                </c:pt>
                <c:pt idx="1">
                  <c:v>10.763849027393995</c:v>
                </c:pt>
                <c:pt idx="2">
                  <c:v>9.8364127107197348</c:v>
                </c:pt>
                <c:pt idx="3">
                  <c:v>9.1706303720815399</c:v>
                </c:pt>
                <c:pt idx="4">
                  <c:v>8.6628174988837703</c:v>
                </c:pt>
                <c:pt idx="5">
                  <c:v>11.867025932940194</c:v>
                </c:pt>
                <c:pt idx="6">
                  <c:v>13.110938043294635</c:v>
                </c:pt>
                <c:pt idx="7">
                  <c:v>14.835318245382052</c:v>
                </c:pt>
                <c:pt idx="8">
                  <c:v>16.718813370731208</c:v>
                </c:pt>
                <c:pt idx="9">
                  <c:v>18.67505257488369</c:v>
                </c:pt>
                <c:pt idx="10">
                  <c:v>20.858182024425663</c:v>
                </c:pt>
              </c:numCache>
            </c:numRef>
          </c:xVal>
          <c:yVal>
            <c:numRef>
              <c:f>Horizontal!$T$20:$T$30</c:f>
              <c:numCache>
                <c:formatCode>General</c:formatCode>
                <c:ptCount val="11"/>
                <c:pt idx="0">
                  <c:v>0.81842175989368382</c:v>
                </c:pt>
                <c:pt idx="1">
                  <c:v>5.2652194016982712</c:v>
                </c:pt>
                <c:pt idx="2">
                  <c:v>3.6126117440493317</c:v>
                </c:pt>
                <c:pt idx="3">
                  <c:v>2.4262478165438401</c:v>
                </c:pt>
                <c:pt idx="4">
                  <c:v>1.5213711928757843</c:v>
                </c:pt>
                <c:pt idx="5">
                  <c:v>7.2309808982770543</c:v>
                </c:pt>
                <c:pt idx="6">
                  <c:v>9.4475198045662054</c:v>
                </c:pt>
                <c:pt idx="7">
                  <c:v>12.520209406464538</c:v>
                </c:pt>
                <c:pt idx="8">
                  <c:v>15.876427414465754</c:v>
                </c:pt>
                <c:pt idx="9">
                  <c:v>19.362268793384857</c:v>
                </c:pt>
                <c:pt idx="10">
                  <c:v>23.252408074203153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25C-43FD-AD1C-2E1A007A760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Horizontal!$U$20:$U$30</c:f>
              <c:numCache>
                <c:formatCode>General</c:formatCode>
                <c:ptCount val="11"/>
                <c:pt idx="0">
                  <c:v>12.726299721352028</c:v>
                </c:pt>
                <c:pt idx="1">
                  <c:v>17.897304917639847</c:v>
                </c:pt>
                <c:pt idx="2">
                  <c:v>15.88142152816838</c:v>
                </c:pt>
                <c:pt idx="3">
                  <c:v>14.50482449807852</c:v>
                </c:pt>
                <c:pt idx="4">
                  <c:v>13.491981336976945</c:v>
                </c:pt>
                <c:pt idx="5">
                  <c:v>20.457577145305599</c:v>
                </c:pt>
                <c:pt idx="6">
                  <c:v>23.580239991670567</c:v>
                </c:pt>
                <c:pt idx="7">
                  <c:v>28.384686423173587</c:v>
                </c:pt>
                <c:pt idx="8">
                  <c:v>34.385836976657885</c:v>
                </c:pt>
                <c:pt idx="9">
                  <c:v>41.651465707136346</c:v>
                </c:pt>
                <c:pt idx="10">
                  <c:v>51.358662493902983</c:v>
                </c:pt>
              </c:numCache>
            </c:numRef>
          </c:xVal>
          <c:yVal>
            <c:numRef>
              <c:f>Horizontal!$V$20:$V$30</c:f>
              <c:numCache>
                <c:formatCode>General</c:formatCode>
                <c:ptCount val="11"/>
                <c:pt idx="0">
                  <c:v>-0.74949844253475673</c:v>
                </c:pt>
                <c:pt idx="1">
                  <c:v>4.5999595782526717</c:v>
                </c:pt>
                <c:pt idx="2">
                  <c:v>2.5145074935164442</c:v>
                </c:pt>
                <c:pt idx="3">
                  <c:v>1.090403717853472</c:v>
                </c:pt>
                <c:pt idx="4">
                  <c:v>4.2607058154863216E-2</c:v>
                </c:pt>
                <c:pt idx="5">
                  <c:v>7.2485875110805162</c:v>
                </c:pt>
                <c:pt idx="6">
                  <c:v>10.479014318946403</c:v>
                </c:pt>
                <c:pt idx="7">
                  <c:v>15.449263530240525</c:v>
                </c:pt>
                <c:pt idx="8">
                  <c:v>21.657515454902224</c:v>
                </c:pt>
                <c:pt idx="9">
                  <c:v>29.173883049393073</c:v>
                </c:pt>
                <c:pt idx="10">
                  <c:v>39.216077891434452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5C-43FD-AD1C-2E1A007A760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Horizontal!$W$20:$W$27</c:f>
              <c:numCache>
                <c:formatCode>General</c:formatCode>
                <c:ptCount val="8"/>
                <c:pt idx="0">
                  <c:v>20.078583112834856</c:v>
                </c:pt>
                <c:pt idx="1">
                  <c:v>33.814544213549546</c:v>
                </c:pt>
                <c:pt idx="2">
                  <c:v>27.860431695631437</c:v>
                </c:pt>
                <c:pt idx="3">
                  <c:v>24.260965057591058</c:v>
                </c:pt>
                <c:pt idx="4">
                  <c:v>21.819532330049835</c:v>
                </c:pt>
                <c:pt idx="5">
                  <c:v>42.841722877006724</c:v>
                </c:pt>
                <c:pt idx="6">
                  <c:v>56.904602581691748</c:v>
                </c:pt>
                <c:pt idx="7">
                  <c:v>89.471974286189464</c:v>
                </c:pt>
              </c:numCache>
            </c:numRef>
          </c:xVal>
          <c:yVal>
            <c:numRef>
              <c:f>Horizontal!$X$20:$X$27</c:f>
              <c:numCache>
                <c:formatCode>General</c:formatCode>
                <c:ptCount val="8"/>
                <c:pt idx="0">
                  <c:v>-3.9710719380838579</c:v>
                </c:pt>
                <c:pt idx="1">
                  <c:v>2.831660111673107</c:v>
                </c:pt>
                <c:pt idx="2">
                  <c:v>-0.11711294880048427</c:v>
                </c:pt>
                <c:pt idx="3">
                  <c:v>-1.8997480975964565</c:v>
                </c:pt>
                <c:pt idx="4">
                  <c:v>-3.1088671786126443</c:v>
                </c:pt>
                <c:pt idx="5">
                  <c:v>7.3023685799423736</c:v>
                </c:pt>
                <c:pt idx="6">
                  <c:v>14.26700700440326</c:v>
                </c:pt>
                <c:pt idx="7">
                  <c:v>30.395991474154531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25C-43FD-AD1C-2E1A007A760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Horizontal!$A$23:$A$24</c:f>
              <c:numCache>
                <c:formatCode>General</c:formatCode>
                <c:ptCount val="2"/>
                <c:pt idx="0">
                  <c:v>-64.658101375588217</c:v>
                </c:pt>
                <c:pt idx="1">
                  <c:v>-50.257587476254457</c:v>
                </c:pt>
              </c:numCache>
            </c:numRef>
          </c:xVal>
          <c:yVal>
            <c:numRef>
              <c:f>Horizontal!$B$23:$B$24</c:f>
              <c:numCache>
                <c:formatCode>General</c:formatCode>
                <c:ptCount val="2"/>
                <c:pt idx="0">
                  <c:v>-16.081631929603919</c:v>
                </c:pt>
                <c:pt idx="1">
                  <c:v>-15.599081253827784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1F-4E1E-87FB-002171E29AA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Horizontal!$Y$23:$Y$25</c:f>
              <c:numCache>
                <c:formatCode>General</c:formatCode>
                <c:ptCount val="3"/>
                <c:pt idx="0">
                  <c:v>53.642380034036385</c:v>
                </c:pt>
                <c:pt idx="1">
                  <c:v>43.339754956345239</c:v>
                </c:pt>
                <c:pt idx="2">
                  <c:v>682.66480438777319</c:v>
                </c:pt>
              </c:numCache>
            </c:numRef>
          </c:xVal>
          <c:yVal>
            <c:numRef>
              <c:f>Horizontal!$Z$23:$Z$25</c:f>
              <c:numCache>
                <c:formatCode>General</c:formatCode>
                <c:ptCount val="3"/>
                <c:pt idx="0">
                  <c:v>-12.117469462575158</c:v>
                </c:pt>
                <c:pt idx="1">
                  <c:v>-12.462702877433497</c:v>
                </c:pt>
                <c:pt idx="2">
                  <c:v>8.9606109241739631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1F-4E1E-87FB-002171E2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45448"/>
        <c:axId val="525541512"/>
      </c:scatterChart>
      <c:valAx>
        <c:axId val="525545448"/>
        <c:scaling>
          <c:orientation val="minMax"/>
          <c:max val="75"/>
          <c:min val="-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1512"/>
        <c:crosses val="autoZero"/>
        <c:crossBetween val="midCat"/>
        <c:majorUnit val="5"/>
      </c:valAx>
      <c:valAx>
        <c:axId val="525541512"/>
        <c:scaling>
          <c:orientation val="minMax"/>
          <c:max val="5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544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Bifilar!$A$7:$A$17</c:f>
              <c:numCache>
                <c:formatCode>General</c:formatCode>
                <c:ptCount val="11"/>
                <c:pt idx="0">
                  <c:v>39.486062552097245</c:v>
                </c:pt>
                <c:pt idx="1">
                  <c:v>72.943982624209099</c:v>
                </c:pt>
                <c:pt idx="2">
                  <c:v>843.6532443620938</c:v>
                </c:pt>
                <c:pt idx="3">
                  <c:v>-63.741618476400475</c:v>
                </c:pt>
                <c:pt idx="4">
                  <c:v>-19.770559008224787</c:v>
                </c:pt>
                <c:pt idx="5">
                  <c:v>-2.1334660725285777</c:v>
                </c:pt>
                <c:pt idx="6">
                  <c:v>11.562601816389124</c:v>
                </c:pt>
                <c:pt idx="7">
                  <c:v>28.705450096789221</c:v>
                </c:pt>
                <c:pt idx="8">
                  <c:v>65.46745635197577</c:v>
                </c:pt>
                <c:pt idx="9">
                  <c:v>432.86951160998075</c:v>
                </c:pt>
                <c:pt idx="10">
                  <c:v>-113.58941965220424</c:v>
                </c:pt>
              </c:numCache>
            </c:numRef>
          </c:xVal>
          <c:yVal>
            <c:numRef>
              <c:f>Bifilar!$B$7:$B$17</c:f>
              <c:numCache>
                <c:formatCode>General</c:formatCode>
                <c:ptCount val="11"/>
                <c:pt idx="0">
                  <c:v>15.135831979043612</c:v>
                </c:pt>
                <c:pt idx="1">
                  <c:v>44.121444224291437</c:v>
                </c:pt>
                <c:pt idx="2">
                  <c:v>773.48383313827583</c:v>
                </c:pt>
                <c:pt idx="3">
                  <c:v>-93.000350220851203</c:v>
                </c:pt>
                <c:pt idx="4">
                  <c:v>-56.267189297025624</c:v>
                </c:pt>
                <c:pt idx="5">
                  <c:v>-46.53187641117421</c:v>
                </c:pt>
                <c:pt idx="6">
                  <c:v>-44.387788764252846</c:v>
                </c:pt>
                <c:pt idx="7">
                  <c:v>-48.092111512000784</c:v>
                </c:pt>
                <c:pt idx="8">
                  <c:v>-65.106733186399438</c:v>
                </c:pt>
                <c:pt idx="9">
                  <c:v>-275.84401167425739</c:v>
                </c:pt>
                <c:pt idx="10">
                  <c:v>45.330977620249669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E6-4871-81D0-CDD477BD703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Bifilar!$A$22:$A$25</c:f>
              <c:numCache>
                <c:formatCode>General</c:formatCode>
                <c:ptCount val="4"/>
                <c:pt idx="0">
                  <c:v>45.746982055486399</c:v>
                </c:pt>
                <c:pt idx="1">
                  <c:v>35.830612214635231</c:v>
                </c:pt>
                <c:pt idx="2">
                  <c:v>30.110375989860305</c:v>
                </c:pt>
                <c:pt idx="3">
                  <c:v>126.60116857164326</c:v>
                </c:pt>
              </c:numCache>
            </c:numRef>
          </c:xVal>
          <c:yVal>
            <c:numRef>
              <c:f>Bifilar!$B$22:$B$25</c:f>
              <c:numCache>
                <c:formatCode>General</c:formatCode>
                <c:ptCount val="4"/>
                <c:pt idx="0">
                  <c:v>3.9201561435722621</c:v>
                </c:pt>
                <c:pt idx="1">
                  <c:v>4.6177088187077517</c:v>
                </c:pt>
                <c:pt idx="2">
                  <c:v>5.0200905516440244</c:v>
                </c:pt>
                <c:pt idx="3">
                  <c:v>-1.7674145103483974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E6-4871-81D0-CDD477BD703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Bifilar!$A$28:$A$31</c:f>
              <c:numCache>
                <c:formatCode>General</c:formatCode>
                <c:ptCount val="4"/>
                <c:pt idx="0">
                  <c:v>-90.527387672935603</c:v>
                </c:pt>
                <c:pt idx="1">
                  <c:v>-63.380976283456754</c:v>
                </c:pt>
                <c:pt idx="2">
                  <c:v>-50.078690206242989</c:v>
                </c:pt>
              </c:numCache>
            </c:numRef>
          </c:xVal>
          <c:yVal>
            <c:numRef>
              <c:f>Bifilar!$B$28:$B$31</c:f>
              <c:numCache>
                <c:formatCode>General</c:formatCode>
                <c:ptCount val="4"/>
                <c:pt idx="0">
                  <c:v>13.506179323633903</c:v>
                </c:pt>
                <c:pt idx="1">
                  <c:v>11.596604329057651</c:v>
                </c:pt>
                <c:pt idx="2">
                  <c:v>10.660874279906764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E6-4871-81D0-CDD477BD703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Bifilar!$C$20:$C$28</c:f>
              <c:numCache>
                <c:formatCode>General</c:formatCode>
                <c:ptCount val="9"/>
                <c:pt idx="0">
                  <c:v>39.486062552097245</c:v>
                </c:pt>
                <c:pt idx="1">
                  <c:v>453.01843993088443</c:v>
                </c:pt>
                <c:pt idx="2">
                  <c:v>107.43417887907137</c:v>
                </c:pt>
                <c:pt idx="3">
                  <c:v>65.038072204990613</c:v>
                </c:pt>
                <c:pt idx="4">
                  <c:v>48.32239622435938</c:v>
                </c:pt>
                <c:pt idx="5">
                  <c:v>-213.26864199230556</c:v>
                </c:pt>
                <c:pt idx="6">
                  <c:v>-91.054152721230054</c:v>
                </c:pt>
                <c:pt idx="7">
                  <c:v>-55.985446777906787</c:v>
                </c:pt>
                <c:pt idx="8">
                  <c:v>-42.24253163918781</c:v>
                </c:pt>
              </c:numCache>
            </c:numRef>
          </c:xVal>
          <c:yVal>
            <c:numRef>
              <c:f>Bifilar!$D$20:$D$28</c:f>
              <c:numCache>
                <c:formatCode>General</c:formatCode>
                <c:ptCount val="9"/>
                <c:pt idx="0">
                  <c:v>15.135831979043612</c:v>
                </c:pt>
                <c:pt idx="1">
                  <c:v>95.897124165142273</c:v>
                </c:pt>
                <c:pt idx="2">
                  <c:v>28.405839302197588</c:v>
                </c:pt>
                <c:pt idx="3">
                  <c:v>20.126041767693621</c:v>
                </c:pt>
                <c:pt idx="4">
                  <c:v>16.861534160050226</c:v>
                </c:pt>
                <c:pt idx="5">
                  <c:v>-34.226195426186266</c:v>
                </c:pt>
                <c:pt idx="6">
                  <c:v>-10.35817295123686</c:v>
                </c:pt>
                <c:pt idx="7">
                  <c:v>-3.5093887635772982</c:v>
                </c:pt>
                <c:pt idx="8">
                  <c:v>-0.82544998218848231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E6-4871-81D0-CDD477BD703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Bifilar!$C$7:$C$17</c:f>
              <c:numCache>
                <c:formatCode>General</c:formatCode>
                <c:ptCount val="11"/>
                <c:pt idx="0">
                  <c:v>453.01843993088443</c:v>
                </c:pt>
                <c:pt idx="1">
                  <c:v>-88.943716037289917</c:v>
                </c:pt>
                <c:pt idx="2">
                  <c:v>-35.496490452353108</c:v>
                </c:pt>
                <c:pt idx="3">
                  <c:v>-18.280746310098451</c:v>
                </c:pt>
                <c:pt idx="4">
                  <c:v>-8.6535761318459894</c:v>
                </c:pt>
                <c:pt idx="5">
                  <c:v>-1.5624284562061186</c:v>
                </c:pt>
                <c:pt idx="6">
                  <c:v>4.8059946822002759</c:v>
                </c:pt>
                <c:pt idx="7">
                  <c:v>11.628570981171455</c:v>
                </c:pt>
                <c:pt idx="8">
                  <c:v>20.441378104131857</c:v>
                </c:pt>
                <c:pt idx="9">
                  <c:v>34.941230920545323</c:v>
                </c:pt>
                <c:pt idx="10">
                  <c:v>71.390898201634599</c:v>
                </c:pt>
              </c:numCache>
            </c:numRef>
          </c:xVal>
          <c:yVal>
            <c:numRef>
              <c:f>Bifilar!$D$7:$D$17</c:f>
              <c:numCache>
                <c:formatCode>General</c:formatCode>
                <c:ptCount val="11"/>
                <c:pt idx="0">
                  <c:v>95.897124165142273</c:v>
                </c:pt>
                <c:pt idx="1">
                  <c:v>-36.596741265109131</c:v>
                </c:pt>
                <c:pt idx="2">
                  <c:v>-24.008232554977507</c:v>
                </c:pt>
                <c:pt idx="3">
                  <c:v>-20.29813389304438</c:v>
                </c:pt>
                <c:pt idx="4">
                  <c:v>-18.514460204588744</c:v>
                </c:pt>
                <c:pt idx="5">
                  <c:v>-17.471043552672928</c:v>
                </c:pt>
                <c:pt idx="6">
                  <c:v>-16.80445795094704</c:v>
                </c:pt>
                <c:pt idx="7">
                  <c:v>-16.380717910368421</c:v>
                </c:pt>
                <c:pt idx="8">
                  <c:v>-16.172554927349832</c:v>
                </c:pt>
                <c:pt idx="9">
                  <c:v>-16.280524517121773</c:v>
                </c:pt>
                <c:pt idx="10">
                  <c:v>-17.336982285795003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E6-4871-81D0-CDD477BD703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Bifilar!$K$7:$K$17</c:f>
              <c:numCache>
                <c:formatCode>General</c:formatCode>
                <c:ptCount val="11"/>
                <c:pt idx="0">
                  <c:v>-213.26864199230556</c:v>
                </c:pt>
                <c:pt idx="1">
                  <c:v>-53.578100112895669</c:v>
                </c:pt>
                <c:pt idx="2">
                  <c:v>-27.141486507539188</c:v>
                </c:pt>
                <c:pt idx="3">
                  <c:v>-15.138754707157924</c:v>
                </c:pt>
                <c:pt idx="4">
                  <c:v>-7.4806630797597258</c:v>
                </c:pt>
                <c:pt idx="5">
                  <c:v>-1.4931797124342356</c:v>
                </c:pt>
                <c:pt idx="6">
                  <c:v>3.9742786457187811</c:v>
                </c:pt>
                <c:pt idx="7">
                  <c:v>9.72145002978999</c:v>
                </c:pt>
                <c:pt idx="8">
                  <c:v>16.730186578331367</c:v>
                </c:pt>
                <c:pt idx="9">
                  <c:v>27.008605621755951</c:v>
                </c:pt>
                <c:pt idx="10">
                  <c:v>47.029851513167365</c:v>
                </c:pt>
              </c:numCache>
            </c:numRef>
          </c:xVal>
          <c:yVal>
            <c:numRef>
              <c:f>Bifilar!$L$7:$L$17</c:f>
              <c:numCache>
                <c:formatCode>General</c:formatCode>
                <c:ptCount val="11"/>
                <c:pt idx="0">
                  <c:v>-34.226195426186266</c:v>
                </c:pt>
                <c:pt idx="1">
                  <c:v>-18.963231308919593</c:v>
                </c:pt>
                <c:pt idx="2">
                  <c:v>-16.429262681055814</c:v>
                </c:pt>
                <c:pt idx="3">
                  <c:v>-15.273378706177143</c:v>
                </c:pt>
                <c:pt idx="4">
                  <c:v>-14.531304954931668</c:v>
                </c:pt>
                <c:pt idx="5">
                  <c:v>-13.94688663044405</c:v>
                </c:pt>
                <c:pt idx="6">
                  <c:v>-13.409040972961861</c:v>
                </c:pt>
                <c:pt idx="7">
                  <c:v>-12.839235727018703</c:v>
                </c:pt>
                <c:pt idx="8">
                  <c:v>-12.139245459948203</c:v>
                </c:pt>
                <c:pt idx="9">
                  <c:v>-11.106175307014604</c:v>
                </c:pt>
                <c:pt idx="10">
                  <c:v>-9.0839037158445173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E6-4871-81D0-CDD477BD703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Bifilar!$W$9:$W$15</c:f>
              <c:numCache>
                <c:formatCode>General</c:formatCode>
                <c:ptCount val="7"/>
              </c:numCache>
            </c:numRef>
          </c:xVal>
          <c:yVal>
            <c:numRef>
              <c:f>Bifilar!$X$9:$X$15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E6-4871-81D0-CDD477BD703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Bifilar!$E$20:$E$30</c:f>
              <c:numCache>
                <c:formatCode>General</c:formatCode>
                <c:ptCount val="11"/>
                <c:pt idx="0">
                  <c:v>72.943982624209099</c:v>
                </c:pt>
                <c:pt idx="1">
                  <c:v>-88.943716037289917</c:v>
                </c:pt>
                <c:pt idx="2">
                  <c:v>-278.4499873119139</c:v>
                </c:pt>
                <c:pt idx="3">
                  <c:v>338.3150092445145</c:v>
                </c:pt>
                <c:pt idx="4">
                  <c:v>114.92354271278141</c:v>
                </c:pt>
                <c:pt idx="5">
                  <c:v>-53.578100112895669</c:v>
                </c:pt>
                <c:pt idx="6">
                  <c:v>-39.326621249746083</c:v>
                </c:pt>
                <c:pt idx="7">
                  <c:v>-30.476998515444127</c:v>
                </c:pt>
                <c:pt idx="8">
                  <c:v>-25.614258371701574</c:v>
                </c:pt>
                <c:pt idx="9">
                  <c:v>-22.667843776891733</c:v>
                </c:pt>
                <c:pt idx="10">
                  <c:v>-20.573668450628293</c:v>
                </c:pt>
              </c:numCache>
            </c:numRef>
          </c:xVal>
          <c:yVal>
            <c:numRef>
              <c:f>Bifilar!$F$20:$F$30</c:f>
              <c:numCache>
                <c:formatCode>General</c:formatCode>
                <c:ptCount val="11"/>
                <c:pt idx="0">
                  <c:v>44.121444224291437</c:v>
                </c:pt>
                <c:pt idx="1">
                  <c:v>-36.596741265109131</c:v>
                </c:pt>
                <c:pt idx="2">
                  <c:v>-131.08571406924028</c:v>
                </c:pt>
                <c:pt idx="3">
                  <c:v>176.43704279882812</c:v>
                </c:pt>
                <c:pt idx="4">
                  <c:v>65.052706735336642</c:v>
                </c:pt>
                <c:pt idx="5">
                  <c:v>-18.963231308919593</c:v>
                </c:pt>
                <c:pt idx="6">
                  <c:v>-11.857357768896488</c:v>
                </c:pt>
                <c:pt idx="7">
                  <c:v>-7.4448823598029987</c:v>
                </c:pt>
                <c:pt idx="8">
                  <c:v>-5.0202907190873409</c:v>
                </c:pt>
                <c:pt idx="9">
                  <c:v>-3.5511905851121863</c:v>
                </c:pt>
                <c:pt idx="10">
                  <c:v>-2.5070221039349341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E6-4871-81D0-CDD477BD703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Bifilar!$G$20:$G$31</c:f>
              <c:numCache>
                <c:formatCode>General</c:formatCode>
                <c:ptCount val="12"/>
                <c:pt idx="0">
                  <c:v>843.6532443620938</c:v>
                </c:pt>
                <c:pt idx="1">
                  <c:v>-35.496490452353108</c:v>
                </c:pt>
                <c:pt idx="2">
                  <c:v>-52.077957716230408</c:v>
                </c:pt>
                <c:pt idx="3">
                  <c:v>-86.925296555929549</c:v>
                </c:pt>
                <c:pt idx="4">
                  <c:v>-211.36376570979252</c:v>
                </c:pt>
                <c:pt idx="5">
                  <c:v>-27.141486507539188</c:v>
                </c:pt>
                <c:pt idx="6">
                  <c:v>-22.359212604468112</c:v>
                </c:pt>
                <c:pt idx="7">
                  <c:v>-18.761245392106524</c:v>
                </c:pt>
                <c:pt idx="8">
                  <c:v>-16.524324654647565</c:v>
                </c:pt>
                <c:pt idx="9">
                  <c:v>-15.064519703619421</c:v>
                </c:pt>
                <c:pt idx="10">
                  <c:v>-13.974275057976126</c:v>
                </c:pt>
              </c:numCache>
            </c:numRef>
          </c:xVal>
          <c:yVal>
            <c:numRef>
              <c:f>Bifilar!$H$20:$H$31</c:f>
              <c:numCache>
                <c:formatCode>General</c:formatCode>
                <c:ptCount val="12"/>
                <c:pt idx="0">
                  <c:v>773.48383313827583</c:v>
                </c:pt>
                <c:pt idx="1">
                  <c:v>-24.008232554977507</c:v>
                </c:pt>
                <c:pt idx="2">
                  <c:v>-39.049570858156919</c:v>
                </c:pt>
                <c:pt idx="3">
                  <c:v>-70.660200008889547</c:v>
                </c:pt>
                <c:pt idx="4">
                  <c:v>-183.54050684099664</c:v>
                </c:pt>
                <c:pt idx="5">
                  <c:v>-16.429262681055814</c:v>
                </c:pt>
                <c:pt idx="6">
                  <c:v>-12.091178572464198</c:v>
                </c:pt>
                <c:pt idx="7">
                  <c:v>-8.8273997292749371</c:v>
                </c:pt>
                <c:pt idx="8">
                  <c:v>-6.7982498938549956</c:v>
                </c:pt>
                <c:pt idx="9">
                  <c:v>-5.4740353490478073</c:v>
                </c:pt>
                <c:pt idx="10">
                  <c:v>-4.4850554061162553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DE6-4871-81D0-CDD477BD703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Bifilar!$I$20:$I$31</c:f>
              <c:numCache>
                <c:formatCode>General</c:formatCode>
                <c:ptCount val="12"/>
                <c:pt idx="0">
                  <c:v>-63.741618476400475</c:v>
                </c:pt>
                <c:pt idx="1">
                  <c:v>-18.280746310098451</c:v>
                </c:pt>
                <c:pt idx="2">
                  <c:v>-23.322115653165326</c:v>
                </c:pt>
                <c:pt idx="3">
                  <c:v>-30.615619455638694</c:v>
                </c:pt>
                <c:pt idx="4">
                  <c:v>-42.32962859315866</c:v>
                </c:pt>
                <c:pt idx="5">
                  <c:v>-15.138754707157924</c:v>
                </c:pt>
                <c:pt idx="6">
                  <c:v>-13.105195735099448</c:v>
                </c:pt>
                <c:pt idx="7">
                  <c:v>-11.44289932442976</c:v>
                </c:pt>
                <c:pt idx="8">
                  <c:v>-10.345706706031965</c:v>
                </c:pt>
                <c:pt idx="9">
                  <c:v>-9.6012788177512114</c:v>
                </c:pt>
                <c:pt idx="10">
                  <c:v>-9.0299141154512856</c:v>
                </c:pt>
              </c:numCache>
            </c:numRef>
          </c:xVal>
          <c:yVal>
            <c:numRef>
              <c:f>Bifilar!$J$20:$J$31</c:f>
              <c:numCache>
                <c:formatCode>General</c:formatCode>
                <c:ptCount val="12"/>
                <c:pt idx="0">
                  <c:v>-93.000350220851203</c:v>
                </c:pt>
                <c:pt idx="1">
                  <c:v>-20.29813389304438</c:v>
                </c:pt>
                <c:pt idx="2">
                  <c:v>-28.360423662304559</c:v>
                </c:pt>
                <c:pt idx="3">
                  <c:v>-40.024385789897707</c:v>
                </c:pt>
                <c:pt idx="4">
                  <c:v>-58.757735719183891</c:v>
                </c:pt>
                <c:pt idx="5">
                  <c:v>-15.273378706177143</c:v>
                </c:pt>
                <c:pt idx="6">
                  <c:v>-12.02125798660288</c:v>
                </c:pt>
                <c:pt idx="7">
                  <c:v>-9.3628700699049929</c:v>
                </c:pt>
                <c:pt idx="8">
                  <c:v>-7.608210924690491</c:v>
                </c:pt>
                <c:pt idx="9">
                  <c:v>-6.4177023665560204</c:v>
                </c:pt>
                <c:pt idx="10">
                  <c:v>-5.5039609839286676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DE6-4871-81D0-CDD477BD703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Bifilar!$K$20:$K$31</c:f>
              <c:numCache>
                <c:formatCode>General</c:formatCode>
                <c:ptCount val="12"/>
                <c:pt idx="0">
                  <c:v>-19.770559008224787</c:v>
                </c:pt>
                <c:pt idx="1">
                  <c:v>-8.6535761318459894</c:v>
                </c:pt>
                <c:pt idx="2">
                  <c:v>-10.382271213516635</c:v>
                </c:pt>
                <c:pt idx="3">
                  <c:v>-12.597008029136108</c:v>
                </c:pt>
                <c:pt idx="4">
                  <c:v>-15.588264394388949</c:v>
                </c:pt>
                <c:pt idx="5">
                  <c:v>-7.4806630797597258</c:v>
                </c:pt>
                <c:pt idx="6">
                  <c:v>-6.6780066295518852</c:v>
                </c:pt>
                <c:pt idx="7">
                  <c:v>-5.994522752099174</c:v>
                </c:pt>
                <c:pt idx="8">
                  <c:v>-5.5291661922230375</c:v>
                </c:pt>
                <c:pt idx="9">
                  <c:v>-5.2067275818999272</c:v>
                </c:pt>
                <c:pt idx="10">
                  <c:v>-4.9554710595765803</c:v>
                </c:pt>
              </c:numCache>
            </c:numRef>
          </c:xVal>
          <c:yVal>
            <c:numRef>
              <c:f>Bifilar!$L$20:$L$31</c:f>
              <c:numCache>
                <c:formatCode>General</c:formatCode>
                <c:ptCount val="12"/>
                <c:pt idx="0">
                  <c:v>-56.267189297025624</c:v>
                </c:pt>
                <c:pt idx="1">
                  <c:v>-18.514460204588744</c:v>
                </c:pt>
                <c:pt idx="2">
                  <c:v>-24.385023992215846</c:v>
                </c:pt>
                <c:pt idx="3">
                  <c:v>-31.906161691257065</c:v>
                </c:pt>
                <c:pt idx="4">
                  <c:v>-42.064321729747896</c:v>
                </c:pt>
                <c:pt idx="5">
                  <c:v>-14.531304954931668</c:v>
                </c:pt>
                <c:pt idx="6">
                  <c:v>-11.805522981894729</c:v>
                </c:pt>
                <c:pt idx="7">
                  <c:v>-9.4844452262253203</c:v>
                </c:pt>
                <c:pt idx="8">
                  <c:v>-7.9041171523446456</c:v>
                </c:pt>
                <c:pt idx="9">
                  <c:v>-6.8091314318633209</c:v>
                </c:pt>
                <c:pt idx="10">
                  <c:v>-5.955876594155864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DE6-4871-81D0-CDD477BD703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Bifilar!$M$20:$M$31</c:f>
              <c:numCache>
                <c:formatCode>General</c:formatCode>
                <c:ptCount val="12"/>
                <c:pt idx="0">
                  <c:v>-2.1334660725285777</c:v>
                </c:pt>
                <c:pt idx="1">
                  <c:v>-1.5624284562061186</c:v>
                </c:pt>
                <c:pt idx="2">
                  <c:v>-1.6610133538435774</c:v>
                </c:pt>
                <c:pt idx="3">
                  <c:v>-1.781616611438493</c:v>
                </c:pt>
                <c:pt idx="4">
                  <c:v>-1.9351219142292253</c:v>
                </c:pt>
                <c:pt idx="5">
                  <c:v>-1.4931797124342356</c:v>
                </c:pt>
                <c:pt idx="6">
                  <c:v>-1.4446416764426824</c:v>
                </c:pt>
                <c:pt idx="7">
                  <c:v>-1.4025498210126677</c:v>
                </c:pt>
                <c:pt idx="8">
                  <c:v>-1.3734812356226171</c:v>
                </c:pt>
                <c:pt idx="9">
                  <c:v>-1.3531416878841356</c:v>
                </c:pt>
                <c:pt idx="10">
                  <c:v>-1.3371783044902941</c:v>
                </c:pt>
              </c:numCache>
            </c:numRef>
          </c:xVal>
          <c:yVal>
            <c:numRef>
              <c:f>Bifilar!$N$20:$N$31</c:f>
              <c:numCache>
                <c:formatCode>General</c:formatCode>
                <c:ptCount val="12"/>
                <c:pt idx="0">
                  <c:v>-46.53187641117421</c:v>
                </c:pt>
                <c:pt idx="1">
                  <c:v>-17.471043552672928</c:v>
                </c:pt>
                <c:pt idx="2">
                  <c:v>-22.488154773935857</c:v>
                </c:pt>
                <c:pt idx="3">
                  <c:v>-28.625808425770728</c:v>
                </c:pt>
                <c:pt idx="4">
                  <c:v>-36.437889136012473</c:v>
                </c:pt>
                <c:pt idx="5">
                  <c:v>-13.94688663044405</c:v>
                </c:pt>
                <c:pt idx="6">
                  <c:v>-11.476724051112464</c:v>
                </c:pt>
                <c:pt idx="7">
                  <c:v>-9.3346158249792239</c:v>
                </c:pt>
                <c:pt idx="8">
                  <c:v>-7.8552784270444649</c:v>
                </c:pt>
                <c:pt idx="9">
                  <c:v>-6.8201728922249529</c:v>
                </c:pt>
                <c:pt idx="10">
                  <c:v>-6.0077759442756626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DE6-4871-81D0-CDD477BD7034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Bifilar!$O$20:$O$31</c:f>
              <c:numCache>
                <c:formatCode>General</c:formatCode>
                <c:ptCount val="12"/>
                <c:pt idx="0">
                  <c:v>11.562601816389124</c:v>
                </c:pt>
                <c:pt idx="1">
                  <c:v>4.8059946822002759</c:v>
                </c:pt>
                <c:pt idx="2">
                  <c:v>5.9853931041924655</c:v>
                </c:pt>
                <c:pt idx="3">
                  <c:v>7.4208064731132897</c:v>
                </c:pt>
                <c:pt idx="4">
                  <c:v>9.2361467443149756</c:v>
                </c:pt>
                <c:pt idx="5">
                  <c:v>3.9742786457187811</c:v>
                </c:pt>
                <c:pt idx="6">
                  <c:v>3.3896909531048829</c:v>
                </c:pt>
                <c:pt idx="7">
                  <c:v>2.8816562426523884</c:v>
                </c:pt>
                <c:pt idx="8">
                  <c:v>2.5302184978233289</c:v>
                </c:pt>
                <c:pt idx="9">
                  <c:v>2.2840273333644459</c:v>
                </c:pt>
                <c:pt idx="10">
                  <c:v>2.0906397493096556</c:v>
                </c:pt>
              </c:numCache>
            </c:numRef>
          </c:xVal>
          <c:yVal>
            <c:numRef>
              <c:f>Bifilar!$P$20:$P$31</c:f>
              <c:numCache>
                <c:formatCode>General</c:formatCode>
                <c:ptCount val="12"/>
                <c:pt idx="0">
                  <c:v>-44.387788764252846</c:v>
                </c:pt>
                <c:pt idx="1">
                  <c:v>-16.80445795094704</c:v>
                </c:pt>
                <c:pt idx="2">
                  <c:v>-21.619261622140055</c:v>
                </c:pt>
                <c:pt idx="3">
                  <c:v>-27.479226693727451</c:v>
                </c:pt>
                <c:pt idx="4">
                  <c:v>-34.890214227085615</c:v>
                </c:pt>
                <c:pt idx="5">
                  <c:v>-13.409040972961861</c:v>
                </c:pt>
                <c:pt idx="6">
                  <c:v>-11.022506519424757</c:v>
                </c:pt>
                <c:pt idx="7">
                  <c:v>-8.9484937487036262</c:v>
                </c:pt>
                <c:pt idx="8">
                  <c:v>-7.5137760888813219</c:v>
                </c:pt>
                <c:pt idx="9">
                  <c:v>-6.5087195275458818</c:v>
                </c:pt>
                <c:pt idx="10">
                  <c:v>-5.7192295364559005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DE6-4871-81D0-CDD477BD7034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Bifilar!$Q$20:$Q$31</c:f>
              <c:numCache>
                <c:formatCode>General</c:formatCode>
                <c:ptCount val="12"/>
                <c:pt idx="0">
                  <c:v>28.705450096789221</c:v>
                </c:pt>
                <c:pt idx="1">
                  <c:v>11.628570981171455</c:v>
                </c:pt>
                <c:pt idx="2">
                  <c:v>14.401083579269763</c:v>
                </c:pt>
                <c:pt idx="3">
                  <c:v>17.888029527579253</c:v>
                </c:pt>
                <c:pt idx="4">
                  <c:v>22.485182387665223</c:v>
                </c:pt>
                <c:pt idx="5">
                  <c:v>9.72145002978999</c:v>
                </c:pt>
                <c:pt idx="6">
                  <c:v>8.4040352330489085</c:v>
                </c:pt>
                <c:pt idx="7">
                  <c:v>7.2742282770097528</c:v>
                </c:pt>
                <c:pt idx="8">
                  <c:v>6.5007423439392484</c:v>
                </c:pt>
                <c:pt idx="9">
                  <c:v>5.9627737871261779</c:v>
                </c:pt>
                <c:pt idx="10">
                  <c:v>5.5424093795293565</c:v>
                </c:pt>
              </c:numCache>
            </c:numRef>
          </c:xVal>
          <c:yVal>
            <c:numRef>
              <c:f>Bifilar!$R$20:$R$31</c:f>
              <c:numCache>
                <c:formatCode>General</c:formatCode>
                <c:ptCount val="12"/>
                <c:pt idx="0">
                  <c:v>-48.092111512000784</c:v>
                </c:pt>
                <c:pt idx="1">
                  <c:v>-16.380717910368421</c:v>
                </c:pt>
                <c:pt idx="2">
                  <c:v>-21.529213585047749</c:v>
                </c:pt>
                <c:pt idx="3">
                  <c:v>-28.004396473315175</c:v>
                </c:pt>
                <c:pt idx="4">
                  <c:v>-36.541209482650707</c:v>
                </c:pt>
                <c:pt idx="5">
                  <c:v>-12.839235727018703</c:v>
                </c:pt>
                <c:pt idx="6">
                  <c:v>-10.392825064202485</c:v>
                </c:pt>
                <c:pt idx="7">
                  <c:v>-8.2947980866587177</c:v>
                </c:pt>
                <c:pt idx="8">
                  <c:v>-6.8584515093445937</c:v>
                </c:pt>
                <c:pt idx="9">
                  <c:v>-5.8594555842168381</c:v>
                </c:pt>
                <c:pt idx="10">
                  <c:v>-5.0788480097784587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DE6-4871-81D0-CDD477BD7034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Bifilar!$S$20:$S$31</c:f>
              <c:numCache>
                <c:formatCode>General</c:formatCode>
                <c:ptCount val="12"/>
                <c:pt idx="0">
                  <c:v>65.46745635197577</c:v>
                </c:pt>
                <c:pt idx="1">
                  <c:v>20.441378104131857</c:v>
                </c:pt>
                <c:pt idx="2">
                  <c:v>26.209034698835744</c:v>
                </c:pt>
                <c:pt idx="3">
                  <c:v>34.16905104421452</c:v>
                </c:pt>
                <c:pt idx="4">
                  <c:v>46.084398290870155</c:v>
                </c:pt>
                <c:pt idx="5">
                  <c:v>16.730186578331367</c:v>
                </c:pt>
                <c:pt idx="6">
                  <c:v>14.278576666942914</c:v>
                </c:pt>
                <c:pt idx="7">
                  <c:v>12.244770978380233</c:v>
                </c:pt>
                <c:pt idx="8">
                  <c:v>10.887404251692793</c:v>
                </c:pt>
                <c:pt idx="9">
                  <c:v>9.9595818640598601</c:v>
                </c:pt>
                <c:pt idx="10">
                  <c:v>9.2436533581595981</c:v>
                </c:pt>
              </c:numCache>
            </c:numRef>
          </c:xVal>
          <c:yVal>
            <c:numRef>
              <c:f>Bifilar!$T$20:$T$31</c:f>
              <c:numCache>
                <c:formatCode>General</c:formatCode>
                <c:ptCount val="12"/>
                <c:pt idx="0">
                  <c:v>-65.106733186399438</c:v>
                </c:pt>
                <c:pt idx="1">
                  <c:v>-16.172554927349832</c:v>
                </c:pt>
                <c:pt idx="2">
                  <c:v>-22.440823160454013</c:v>
                </c:pt>
                <c:pt idx="3">
                  <c:v>-31.091740005701698</c:v>
                </c:pt>
                <c:pt idx="4">
                  <c:v>-44.041296104655153</c:v>
                </c:pt>
                <c:pt idx="5">
                  <c:v>-12.139245459948203</c:v>
                </c:pt>
                <c:pt idx="6">
                  <c:v>-9.4748447150025807</c:v>
                </c:pt>
                <c:pt idx="7">
                  <c:v>-7.2645120815323061</c:v>
                </c:pt>
                <c:pt idx="8">
                  <c:v>-5.7893308543108013</c:v>
                </c:pt>
                <c:pt idx="9">
                  <c:v>-4.780976854229948</c:v>
                </c:pt>
                <c:pt idx="10">
                  <c:v>-4.0029083550011482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DE6-4871-81D0-CDD477BD7034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Bifilar!$U$20:$U$29</c:f>
              <c:numCache>
                <c:formatCode>General</c:formatCode>
                <c:ptCount val="10"/>
                <c:pt idx="0">
                  <c:v>432.86951160998075</c:v>
                </c:pt>
                <c:pt idx="1">
                  <c:v>34.941230920545323</c:v>
                </c:pt>
                <c:pt idx="2">
                  <c:v>49.401720609557422</c:v>
                </c:pt>
                <c:pt idx="3">
                  <c:v>75.206973813079031</c:v>
                </c:pt>
                <c:pt idx="4">
                  <c:v>135.8136702890327</c:v>
                </c:pt>
                <c:pt idx="5">
                  <c:v>27.008605621755951</c:v>
                </c:pt>
                <c:pt idx="6">
                  <c:v>22.252233192844873</c:v>
                </c:pt>
                <c:pt idx="7">
                  <c:v>18.563798851674093</c:v>
                </c:pt>
                <c:pt idx="8">
                  <c:v>16.221167685321483</c:v>
                </c:pt>
                <c:pt idx="9">
                  <c:v>14.671370287011904</c:v>
                </c:pt>
              </c:numCache>
            </c:numRef>
          </c:xVal>
          <c:yVal>
            <c:numRef>
              <c:f>Bifilar!$V$20:$V$29</c:f>
              <c:numCache>
                <c:formatCode>General</c:formatCode>
                <c:ptCount val="10"/>
                <c:pt idx="0">
                  <c:v>-275.84401167425739</c:v>
                </c:pt>
                <c:pt idx="1">
                  <c:v>-16.280524517121773</c:v>
                </c:pt>
                <c:pt idx="2">
                  <c:v>-25.712915507721288</c:v>
                </c:pt>
                <c:pt idx="3">
                  <c:v>-42.545349475153905</c:v>
                </c:pt>
                <c:pt idx="4">
                  <c:v>-82.078316207543949</c:v>
                </c:pt>
                <c:pt idx="5">
                  <c:v>-11.106175307014604</c:v>
                </c:pt>
                <c:pt idx="6">
                  <c:v>-8.0036548937199612</c:v>
                </c:pt>
                <c:pt idx="7">
                  <c:v>-5.5977367265424611</c:v>
                </c:pt>
                <c:pt idx="8">
                  <c:v>-4.0696686193750917</c:v>
                </c:pt>
                <c:pt idx="9">
                  <c:v>-3.05875575740074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DE6-4871-81D0-CDD477BD7034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Bifilar!$W$20:$W$27</c:f>
              <c:numCache>
                <c:formatCode>General</c:formatCode>
                <c:ptCount val="8"/>
                <c:pt idx="0">
                  <c:v>-113.58941965220424</c:v>
                </c:pt>
                <c:pt idx="1">
                  <c:v>71.390898201634599</c:v>
                </c:pt>
                <c:pt idx="2">
                  <c:v>147.91337440309209</c:v>
                </c:pt>
                <c:pt idx="3">
                  <c:v>1350.0536963213667</c:v>
                </c:pt>
                <c:pt idx="4">
                  <c:v>-226.72203122156256</c:v>
                </c:pt>
                <c:pt idx="5">
                  <c:v>47.029851513167365</c:v>
                </c:pt>
                <c:pt idx="6">
                  <c:v>35.612354474062307</c:v>
                </c:pt>
                <c:pt idx="7">
                  <c:v>27.968207417030115</c:v>
                </c:pt>
              </c:numCache>
            </c:numRef>
          </c:xVal>
          <c:yVal>
            <c:numRef>
              <c:f>Bifilar!$X$20:$X$27</c:f>
              <c:numCache>
                <c:formatCode>General</c:formatCode>
                <c:ptCount val="8"/>
                <c:pt idx="0">
                  <c:v>45.330977620249669</c:v>
                </c:pt>
                <c:pt idx="1">
                  <c:v>-17.336982285795003</c:v>
                </c:pt>
                <c:pt idx="2">
                  <c:v>-43.261402387037002</c:v>
                </c:pt>
                <c:pt idx="3">
                  <c:v>-450.52463108869875</c:v>
                </c:pt>
                <c:pt idx="4">
                  <c:v>83.658244262188447</c:v>
                </c:pt>
                <c:pt idx="5">
                  <c:v>-9.0839037158445173</c:v>
                </c:pt>
                <c:pt idx="6">
                  <c:v>-5.2158638347617261</c:v>
                </c:pt>
                <c:pt idx="7">
                  <c:v>-2.6261661477650162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DE6-4871-81D0-CDD477BD7034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Bifilar!$S$8:$S$16</c:f>
              <c:numCache>
                <c:formatCode>General</c:formatCode>
                <c:ptCount val="9"/>
                <c:pt idx="0">
                  <c:v>-22.667843776891733</c:v>
                </c:pt>
                <c:pt idx="1">
                  <c:v>-15.064519703619421</c:v>
                </c:pt>
                <c:pt idx="2">
                  <c:v>-9.6012788177512114</c:v>
                </c:pt>
                <c:pt idx="3">
                  <c:v>-5.2067275818999272</c:v>
                </c:pt>
                <c:pt idx="4">
                  <c:v>-1.3531416878841356</c:v>
                </c:pt>
                <c:pt idx="5">
                  <c:v>2.2840273333644459</c:v>
                </c:pt>
                <c:pt idx="6">
                  <c:v>5.9627737871261779</c:v>
                </c:pt>
                <c:pt idx="7">
                  <c:v>9.9595818640598601</c:v>
                </c:pt>
                <c:pt idx="8">
                  <c:v>14.671370287011904</c:v>
                </c:pt>
              </c:numCache>
            </c:numRef>
          </c:xVal>
          <c:yVal>
            <c:numRef>
              <c:f>Bifilar!$T$8:$T$16</c:f>
              <c:numCache>
                <c:formatCode>General</c:formatCode>
                <c:ptCount val="9"/>
                <c:pt idx="0">
                  <c:v>-3.5511905851121863</c:v>
                </c:pt>
                <c:pt idx="1">
                  <c:v>-5.4740353490478073</c:v>
                </c:pt>
                <c:pt idx="2">
                  <c:v>-6.4177023665560204</c:v>
                </c:pt>
                <c:pt idx="3">
                  <c:v>-6.8091314318633209</c:v>
                </c:pt>
                <c:pt idx="4">
                  <c:v>-6.8201728922249529</c:v>
                </c:pt>
                <c:pt idx="5">
                  <c:v>-6.5087195275458818</c:v>
                </c:pt>
                <c:pt idx="6">
                  <c:v>-5.8594555842168381</c:v>
                </c:pt>
                <c:pt idx="7">
                  <c:v>-4.780976854229948</c:v>
                </c:pt>
                <c:pt idx="8">
                  <c:v>-3.05875575740074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69-43DE-AE2D-5E281F2AA8E4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Bifilar!$A$6:$A$18</c:f>
              <c:numCache>
                <c:formatCode>General</c:formatCode>
                <c:ptCount val="13"/>
                <c:pt idx="0">
                  <c:v>26.436222220649441</c:v>
                </c:pt>
                <c:pt idx="1">
                  <c:v>39.486062552097245</c:v>
                </c:pt>
                <c:pt idx="2">
                  <c:v>72.943982624209099</c:v>
                </c:pt>
                <c:pt idx="3">
                  <c:v>843.6532443620938</c:v>
                </c:pt>
                <c:pt idx="4">
                  <c:v>-63.741618476400475</c:v>
                </c:pt>
                <c:pt idx="5">
                  <c:v>-19.770559008224787</c:v>
                </c:pt>
                <c:pt idx="6">
                  <c:v>-2.1334660725285777</c:v>
                </c:pt>
                <c:pt idx="7">
                  <c:v>11.562601816389124</c:v>
                </c:pt>
                <c:pt idx="8">
                  <c:v>28.705450096789221</c:v>
                </c:pt>
                <c:pt idx="9">
                  <c:v>65.46745635197577</c:v>
                </c:pt>
                <c:pt idx="10">
                  <c:v>432.86951160998075</c:v>
                </c:pt>
                <c:pt idx="11">
                  <c:v>-113.58941965220424</c:v>
                </c:pt>
                <c:pt idx="12">
                  <c:v>-50.08470352669864</c:v>
                </c:pt>
              </c:numCache>
            </c:numRef>
          </c:xVal>
          <c:yVal>
            <c:numRef>
              <c:f>Bifilar!$B$6:$B$18</c:f>
              <c:numCache>
                <c:formatCode>General</c:formatCode>
                <c:ptCount val="13"/>
                <c:pt idx="0">
                  <c:v>5.2785435774694687</c:v>
                </c:pt>
                <c:pt idx="1">
                  <c:v>15.135831979043612</c:v>
                </c:pt>
                <c:pt idx="2">
                  <c:v>44.121444224291437</c:v>
                </c:pt>
                <c:pt idx="3">
                  <c:v>773.48383313827583</c:v>
                </c:pt>
                <c:pt idx="4">
                  <c:v>-93.000350220851203</c:v>
                </c:pt>
                <c:pt idx="5">
                  <c:v>-56.267189297025624</c:v>
                </c:pt>
                <c:pt idx="6">
                  <c:v>-46.53187641117421</c:v>
                </c:pt>
                <c:pt idx="7">
                  <c:v>-44.387788764252846</c:v>
                </c:pt>
                <c:pt idx="8">
                  <c:v>-48.092111512000784</c:v>
                </c:pt>
                <c:pt idx="9">
                  <c:v>-65.106733186399438</c:v>
                </c:pt>
                <c:pt idx="10">
                  <c:v>-275.84401167425739</c:v>
                </c:pt>
                <c:pt idx="11">
                  <c:v>45.330977620249669</c:v>
                </c:pt>
                <c:pt idx="12">
                  <c:v>10.661297258191164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B-4EEC-B385-783A62CAF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11656"/>
        <c:axId val="597610672"/>
      </c:scatterChart>
      <c:valAx>
        <c:axId val="597611656"/>
        <c:scaling>
          <c:orientation val="minMax"/>
          <c:max val="140"/>
          <c:min val="-1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10672"/>
        <c:crosses val="autoZero"/>
        <c:crossBetween val="midCat"/>
        <c:majorUnit val="10"/>
      </c:valAx>
      <c:valAx>
        <c:axId val="597610672"/>
        <c:scaling>
          <c:orientation val="minMax"/>
          <c:max val="6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1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Nazanin" panose="00000400000000000000" pitchFamily="2" charset="-78"/>
              </a:rPr>
              <a:t>ساعت خورشیدی</a:t>
            </a:r>
            <a:endParaRPr lang="en-US">
              <a:cs typeface="B Nazanin" panose="000004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VectorDial!$A$12:$A$22</c:f>
              <c:numCache>
                <c:formatCode>General</c:formatCode>
                <c:ptCount val="11"/>
                <c:pt idx="0">
                  <c:v>-20.819194017301196</c:v>
                </c:pt>
                <c:pt idx="1">
                  <c:v>-13.129321007912969</c:v>
                </c:pt>
                <c:pt idx="2">
                  <c:v>-8.5430798215484174</c:v>
                </c:pt>
                <c:pt idx="3">
                  <c:v>-5.2263357160609409</c:v>
                </c:pt>
                <c:pt idx="4">
                  <c:v>-2.4939422831303939</c:v>
                </c:pt>
                <c:pt idx="5">
                  <c:v>0</c:v>
                </c:pt>
                <c:pt idx="6">
                  <c:v>2.4939417787347486</c:v>
                </c:pt>
                <c:pt idx="7">
                  <c:v>5.2263334417103264</c:v>
                </c:pt>
                <c:pt idx="8">
                  <c:v>8.5430733950280811</c:v>
                </c:pt>
                <c:pt idx="9">
                  <c:v>13.129304535665712</c:v>
                </c:pt>
                <c:pt idx="10">
                  <c:v>20.819147816552235</c:v>
                </c:pt>
              </c:numCache>
            </c:numRef>
          </c:xVal>
          <c:yVal>
            <c:numRef>
              <c:f>VectorDial!$B$12:$B$22</c:f>
              <c:numCache>
                <c:formatCode>General</c:formatCode>
                <c:ptCount val="11"/>
                <c:pt idx="0">
                  <c:v>-4.3300526879251171</c:v>
                </c:pt>
                <c:pt idx="1">
                  <c:v>-0.91228424569649169</c:v>
                </c:pt>
                <c:pt idx="2">
                  <c:v>0.73299107573535505</c:v>
                </c:pt>
                <c:pt idx="3">
                  <c:v>1.603426136056312</c:v>
                </c:pt>
                <c:pt idx="4">
                  <c:v>2.0398278947164101</c:v>
                </c:pt>
                <c:pt idx="5">
                  <c:v>2.1734815402251995</c:v>
                </c:pt>
                <c:pt idx="6">
                  <c:v>2.0398244473160703</c:v>
                </c:pt>
                <c:pt idx="7">
                  <c:v>1.6034188324672496</c:v>
                </c:pt>
                <c:pt idx="8">
                  <c:v>0.73297902479647414</c:v>
                </c:pt>
                <c:pt idx="9">
                  <c:v>-0.91230245459921566</c:v>
                </c:pt>
                <c:pt idx="10">
                  <c:v>-4.3300777611361694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1-4923-B854-71B8B9C8547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VectorDial!$C$12:$C$22</c:f>
              <c:numCache>
                <c:formatCode>General</c:formatCode>
                <c:ptCount val="11"/>
                <c:pt idx="0">
                  <c:v>-35.950562649532628</c:v>
                </c:pt>
                <c:pt idx="1">
                  <c:v>-18.651140965532637</c:v>
                </c:pt>
                <c:pt idx="2">
                  <c:v>-11.178827377327158</c:v>
                </c:pt>
                <c:pt idx="3">
                  <c:v>-6.5643095682502901</c:v>
                </c:pt>
                <c:pt idx="4">
                  <c:v>-3.0703785628681506</c:v>
                </c:pt>
                <c:pt idx="5">
                  <c:v>0</c:v>
                </c:pt>
                <c:pt idx="6">
                  <c:v>3.0691886652165437</c:v>
                </c:pt>
                <c:pt idx="7">
                  <c:v>6.5586817140869895</c:v>
                </c:pt>
                <c:pt idx="8">
                  <c:v>11.161530207876437</c:v>
                </c:pt>
                <c:pt idx="9">
                  <c:v>18.598810781327956</c:v>
                </c:pt>
                <c:pt idx="10">
                  <c:v>35.73379468833852</c:v>
                </c:pt>
              </c:numCache>
            </c:numRef>
          </c:xVal>
          <c:yVal>
            <c:numRef>
              <c:f>VectorDial!$D$12:$D$22</c:f>
              <c:numCache>
                <c:formatCode>General</c:formatCode>
                <c:ptCount val="11"/>
                <c:pt idx="0">
                  <c:v>2.6210294003425467</c:v>
                </c:pt>
                <c:pt idx="1">
                  <c:v>4.5434437469629989</c:v>
                </c:pt>
                <c:pt idx="2">
                  <c:v>5.2425982424986772</c:v>
                </c:pt>
                <c:pt idx="3">
                  <c:v>5.5683724072795249</c:v>
                </c:pt>
                <c:pt idx="4">
                  <c:v>5.7205679771256879</c:v>
                </c:pt>
                <c:pt idx="5">
                  <c:v>5.7635387747261415</c:v>
                </c:pt>
                <c:pt idx="6">
                  <c:v>5.7129584255231833</c:v>
                </c:pt>
                <c:pt idx="7">
                  <c:v>5.5516682088615044</c:v>
                </c:pt>
                <c:pt idx="8">
                  <c:v>5.2129516548013903</c:v>
                </c:pt>
                <c:pt idx="9">
                  <c:v>4.4916297712251536</c:v>
                </c:pt>
                <c:pt idx="10">
                  <c:v>2.5211042018636505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D1-4923-B854-71B8B9C8547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VectorDial!$E$12:$E$22</c:f>
              <c:numCache>
                <c:formatCode>General</c:formatCode>
                <c:ptCount val="11"/>
                <c:pt idx="0">
                  <c:v>-29.326394939294367</c:v>
                </c:pt>
                <c:pt idx="1">
                  <c:v>-16.492784321972316</c:v>
                </c:pt>
                <c:pt idx="2">
                  <c:v>-10.198954272379689</c:v>
                </c:pt>
                <c:pt idx="3">
                  <c:v>-6.0793234390910724</c:v>
                </c:pt>
                <c:pt idx="4">
                  <c:v>-2.8639626094741022</c:v>
                </c:pt>
                <c:pt idx="5">
                  <c:v>0</c:v>
                </c:pt>
                <c:pt idx="6">
                  <c:v>2.8630029786949858</c:v>
                </c:pt>
                <c:pt idx="7">
                  <c:v>6.074848733487217</c:v>
                </c:pt>
                <c:pt idx="8">
                  <c:v>10.185604862159073</c:v>
                </c:pt>
                <c:pt idx="9">
                  <c:v>16.454827459227378</c:v>
                </c:pt>
                <c:pt idx="10">
                  <c:v>29.192350218167572</c:v>
                </c:pt>
              </c:numCache>
            </c:numRef>
          </c:xVal>
          <c:yVal>
            <c:numRef>
              <c:f>VectorDial!$F$12:$F$22</c:f>
              <c:numCache>
                <c:formatCode>General</c:formatCode>
                <c:ptCount val="11"/>
                <c:pt idx="0">
                  <c:v>-0.42802535585394086</c:v>
                </c:pt>
                <c:pt idx="1">
                  <c:v>2.4083076706027429</c:v>
                </c:pt>
                <c:pt idx="2">
                  <c:v>3.5643990054406078</c:v>
                </c:pt>
                <c:pt idx="3">
                  <c:v>4.129855599338609</c:v>
                </c:pt>
                <c:pt idx="4">
                  <c:v>4.4013942927533822</c:v>
                </c:pt>
                <c:pt idx="5">
                  <c:v>4.4812004361056221</c:v>
                </c:pt>
                <c:pt idx="6">
                  <c:v>4.3952600363745269</c:v>
                </c:pt>
                <c:pt idx="7">
                  <c:v>4.116580505297712</c:v>
                </c:pt>
                <c:pt idx="8">
                  <c:v>3.5415314050294207</c:v>
                </c:pt>
                <c:pt idx="9">
                  <c:v>2.370752978739596</c:v>
                </c:pt>
                <c:pt idx="10">
                  <c:v>-0.48971569733476106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D1-4923-B854-71B8B9C8547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VectorDial!$G$12:$G$22</c:f>
              <c:numCache>
                <c:formatCode>General</c:formatCode>
                <c:ptCount val="11"/>
                <c:pt idx="0">
                  <c:v>-25.375665801304695</c:v>
                </c:pt>
                <c:pt idx="1">
                  <c:v>-15.024847954713827</c:v>
                </c:pt>
                <c:pt idx="2">
                  <c:v>-9.4964238189352663</c:v>
                </c:pt>
                <c:pt idx="3">
                  <c:v>-5.7225812720019125</c:v>
                </c:pt>
                <c:pt idx="4">
                  <c:v>-2.7102575788684229</c:v>
                </c:pt>
                <c:pt idx="5">
                  <c:v>0</c:v>
                </c:pt>
                <c:pt idx="6">
                  <c:v>2.7095126421937663</c:v>
                </c:pt>
                <c:pt idx="7">
                  <c:v>5.7191441077098197</c:v>
                </c:pt>
                <c:pt idx="8">
                  <c:v>9.4863893136626078</c:v>
                </c:pt>
                <c:pt idx="9">
                  <c:v>14.997527677027529</c:v>
                </c:pt>
                <c:pt idx="10">
                  <c:v>25.288532583422686</c:v>
                </c:pt>
              </c:numCache>
            </c:numRef>
          </c:xVal>
          <c:yVal>
            <c:numRef>
              <c:f>VectorDial!$H$12:$H$22</c:f>
              <c:numCache>
                <c:formatCode>General</c:formatCode>
                <c:ptCount val="11"/>
                <c:pt idx="0">
                  <c:v>-2.2424296050603196</c:v>
                </c:pt>
                <c:pt idx="1">
                  <c:v>0.95795989289818095</c:v>
                </c:pt>
                <c:pt idx="2">
                  <c:v>2.3623760948166113</c:v>
                </c:pt>
                <c:pt idx="3">
                  <c:v>3.0726429473707335</c:v>
                </c:pt>
                <c:pt idx="4">
                  <c:v>3.4198903901958495</c:v>
                </c:pt>
                <c:pt idx="5">
                  <c:v>3.5236631355274488</c:v>
                </c:pt>
                <c:pt idx="6">
                  <c:v>3.4151303233532211</c:v>
                </c:pt>
                <c:pt idx="7">
                  <c:v>3.0624499233516662</c:v>
                </c:pt>
                <c:pt idx="8">
                  <c:v>2.3451945341865681</c:v>
                </c:pt>
                <c:pt idx="9">
                  <c:v>0.93094438513277755</c:v>
                </c:pt>
                <c:pt idx="10">
                  <c:v>-2.282485626130712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D1-4923-B854-71B8B9C8547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VectorDial!$I$12:$I$22</c:f>
              <c:numCache>
                <c:formatCode>General</c:formatCode>
                <c:ptCount val="11"/>
                <c:pt idx="0">
                  <c:v>-22.716953004327749</c:v>
                </c:pt>
                <c:pt idx="1">
                  <c:v>-13.947110634663472</c:v>
                </c:pt>
                <c:pt idx="2">
                  <c:v>-8.9607722286301819</c:v>
                </c:pt>
                <c:pt idx="3">
                  <c:v>-5.4453852470108952</c:v>
                </c:pt>
                <c:pt idx="4">
                  <c:v>-2.5897338437200634</c:v>
                </c:pt>
                <c:pt idx="5">
                  <c:v>0</c:v>
                </c:pt>
                <c:pt idx="6">
                  <c:v>2.589228396249788</c:v>
                </c:pt>
                <c:pt idx="7">
                  <c:v>5.4430721846942349</c:v>
                </c:pt>
                <c:pt idx="8">
                  <c:v>8.9541310344050533</c:v>
                </c:pt>
                <c:pt idx="9">
                  <c:v>13.929606581364771</c:v>
                </c:pt>
                <c:pt idx="10">
                  <c:v>22.664989940887327</c:v>
                </c:pt>
              </c:numCache>
            </c:numRef>
          </c:xVal>
          <c:yVal>
            <c:numRef>
              <c:f>VectorDial!$J$12:$J$22</c:f>
              <c:numCache>
                <c:formatCode>General</c:formatCode>
                <c:ptCount val="11"/>
                <c:pt idx="0">
                  <c:v>-3.4612011589171328</c:v>
                </c:pt>
                <c:pt idx="1">
                  <c:v>-0.10572754804286319</c:v>
                </c:pt>
                <c:pt idx="2">
                  <c:v>1.4466575584375203</c:v>
                </c:pt>
                <c:pt idx="3">
                  <c:v>2.2517818586600775</c:v>
                </c:pt>
                <c:pt idx="4">
                  <c:v>2.6508099791233253</c:v>
                </c:pt>
                <c:pt idx="5">
                  <c:v>2.7714377036502178</c:v>
                </c:pt>
                <c:pt idx="6">
                  <c:v>2.6475811215516094</c:v>
                </c:pt>
                <c:pt idx="7">
                  <c:v>2.2449244761725282</c:v>
                </c:pt>
                <c:pt idx="8">
                  <c:v>1.435290075035613</c:v>
                </c:pt>
                <c:pt idx="9">
                  <c:v>-0.12302888683469146</c:v>
                </c:pt>
                <c:pt idx="10">
                  <c:v>-3.4850702243449159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D1-4923-B854-71B8B9C8547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VectorDial!$K$12:$K$22</c:f>
              <c:numCache>
                <c:formatCode>General</c:formatCode>
                <c:ptCount val="11"/>
                <c:pt idx="0">
                  <c:v>-45.853611827568372</c:v>
                </c:pt>
                <c:pt idx="1">
                  <c:v>-21.340127623791105</c:v>
                </c:pt>
                <c:pt idx="2">
                  <c:v>-12.325921144597851</c:v>
                </c:pt>
                <c:pt idx="3">
                  <c:v>-7.1175297384085363</c:v>
                </c:pt>
                <c:pt idx="4">
                  <c:v>-3.3037089791954659</c:v>
                </c:pt>
                <c:pt idx="5">
                  <c:v>0</c:v>
                </c:pt>
                <c:pt idx="6">
                  <c:v>3.305101760351334</c:v>
                </c:pt>
                <c:pt idx="7">
                  <c:v>7.1242252538837452</c:v>
                </c:pt>
                <c:pt idx="8">
                  <c:v>12.347231016799176</c:v>
                </c:pt>
                <c:pt idx="9">
                  <c:v>21.409723137226113</c:v>
                </c:pt>
                <c:pt idx="10">
                  <c:v>46.214042560193597</c:v>
                </c:pt>
              </c:numCache>
            </c:numRef>
          </c:xVal>
          <c:yVal>
            <c:numRef>
              <c:f>VectorDial!$L$12:$L$22</c:f>
              <c:numCache>
                <c:formatCode>General</c:formatCode>
                <c:ptCount val="11"/>
                <c:pt idx="0">
                  <c:v>7.1868079181067595</c:v>
                </c:pt>
                <c:pt idx="1">
                  <c:v>7.204982091309331</c:v>
                </c:pt>
                <c:pt idx="2">
                  <c:v>7.2079255331706653</c:v>
                </c:pt>
                <c:pt idx="3">
                  <c:v>7.2097916834259204</c:v>
                </c:pt>
                <c:pt idx="4">
                  <c:v>7.2121799592582638</c:v>
                </c:pt>
                <c:pt idx="5">
                  <c:v>7.2157055891502733</c:v>
                </c:pt>
                <c:pt idx="6">
                  <c:v>7.2210906574198939</c:v>
                </c:pt>
                <c:pt idx="7">
                  <c:v>7.2296738706849695</c:v>
                </c:pt>
                <c:pt idx="8">
                  <c:v>7.2444689377630738</c:v>
                </c:pt>
                <c:pt idx="9">
                  <c:v>7.2739411700031802</c:v>
                </c:pt>
                <c:pt idx="10">
                  <c:v>7.3532857575896866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D1-4923-B854-71B8B9C85476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VectorDial!$O$12:$O$22</c:f>
              <c:numCache>
                <c:formatCode>General</c:formatCode>
                <c:ptCount val="11"/>
                <c:pt idx="0">
                  <c:v>-101.49617389193506</c:v>
                </c:pt>
                <c:pt idx="1">
                  <c:v>-29.93066338368498</c:v>
                </c:pt>
                <c:pt idx="2">
                  <c:v>-15.470919526927851</c:v>
                </c:pt>
                <c:pt idx="3">
                  <c:v>-8.5348828961414327</c:v>
                </c:pt>
                <c:pt idx="4">
                  <c:v>-3.8818022755270665</c:v>
                </c:pt>
                <c:pt idx="5">
                  <c:v>0</c:v>
                </c:pt>
                <c:pt idx="6">
                  <c:v>3.883601525402852</c:v>
                </c:pt>
                <c:pt idx="7">
                  <c:v>8.5438907047307566</c:v>
                </c:pt>
                <c:pt idx="8">
                  <c:v>15.502323340519295</c:v>
                </c:pt>
                <c:pt idx="9">
                  <c:v>30.058646783726736</c:v>
                </c:pt>
                <c:pt idx="10">
                  <c:v>103.1345065206728</c:v>
                </c:pt>
              </c:numCache>
            </c:numRef>
          </c:xVal>
          <c:yVal>
            <c:numRef>
              <c:f>VectorDial!$P$12:$P$22</c:f>
              <c:numCache>
                <c:formatCode>General</c:formatCode>
                <c:ptCount val="11"/>
                <c:pt idx="0">
                  <c:v>33.013975496673687</c:v>
                </c:pt>
                <c:pt idx="1">
                  <c:v>15.730713108896154</c:v>
                </c:pt>
                <c:pt idx="2">
                  <c:v>12.607676352731927</c:v>
                </c:pt>
                <c:pt idx="3">
                  <c:v>11.423086988732235</c:v>
                </c:pt>
                <c:pt idx="4">
                  <c:v>10.914388001084124</c:v>
                </c:pt>
                <c:pt idx="5">
                  <c:v>10.771576191271258</c:v>
                </c:pt>
                <c:pt idx="6">
                  <c:v>10.925910487818195</c:v>
                </c:pt>
                <c:pt idx="7">
                  <c:v>11.449864876222186</c:v>
                </c:pt>
                <c:pt idx="8">
                  <c:v>12.661601092795038</c:v>
                </c:pt>
                <c:pt idx="9">
                  <c:v>15.857787609143161</c:v>
                </c:pt>
                <c:pt idx="10">
                  <c:v>33.776882511843233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D1-4923-B854-71B8B9C85476}"/>
            </c:ext>
          </c:extLst>
        </c:ser>
        <c:ser>
          <c:idx val="9"/>
          <c:order val="7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VectorDial!$S$12:$S$22</c:f>
              <c:numCache>
                <c:formatCode>General</c:formatCode>
                <c:ptCount val="11"/>
                <c:pt idx="0">
                  <c:v>-1934.3857588856213</c:v>
                </c:pt>
                <c:pt idx="1">
                  <c:v>-44.675396131479182</c:v>
                </c:pt>
                <c:pt idx="2">
                  <c:v>-19.572997056835991</c:v>
                </c:pt>
                <c:pt idx="3">
                  <c:v>-10.204203699121187</c:v>
                </c:pt>
                <c:pt idx="4">
                  <c:v>-4.5333314976736006</c:v>
                </c:pt>
                <c:pt idx="5">
                  <c:v>0</c:v>
                </c:pt>
                <c:pt idx="6">
                  <c:v>4.5349646716767653</c:v>
                </c:pt>
                <c:pt idx="7">
                  <c:v>10.212770295013906</c:v>
                </c:pt>
                <c:pt idx="8">
                  <c:v>19.606411601784043</c:v>
                </c:pt>
                <c:pt idx="9">
                  <c:v>44.86434066451644</c:v>
                </c:pt>
                <c:pt idx="10">
                  <c:v>2350.6437543303523</c:v>
                </c:pt>
              </c:numCache>
            </c:numRef>
          </c:xVal>
          <c:yVal>
            <c:numRef>
              <c:f>VectorDial!$T$12:$T$22</c:f>
              <c:numCache>
                <c:formatCode>General</c:formatCode>
                <c:ptCount val="11"/>
                <c:pt idx="0">
                  <c:v>898.10176158319155</c:v>
                </c:pt>
                <c:pt idx="1">
                  <c:v>30.40283333764765</c:v>
                </c:pt>
                <c:pt idx="2">
                  <c:v>19.663085220910929</c:v>
                </c:pt>
                <c:pt idx="3">
                  <c:v>16.392997472545119</c:v>
                </c:pt>
                <c:pt idx="4">
                  <c:v>15.0929077131289</c:v>
                </c:pt>
                <c:pt idx="5">
                  <c:v>14.733004007037993</c:v>
                </c:pt>
                <c:pt idx="6">
                  <c:v>15.103376883551073</c:v>
                </c:pt>
                <c:pt idx="7">
                  <c:v>16.418490855624107</c:v>
                </c:pt>
                <c:pt idx="8">
                  <c:v>19.720540639499191</c:v>
                </c:pt>
                <c:pt idx="9">
                  <c:v>30.590919293169712</c:v>
                </c:pt>
                <c:pt idx="10">
                  <c:v>1094.8570518269735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D1-4923-B854-71B8B9C85476}"/>
            </c:ext>
          </c:extLst>
        </c:ser>
        <c:ser>
          <c:idx val="10"/>
          <c:order val="8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VectorDial!$U$14:$U$21</c:f>
              <c:numCache>
                <c:formatCode>General</c:formatCode>
                <c:ptCount val="8"/>
                <c:pt idx="0">
                  <c:v>-21.935300205823612</c:v>
                </c:pt>
                <c:pt idx="1">
                  <c:v>-11.08351946478173</c:v>
                </c:pt>
                <c:pt idx="2">
                  <c:v>-4.8638728785256715</c:v>
                </c:pt>
                <c:pt idx="3">
                  <c:v>0</c:v>
                </c:pt>
                <c:pt idx="4">
                  <c:v>4.8639124283761701</c:v>
                </c:pt>
                <c:pt idx="5">
                  <c:v>11.083731986375206</c:v>
                </c:pt>
                <c:pt idx="6">
                  <c:v>21.936181267023652</c:v>
                </c:pt>
                <c:pt idx="7">
                  <c:v>55.833471648772061</c:v>
                </c:pt>
              </c:numCache>
            </c:numRef>
          </c:xVal>
          <c:yVal>
            <c:numRef>
              <c:f>VectorDial!$V$14:$V$21</c:f>
              <c:numCache>
                <c:formatCode>General</c:formatCode>
                <c:ptCount val="8"/>
                <c:pt idx="0">
                  <c:v>23.731024146698953</c:v>
                </c:pt>
                <c:pt idx="1">
                  <c:v>19.013588268884448</c:v>
                </c:pt>
                <c:pt idx="2">
                  <c:v>17.214856716303668</c:v>
                </c:pt>
                <c:pt idx="3">
                  <c:v>16.720287133645396</c:v>
                </c:pt>
                <c:pt idx="4">
                  <c:v>17.215111032762294</c:v>
                </c:pt>
                <c:pt idx="5">
                  <c:v>19.014222446786558</c:v>
                </c:pt>
                <c:pt idx="6">
                  <c:v>23.732543190359976</c:v>
                </c:pt>
                <c:pt idx="7">
                  <c:v>41.528843354660843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D1-4923-B854-71B8B9C85476}"/>
            </c:ext>
          </c:extLst>
        </c:ser>
        <c:ser>
          <c:idx val="8"/>
          <c:order val="9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VectorDial!$Q$12:$Q$22</c:f>
              <c:numCache>
                <c:formatCode>General</c:formatCode>
                <c:ptCount val="11"/>
                <c:pt idx="0">
                  <c:v>-217.43246837957491</c:v>
                </c:pt>
                <c:pt idx="1">
                  <c:v>-36.54274603191395</c:v>
                </c:pt>
                <c:pt idx="2">
                  <c:v>-17.477856040126959</c:v>
                </c:pt>
                <c:pt idx="3">
                  <c:v>-9.3751918900904663</c:v>
                </c:pt>
                <c:pt idx="4">
                  <c:v>-4.2136351604735509</c:v>
                </c:pt>
                <c:pt idx="5">
                  <c:v>0</c:v>
                </c:pt>
                <c:pt idx="6">
                  <c:v>4.2154937067720466</c:v>
                </c:pt>
                <c:pt idx="7">
                  <c:v>9.384719043802491</c:v>
                </c:pt>
                <c:pt idx="8">
                  <c:v>17.51297760427099</c:v>
                </c:pt>
                <c:pt idx="9">
                  <c:v>36.709739383959842</c:v>
                </c:pt>
                <c:pt idx="10">
                  <c:v>223.87418846426939</c:v>
                </c:pt>
              </c:numCache>
            </c:numRef>
          </c:xVal>
          <c:yVal>
            <c:numRef>
              <c:f>VectorDial!$R$12:$R$22</c:f>
              <c:numCache>
                <c:formatCode>General</c:formatCode>
                <c:ptCount val="11"/>
                <c:pt idx="0">
                  <c:v>87.267172248081039</c:v>
                </c:pt>
                <c:pt idx="1">
                  <c:v>22.305385958349063</c:v>
                </c:pt>
                <c:pt idx="2">
                  <c:v>16.0580995903203</c:v>
                </c:pt>
                <c:pt idx="3">
                  <c:v>13.924002783603854</c:v>
                </c:pt>
                <c:pt idx="4">
                  <c:v>13.041891565706738</c:v>
                </c:pt>
                <c:pt idx="5">
                  <c:v>12.795531503679612</c:v>
                </c:pt>
                <c:pt idx="6">
                  <c:v>13.053799831743508</c:v>
                </c:pt>
                <c:pt idx="7">
                  <c:v>13.952340343828395</c:v>
                </c:pt>
                <c:pt idx="8">
                  <c:v>16.118450592325019</c:v>
                </c:pt>
                <c:pt idx="9">
                  <c:v>22.471401762624044</c:v>
                </c:pt>
                <c:pt idx="10">
                  <c:v>90.290581207446181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D1-4923-B854-71B8B9C85476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VectorDial!$U$13:$U$22</c:f>
              <c:numCache>
                <c:formatCode>General</c:formatCode>
                <c:ptCount val="10"/>
                <c:pt idx="0">
                  <c:v>-55.827316194484524</c:v>
                </c:pt>
                <c:pt idx="1">
                  <c:v>-21.935300205823612</c:v>
                </c:pt>
                <c:pt idx="2">
                  <c:v>-11.08351946478173</c:v>
                </c:pt>
                <c:pt idx="3">
                  <c:v>-4.8638728785256715</c:v>
                </c:pt>
                <c:pt idx="4">
                  <c:v>0</c:v>
                </c:pt>
                <c:pt idx="5">
                  <c:v>4.8639124283761701</c:v>
                </c:pt>
                <c:pt idx="6">
                  <c:v>11.083731986375206</c:v>
                </c:pt>
                <c:pt idx="7">
                  <c:v>21.936181267023652</c:v>
                </c:pt>
                <c:pt idx="8">
                  <c:v>55.833471648772061</c:v>
                </c:pt>
              </c:numCache>
            </c:numRef>
          </c:xVal>
          <c:yVal>
            <c:numRef>
              <c:f>VectorDial!$V$13:$V$22</c:f>
              <c:numCache>
                <c:formatCode>General</c:formatCode>
                <c:ptCount val="10"/>
                <c:pt idx="0">
                  <c:v>41.522697355065056</c:v>
                </c:pt>
                <c:pt idx="1">
                  <c:v>23.731024146698953</c:v>
                </c:pt>
                <c:pt idx="2">
                  <c:v>19.013588268884448</c:v>
                </c:pt>
                <c:pt idx="3">
                  <c:v>17.214856716303668</c:v>
                </c:pt>
                <c:pt idx="4">
                  <c:v>16.720287133645396</c:v>
                </c:pt>
                <c:pt idx="5">
                  <c:v>17.215111032762294</c:v>
                </c:pt>
                <c:pt idx="6">
                  <c:v>19.014222446786558</c:v>
                </c:pt>
                <c:pt idx="7">
                  <c:v>23.732543190359976</c:v>
                </c:pt>
                <c:pt idx="8">
                  <c:v>41.528843354660843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4D1-4923-B854-71B8B9C85476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VectorDial!$W$13:$W$21</c:f>
              <c:numCache>
                <c:formatCode>General</c:formatCode>
                <c:ptCount val="9"/>
              </c:numCache>
            </c:numRef>
          </c:xVal>
          <c:yVal>
            <c:numRef>
              <c:f>VectorDial!$X$13:$X$21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4D1-4923-B854-71B8B9C85476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VectorDial!$C$25:$C$33</c:f>
              <c:numCache>
                <c:formatCode>General</c:formatCode>
                <c:ptCount val="9"/>
                <c:pt idx="0">
                  <c:v>-20.819194017301196</c:v>
                </c:pt>
                <c:pt idx="1">
                  <c:v>-35.950562649532628</c:v>
                </c:pt>
                <c:pt idx="2">
                  <c:v>-29.326394939294367</c:v>
                </c:pt>
                <c:pt idx="3">
                  <c:v>-25.375665801304695</c:v>
                </c:pt>
                <c:pt idx="4">
                  <c:v>-22.716953004327749</c:v>
                </c:pt>
                <c:pt idx="5">
                  <c:v>-45.853611827568372</c:v>
                </c:pt>
                <c:pt idx="6">
                  <c:v>-62.048654383988755</c:v>
                </c:pt>
                <c:pt idx="7">
                  <c:v>-101.49617389193506</c:v>
                </c:pt>
                <c:pt idx="8">
                  <c:v>-217.43246837957491</c:v>
                </c:pt>
              </c:numCache>
            </c:numRef>
          </c:xVal>
          <c:yVal>
            <c:numRef>
              <c:f>VectorDial!$D$25:$D$33</c:f>
              <c:numCache>
                <c:formatCode>General</c:formatCode>
                <c:ptCount val="9"/>
                <c:pt idx="0">
                  <c:v>-4.3300526879251171</c:v>
                </c:pt>
                <c:pt idx="1">
                  <c:v>2.6210294003425467</c:v>
                </c:pt>
                <c:pt idx="2">
                  <c:v>-0.42802535585394086</c:v>
                </c:pt>
                <c:pt idx="3">
                  <c:v>-2.2424296050603196</c:v>
                </c:pt>
                <c:pt idx="4">
                  <c:v>-3.4612011589171328</c:v>
                </c:pt>
                <c:pt idx="5">
                  <c:v>7.1868079181067595</c:v>
                </c:pt>
                <c:pt idx="6">
                  <c:v>14.680865795644261</c:v>
                </c:pt>
                <c:pt idx="7">
                  <c:v>33.013975496673687</c:v>
                </c:pt>
                <c:pt idx="8">
                  <c:v>87.267172248081039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4D1-4923-B854-71B8B9C85476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VectorDial!$E$25:$E$36</c:f>
              <c:numCache>
                <c:formatCode>General</c:formatCode>
                <c:ptCount val="12"/>
                <c:pt idx="0">
                  <c:v>-13.129321007912969</c:v>
                </c:pt>
                <c:pt idx="1">
                  <c:v>-18.651140965532637</c:v>
                </c:pt>
                <c:pt idx="2">
                  <c:v>-16.492784321972316</c:v>
                </c:pt>
                <c:pt idx="3">
                  <c:v>-15.024847954713827</c:v>
                </c:pt>
                <c:pt idx="4">
                  <c:v>-13.947110634663472</c:v>
                </c:pt>
                <c:pt idx="5">
                  <c:v>-21.340127623791105</c:v>
                </c:pt>
                <c:pt idx="6">
                  <c:v>-24.704596670542582</c:v>
                </c:pt>
                <c:pt idx="7">
                  <c:v>-29.93066338368498</c:v>
                </c:pt>
                <c:pt idx="8">
                  <c:v>-36.54274603191395</c:v>
                </c:pt>
                <c:pt idx="9">
                  <c:v>-44.675396131479182</c:v>
                </c:pt>
                <c:pt idx="10">
                  <c:v>-55.827316194484524</c:v>
                </c:pt>
              </c:numCache>
            </c:numRef>
          </c:xVal>
          <c:yVal>
            <c:numRef>
              <c:f>VectorDial!$F$25:$F$36</c:f>
              <c:numCache>
                <c:formatCode>General</c:formatCode>
                <c:ptCount val="12"/>
                <c:pt idx="0">
                  <c:v>-0.91228424569649169</c:v>
                </c:pt>
                <c:pt idx="1">
                  <c:v>4.5434437469629989</c:v>
                </c:pt>
                <c:pt idx="2">
                  <c:v>2.4083076706027429</c:v>
                </c:pt>
                <c:pt idx="3">
                  <c:v>0.95795989289818095</c:v>
                </c:pt>
                <c:pt idx="4">
                  <c:v>-0.10572754804286319</c:v>
                </c:pt>
                <c:pt idx="5">
                  <c:v>7.204982091309331</c:v>
                </c:pt>
                <c:pt idx="6">
                  <c:v>10.541382018759929</c:v>
                </c:pt>
                <c:pt idx="7">
                  <c:v>15.730713108896154</c:v>
                </c:pt>
                <c:pt idx="8">
                  <c:v>22.305385958349063</c:v>
                </c:pt>
                <c:pt idx="9">
                  <c:v>30.40283333764765</c:v>
                </c:pt>
                <c:pt idx="10">
                  <c:v>41.522697355065056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4D1-4923-B854-71B8B9C85476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VectorDial!$G$25:$G$36</c:f>
              <c:numCache>
                <c:formatCode>General</c:formatCode>
                <c:ptCount val="12"/>
                <c:pt idx="0">
                  <c:v>-8.5430798215484174</c:v>
                </c:pt>
                <c:pt idx="1">
                  <c:v>-11.178827377327158</c:v>
                </c:pt>
                <c:pt idx="2">
                  <c:v>-10.198954272379689</c:v>
                </c:pt>
                <c:pt idx="3">
                  <c:v>-9.4964238189352663</c:v>
                </c:pt>
                <c:pt idx="4">
                  <c:v>-8.9607722286301819</c:v>
                </c:pt>
                <c:pt idx="5">
                  <c:v>-12.325921144597851</c:v>
                </c:pt>
                <c:pt idx="6">
                  <c:v>-13.641351373591549</c:v>
                </c:pt>
                <c:pt idx="7">
                  <c:v>-15.470919526927851</c:v>
                </c:pt>
                <c:pt idx="8">
                  <c:v>-17.477856040126959</c:v>
                </c:pt>
                <c:pt idx="9">
                  <c:v>-19.572997056835991</c:v>
                </c:pt>
                <c:pt idx="10">
                  <c:v>-21.935300205823612</c:v>
                </c:pt>
              </c:numCache>
            </c:numRef>
          </c:xVal>
          <c:yVal>
            <c:numRef>
              <c:f>VectorDial!$H$25:$H$36</c:f>
              <c:numCache>
                <c:formatCode>General</c:formatCode>
                <c:ptCount val="12"/>
                <c:pt idx="0">
                  <c:v>0.73299107573535505</c:v>
                </c:pt>
                <c:pt idx="1">
                  <c:v>5.2425982424986772</c:v>
                </c:pt>
                <c:pt idx="2">
                  <c:v>3.5643990054406078</c:v>
                </c:pt>
                <c:pt idx="3">
                  <c:v>2.3623760948166113</c:v>
                </c:pt>
                <c:pt idx="4">
                  <c:v>1.4466575584375203</c:v>
                </c:pt>
                <c:pt idx="5">
                  <c:v>7.2079255331706653</c:v>
                </c:pt>
                <c:pt idx="6">
                  <c:v>9.4651514164540362</c:v>
                </c:pt>
                <c:pt idx="7">
                  <c:v>12.607676352731927</c:v>
                </c:pt>
                <c:pt idx="8">
                  <c:v>16.0580995903203</c:v>
                </c:pt>
                <c:pt idx="9">
                  <c:v>19.663085220910929</c:v>
                </c:pt>
                <c:pt idx="10">
                  <c:v>23.731024146698953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4D1-4923-B854-71B8B9C85476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VectorDial!$I$25:$I$36</c:f>
              <c:numCache>
                <c:formatCode>General</c:formatCode>
                <c:ptCount val="12"/>
                <c:pt idx="0">
                  <c:v>-5.2263357160609409</c:v>
                </c:pt>
                <c:pt idx="1">
                  <c:v>-6.5643095682502901</c:v>
                </c:pt>
                <c:pt idx="2">
                  <c:v>-6.0793234390910724</c:v>
                </c:pt>
                <c:pt idx="3">
                  <c:v>-5.7225812720019125</c:v>
                </c:pt>
                <c:pt idx="4">
                  <c:v>-5.4453852470108952</c:v>
                </c:pt>
                <c:pt idx="5">
                  <c:v>-7.1175297384085363</c:v>
                </c:pt>
                <c:pt idx="6">
                  <c:v>-7.7261212944875375</c:v>
                </c:pt>
                <c:pt idx="7">
                  <c:v>-8.5348828961414327</c:v>
                </c:pt>
                <c:pt idx="8">
                  <c:v>-9.3751918900904663</c:v>
                </c:pt>
                <c:pt idx="9">
                  <c:v>-10.204203699121187</c:v>
                </c:pt>
                <c:pt idx="10">
                  <c:v>-11.08351946478173</c:v>
                </c:pt>
              </c:numCache>
            </c:numRef>
          </c:xVal>
          <c:yVal>
            <c:numRef>
              <c:f>VectorDial!$J$25:$J$36</c:f>
              <c:numCache>
                <c:formatCode>General</c:formatCode>
                <c:ptCount val="12"/>
                <c:pt idx="0">
                  <c:v>1.603426136056312</c:v>
                </c:pt>
                <c:pt idx="1">
                  <c:v>5.5683724072795249</c:v>
                </c:pt>
                <c:pt idx="2">
                  <c:v>4.129855599338609</c:v>
                </c:pt>
                <c:pt idx="3">
                  <c:v>3.0726429473707335</c:v>
                </c:pt>
                <c:pt idx="4">
                  <c:v>2.2517818586600775</c:v>
                </c:pt>
                <c:pt idx="5">
                  <c:v>7.2097916834259204</c:v>
                </c:pt>
                <c:pt idx="6">
                  <c:v>9.0180347628556294</c:v>
                </c:pt>
                <c:pt idx="7">
                  <c:v>11.423086988732235</c:v>
                </c:pt>
                <c:pt idx="8">
                  <c:v>13.924002783603854</c:v>
                </c:pt>
                <c:pt idx="9">
                  <c:v>16.392997472545119</c:v>
                </c:pt>
                <c:pt idx="10">
                  <c:v>19.013588268884448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4D1-4923-B854-71B8B9C85476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VectorDial!$K$25:$K$36</c:f>
              <c:numCache>
                <c:formatCode>General</c:formatCode>
                <c:ptCount val="12"/>
                <c:pt idx="0">
                  <c:v>-2.4939422831303939</c:v>
                </c:pt>
                <c:pt idx="1">
                  <c:v>-3.0703785628681506</c:v>
                </c:pt>
                <c:pt idx="2">
                  <c:v>-2.8639626094741022</c:v>
                </c:pt>
                <c:pt idx="3">
                  <c:v>-2.7102575788684229</c:v>
                </c:pt>
                <c:pt idx="4">
                  <c:v>-2.5897338437200634</c:v>
                </c:pt>
                <c:pt idx="5">
                  <c:v>-3.3037089791954659</c:v>
                </c:pt>
                <c:pt idx="6">
                  <c:v>-3.5548244100000437</c:v>
                </c:pt>
                <c:pt idx="7">
                  <c:v>-3.8818022755270665</c:v>
                </c:pt>
                <c:pt idx="8">
                  <c:v>-4.2136351604735509</c:v>
                </c:pt>
                <c:pt idx="9">
                  <c:v>-4.5333314976736006</c:v>
                </c:pt>
                <c:pt idx="10">
                  <c:v>-4.8638728785256715</c:v>
                </c:pt>
              </c:numCache>
            </c:numRef>
          </c:xVal>
          <c:yVal>
            <c:numRef>
              <c:f>VectorDial!$L$25:$L$36</c:f>
              <c:numCache>
                <c:formatCode>General</c:formatCode>
                <c:ptCount val="12"/>
                <c:pt idx="0">
                  <c:v>2.0398278947164101</c:v>
                </c:pt>
                <c:pt idx="1">
                  <c:v>5.7205679771256879</c:v>
                </c:pt>
                <c:pt idx="2">
                  <c:v>4.4013942927533822</c:v>
                </c:pt>
                <c:pt idx="3">
                  <c:v>3.4198903901958495</c:v>
                </c:pt>
                <c:pt idx="4">
                  <c:v>2.6508099791233253</c:v>
                </c:pt>
                <c:pt idx="5">
                  <c:v>7.2121799592582638</c:v>
                </c:pt>
                <c:pt idx="6">
                  <c:v>8.8196292987944602</c:v>
                </c:pt>
                <c:pt idx="7">
                  <c:v>10.914388001084124</c:v>
                </c:pt>
                <c:pt idx="8">
                  <c:v>13.041891565706738</c:v>
                </c:pt>
                <c:pt idx="9">
                  <c:v>15.0929077131289</c:v>
                </c:pt>
                <c:pt idx="10">
                  <c:v>17.214856716303668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4D1-4923-B854-71B8B9C85476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VectorDial!$M$25:$M$36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VectorDial!$N$25:$N$36</c:f>
              <c:numCache>
                <c:formatCode>General</c:formatCode>
                <c:ptCount val="12"/>
                <c:pt idx="0">
                  <c:v>2.1734815402251995</c:v>
                </c:pt>
                <c:pt idx="1">
                  <c:v>5.7635387747261415</c:v>
                </c:pt>
                <c:pt idx="2">
                  <c:v>4.4812004361056221</c:v>
                </c:pt>
                <c:pt idx="3">
                  <c:v>3.5236631355274488</c:v>
                </c:pt>
                <c:pt idx="4">
                  <c:v>2.7714377036502178</c:v>
                </c:pt>
                <c:pt idx="5">
                  <c:v>7.2157055891502733</c:v>
                </c:pt>
                <c:pt idx="6">
                  <c:v>8.7648894899754879</c:v>
                </c:pt>
                <c:pt idx="7">
                  <c:v>10.771576191271258</c:v>
                </c:pt>
                <c:pt idx="8">
                  <c:v>12.795531503679612</c:v>
                </c:pt>
                <c:pt idx="9">
                  <c:v>14.733004007037993</c:v>
                </c:pt>
                <c:pt idx="10">
                  <c:v>16.720287133645396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4D1-4923-B854-71B8B9C85476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VectorDial!$O$25:$O$36</c:f>
              <c:numCache>
                <c:formatCode>General</c:formatCode>
                <c:ptCount val="12"/>
                <c:pt idx="0">
                  <c:v>2.4939417787347486</c:v>
                </c:pt>
                <c:pt idx="1">
                  <c:v>3.0691886652165437</c:v>
                </c:pt>
                <c:pt idx="2">
                  <c:v>2.8630029786949858</c:v>
                </c:pt>
                <c:pt idx="3">
                  <c:v>2.7095126421937663</c:v>
                </c:pt>
                <c:pt idx="4">
                  <c:v>2.589228396249788</c:v>
                </c:pt>
                <c:pt idx="5">
                  <c:v>3.305101760351334</c:v>
                </c:pt>
                <c:pt idx="6">
                  <c:v>3.5564228273491425</c:v>
                </c:pt>
                <c:pt idx="7">
                  <c:v>3.883601525402852</c:v>
                </c:pt>
                <c:pt idx="8">
                  <c:v>4.2154937067720466</c:v>
                </c:pt>
                <c:pt idx="9">
                  <c:v>4.5349646716767653</c:v>
                </c:pt>
                <c:pt idx="10">
                  <c:v>4.8639124283761701</c:v>
                </c:pt>
              </c:numCache>
            </c:numRef>
          </c:xVal>
          <c:yVal>
            <c:numRef>
              <c:f>VectorDial!$P$25:$P$36</c:f>
              <c:numCache>
                <c:formatCode>General</c:formatCode>
                <c:ptCount val="12"/>
                <c:pt idx="0">
                  <c:v>2.0398244473160703</c:v>
                </c:pt>
                <c:pt idx="1">
                  <c:v>5.7129584255231833</c:v>
                </c:pt>
                <c:pt idx="2">
                  <c:v>4.3952600363745269</c:v>
                </c:pt>
                <c:pt idx="3">
                  <c:v>3.4151303233532211</c:v>
                </c:pt>
                <c:pt idx="4">
                  <c:v>2.6475811215516094</c:v>
                </c:pt>
                <c:pt idx="5">
                  <c:v>7.2210906574198939</c:v>
                </c:pt>
                <c:pt idx="6">
                  <c:v>8.8298601414899274</c:v>
                </c:pt>
                <c:pt idx="7">
                  <c:v>10.925910487818195</c:v>
                </c:pt>
                <c:pt idx="8">
                  <c:v>13.053799831743508</c:v>
                </c:pt>
                <c:pt idx="9">
                  <c:v>15.103376883551073</c:v>
                </c:pt>
                <c:pt idx="10">
                  <c:v>17.215111032762294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4D1-4923-B854-71B8B9C85476}"/>
            </c:ext>
          </c:extLst>
        </c:ser>
        <c:ser>
          <c:idx val="21"/>
          <c:order val="19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VectorDial!$Q$25:$Q$35</c:f>
              <c:numCache>
                <c:formatCode>General</c:formatCode>
                <c:ptCount val="11"/>
                <c:pt idx="0">
                  <c:v>5.2263334417103264</c:v>
                </c:pt>
                <c:pt idx="1">
                  <c:v>6.5586817140869895</c:v>
                </c:pt>
                <c:pt idx="2">
                  <c:v>6.074848733487217</c:v>
                </c:pt>
                <c:pt idx="3">
                  <c:v>5.7191441077098197</c:v>
                </c:pt>
                <c:pt idx="4">
                  <c:v>5.4430721846942349</c:v>
                </c:pt>
                <c:pt idx="5">
                  <c:v>7.1242252538837452</c:v>
                </c:pt>
                <c:pt idx="6">
                  <c:v>7.7339413105816366</c:v>
                </c:pt>
                <c:pt idx="7">
                  <c:v>8.5438907047307566</c:v>
                </c:pt>
                <c:pt idx="8">
                  <c:v>9.384719043802491</c:v>
                </c:pt>
                <c:pt idx="9">
                  <c:v>10.212770295013906</c:v>
                </c:pt>
                <c:pt idx="10">
                  <c:v>11.083731986375206</c:v>
                </c:pt>
              </c:numCache>
            </c:numRef>
          </c:xVal>
          <c:yVal>
            <c:numRef>
              <c:f>VectorDial!$R$25:$R$35</c:f>
              <c:numCache>
                <c:formatCode>General</c:formatCode>
                <c:ptCount val="11"/>
                <c:pt idx="0">
                  <c:v>1.6034188324672496</c:v>
                </c:pt>
                <c:pt idx="1">
                  <c:v>5.5516682088615044</c:v>
                </c:pt>
                <c:pt idx="2">
                  <c:v>4.116580505297712</c:v>
                </c:pt>
                <c:pt idx="3">
                  <c:v>3.0624499233516662</c:v>
                </c:pt>
                <c:pt idx="4">
                  <c:v>2.2449244761725282</c:v>
                </c:pt>
                <c:pt idx="5">
                  <c:v>7.2296738706849695</c:v>
                </c:pt>
                <c:pt idx="6">
                  <c:v>9.041267790754123</c:v>
                </c:pt>
                <c:pt idx="7">
                  <c:v>11.449864876222186</c:v>
                </c:pt>
                <c:pt idx="8">
                  <c:v>13.952340343828395</c:v>
                </c:pt>
                <c:pt idx="9">
                  <c:v>16.418490855624107</c:v>
                </c:pt>
                <c:pt idx="10">
                  <c:v>19.014222446786558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4D1-4923-B854-71B8B9C85476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VectorDial!$S$25:$S$36</c:f>
              <c:numCache>
                <c:formatCode>General</c:formatCode>
                <c:ptCount val="12"/>
                <c:pt idx="0">
                  <c:v>8.5430733950280811</c:v>
                </c:pt>
                <c:pt idx="1">
                  <c:v>11.161530207876437</c:v>
                </c:pt>
                <c:pt idx="2">
                  <c:v>10.185604862159073</c:v>
                </c:pt>
                <c:pt idx="3">
                  <c:v>9.4863893136626078</c:v>
                </c:pt>
                <c:pt idx="4">
                  <c:v>8.9541310344050533</c:v>
                </c:pt>
                <c:pt idx="5">
                  <c:v>12.347231016799176</c:v>
                </c:pt>
                <c:pt idx="6">
                  <c:v>13.667221185532764</c:v>
                </c:pt>
                <c:pt idx="7">
                  <c:v>15.502323340519295</c:v>
                </c:pt>
                <c:pt idx="8">
                  <c:v>17.51297760427099</c:v>
                </c:pt>
                <c:pt idx="9">
                  <c:v>19.606411601784043</c:v>
                </c:pt>
                <c:pt idx="10">
                  <c:v>21.936181267023652</c:v>
                </c:pt>
              </c:numCache>
            </c:numRef>
          </c:xVal>
          <c:yVal>
            <c:numRef>
              <c:f>VectorDial!$T$25:$T$36</c:f>
              <c:numCache>
                <c:formatCode>General</c:formatCode>
                <c:ptCount val="12"/>
                <c:pt idx="0">
                  <c:v>0.73297902479647414</c:v>
                </c:pt>
                <c:pt idx="1">
                  <c:v>5.2129516548013903</c:v>
                </c:pt>
                <c:pt idx="2">
                  <c:v>3.5415314050294207</c:v>
                </c:pt>
                <c:pt idx="3">
                  <c:v>2.3451945341865681</c:v>
                </c:pt>
                <c:pt idx="4">
                  <c:v>1.435290075035613</c:v>
                </c:pt>
                <c:pt idx="5">
                  <c:v>7.2444689377630738</c:v>
                </c:pt>
                <c:pt idx="6">
                  <c:v>9.5095411161443817</c:v>
                </c:pt>
                <c:pt idx="7">
                  <c:v>12.661601092795038</c:v>
                </c:pt>
                <c:pt idx="8">
                  <c:v>16.118450592325019</c:v>
                </c:pt>
                <c:pt idx="9">
                  <c:v>19.720540639499191</c:v>
                </c:pt>
                <c:pt idx="10">
                  <c:v>23.732543190359976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4D1-4923-B854-71B8B9C85476}"/>
            </c:ext>
          </c:extLst>
        </c:ser>
        <c:ser>
          <c:idx val="22"/>
          <c:order val="21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VectorDial!$U$25:$U$36</c:f>
              <c:numCache>
                <c:formatCode>General</c:formatCode>
                <c:ptCount val="12"/>
                <c:pt idx="0">
                  <c:v>13.129304535665712</c:v>
                </c:pt>
                <c:pt idx="1">
                  <c:v>18.598810781327956</c:v>
                </c:pt>
                <c:pt idx="2">
                  <c:v>16.454827459227378</c:v>
                </c:pt>
                <c:pt idx="3">
                  <c:v>14.997527677027529</c:v>
                </c:pt>
                <c:pt idx="4">
                  <c:v>13.929606581364771</c:v>
                </c:pt>
                <c:pt idx="5">
                  <c:v>21.409723137226113</c:v>
                </c:pt>
                <c:pt idx="6">
                  <c:v>24.797027328127523</c:v>
                </c:pt>
                <c:pt idx="7">
                  <c:v>30.058646783726736</c:v>
                </c:pt>
                <c:pt idx="8">
                  <c:v>36.709739383959842</c:v>
                </c:pt>
                <c:pt idx="9">
                  <c:v>44.86434066451644</c:v>
                </c:pt>
                <c:pt idx="10">
                  <c:v>55.833471648772061</c:v>
                </c:pt>
              </c:numCache>
            </c:numRef>
          </c:xVal>
          <c:yVal>
            <c:numRef>
              <c:f>VectorDial!$V$25:$V$36</c:f>
              <c:numCache>
                <c:formatCode>General</c:formatCode>
                <c:ptCount val="12"/>
                <c:pt idx="0">
                  <c:v>-0.91230245459921566</c:v>
                </c:pt>
                <c:pt idx="1">
                  <c:v>4.4916297712251536</c:v>
                </c:pt>
                <c:pt idx="2">
                  <c:v>2.370752978739596</c:v>
                </c:pt>
                <c:pt idx="3">
                  <c:v>0.93094438513277755</c:v>
                </c:pt>
                <c:pt idx="4">
                  <c:v>-0.12302888683469146</c:v>
                </c:pt>
                <c:pt idx="5">
                  <c:v>7.2739411700031802</c:v>
                </c:pt>
                <c:pt idx="6">
                  <c:v>10.633048747051907</c:v>
                </c:pt>
                <c:pt idx="7">
                  <c:v>15.857787609143161</c:v>
                </c:pt>
                <c:pt idx="8">
                  <c:v>22.471401762624044</c:v>
                </c:pt>
                <c:pt idx="9">
                  <c:v>30.590919293169712</c:v>
                </c:pt>
                <c:pt idx="10">
                  <c:v>41.528843354660843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4D1-4923-B854-71B8B9C85476}"/>
            </c:ext>
          </c:extLst>
        </c:ser>
        <c:ser>
          <c:idx val="23"/>
          <c:order val="22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VectorDial!$W$25:$W$33</c:f>
              <c:numCache>
                <c:formatCode>General</c:formatCode>
                <c:ptCount val="9"/>
              </c:numCache>
            </c:numRef>
          </c:xVal>
          <c:yVal>
            <c:numRef>
              <c:f>VectorDial!$X$25:$X$33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4D1-4923-B854-71B8B9C85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01224"/>
        <c:axId val="387705160"/>
      </c:scatterChart>
      <c:valAx>
        <c:axId val="387701224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05160"/>
        <c:crosses val="autoZero"/>
        <c:crossBetween val="midCat"/>
        <c:majorUnit val="5"/>
      </c:valAx>
      <c:valAx>
        <c:axId val="387705160"/>
        <c:scaling>
          <c:orientation val="minMax"/>
          <c:max val="4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0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V_Polar!$A$7:$A$17</c:f>
              <c:numCache>
                <c:formatCode>General</c:formatCode>
                <c:ptCount val="11"/>
                <c:pt idx="0">
                  <c:v>-37.219684009124073</c:v>
                </c:pt>
                <c:pt idx="1">
                  <c:v>-17.302407416570617</c:v>
                </c:pt>
                <c:pt idx="2">
                  <c:v>-9.9938926945655933</c:v>
                </c:pt>
                <c:pt idx="3">
                  <c:v>-5.7709577099587177</c:v>
                </c:pt>
                <c:pt idx="4">
                  <c:v>-2.6785053981759019</c:v>
                </c:pt>
                <c:pt idx="5">
                  <c:v>-5.3096219903703242E-16</c:v>
                </c:pt>
                <c:pt idx="6">
                  <c:v>2.6785054352046682</c:v>
                </c:pt>
                <c:pt idx="7">
                  <c:v>5.7709579146492276</c:v>
                </c:pt>
                <c:pt idx="8">
                  <c:v>9.9938933986819904</c:v>
                </c:pt>
                <c:pt idx="9">
                  <c:v>17.302409938892019</c:v>
                </c:pt>
                <c:pt idx="10">
                  <c:v>37.219698776302934</c:v>
                </c:pt>
              </c:numCache>
            </c:numRef>
          </c:xVal>
          <c:yVal>
            <c:numRef>
              <c:f>V_Polar!$B$7:$B$17</c:f>
              <c:numCache>
                <c:formatCode>General</c:formatCode>
                <c:ptCount val="11"/>
                <c:pt idx="0">
                  <c:v>-16.719221053001935</c:v>
                </c:pt>
                <c:pt idx="1">
                  <c:v>-8.6670003138463976</c:v>
                </c:pt>
                <c:pt idx="2">
                  <c:v>-6.1305692194908348</c:v>
                </c:pt>
                <c:pt idx="3">
                  <c:v>-5.0062045720223844</c:v>
                </c:pt>
                <c:pt idx="4">
                  <c:v>-4.4886654222853739</c:v>
                </c:pt>
                <c:pt idx="5">
                  <c:v>-4.3357785739044576</c:v>
                </c:pt>
                <c:pt idx="6">
                  <c:v>-4.4886693988135962</c:v>
                </c:pt>
                <c:pt idx="7">
                  <c:v>-5.0062134771000357</c:v>
                </c:pt>
                <c:pt idx="8">
                  <c:v>-6.1305857110484689</c:v>
                </c:pt>
                <c:pt idx="9">
                  <c:v>-8.6670319375636673</c:v>
                </c:pt>
                <c:pt idx="10">
                  <c:v>-16.719301189180925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4-4212-9C4E-341289874A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V_Polar!$C$7:$C$17</c:f>
              <c:numCache>
                <c:formatCode>General</c:formatCode>
                <c:ptCount val="11"/>
                <c:pt idx="0">
                  <c:v>-37.253981468668208</c:v>
                </c:pt>
                <c:pt idx="1">
                  <c:v>-17.314442915720612</c:v>
                </c:pt>
                <c:pt idx="2">
                  <c:v>-9.9989265345010061</c:v>
                </c:pt>
                <c:pt idx="3">
                  <c:v>-5.7732864463497275</c:v>
                </c:pt>
                <c:pt idx="4">
                  <c:v>-2.6794560534451537</c:v>
                </c:pt>
                <c:pt idx="5">
                  <c:v>1.2321930003310742E-16</c:v>
                </c:pt>
                <c:pt idx="6">
                  <c:v>2.6794560491854176</c:v>
                </c:pt>
                <c:pt idx="7">
                  <c:v>5.7732865379782332</c:v>
                </c:pt>
                <c:pt idx="8">
                  <c:v>9.9989285031676367</c:v>
                </c:pt>
                <c:pt idx="9">
                  <c:v>17.314465950293428</c:v>
                </c:pt>
                <c:pt idx="10">
                  <c:v>37.254478832094996</c:v>
                </c:pt>
              </c:numCache>
            </c:numRef>
          </c:xVal>
          <c:yVal>
            <c:numRef>
              <c:f>V_Polar!$D$7:$D$17</c:f>
              <c:numCache>
                <c:formatCode>General</c:formatCode>
                <c:ptCount val="11"/>
                <c:pt idx="0">
                  <c:v>-3.8418209656832012</c:v>
                </c:pt>
                <c:pt idx="1">
                  <c:v>-1.9924794479687231</c:v>
                </c:pt>
                <c:pt idx="2">
                  <c:v>-1.4119377744855828</c:v>
                </c:pt>
                <c:pt idx="3">
                  <c:v>-1.1556618436259176</c:v>
                </c:pt>
                <c:pt idx="4">
                  <c:v>-1.0388489515742942</c:v>
                </c:pt>
                <c:pt idx="5">
                  <c:v>-1.0061951716035251</c:v>
                </c:pt>
                <c:pt idx="6">
                  <c:v>-1.0446463991722119</c:v>
                </c:pt>
                <c:pt idx="7">
                  <c:v>-1.1685938601037522</c:v>
                </c:pt>
                <c:pt idx="8">
                  <c:v>-1.4356931316899979</c:v>
                </c:pt>
                <c:pt idx="9">
                  <c:v>-2.037258403596522</c:v>
                </c:pt>
                <c:pt idx="10">
                  <c:v>-3.9497756213343655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4-4212-9C4E-341289874A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V_Polar!$E$7:$E$17</c:f>
              <c:numCache>
                <c:formatCode>General</c:formatCode>
                <c:ptCount val="11"/>
                <c:pt idx="0">
                  <c:v>-37.259966275114685</c:v>
                </c:pt>
                <c:pt idx="1">
                  <c:v>-17.313467500999142</c:v>
                </c:pt>
                <c:pt idx="2">
                  <c:v>-9.998327707770013</c:v>
                </c:pt>
                <c:pt idx="3">
                  <c:v>-5.7729799200144241</c:v>
                </c:pt>
                <c:pt idx="4">
                  <c:v>-2.6793260282916251</c:v>
                </c:pt>
                <c:pt idx="5">
                  <c:v>2.5059146718654131E-16</c:v>
                </c:pt>
                <c:pt idx="6">
                  <c:v>2.6793255847162607</c:v>
                </c:pt>
                <c:pt idx="7">
                  <c:v>5.7729777205254011</c:v>
                </c:pt>
                <c:pt idx="8">
                  <c:v>9.9983213128016466</c:v>
                </c:pt>
                <c:pt idx="9">
                  <c:v>17.313454635295844</c:v>
                </c:pt>
                <c:pt idx="10">
                  <c:v>37.260089246336328</c:v>
                </c:pt>
              </c:numCache>
            </c:numRef>
          </c:xVal>
          <c:yVal>
            <c:numRef>
              <c:f>V_Polar!$F$7:$F$17</c:f>
              <c:numCache>
                <c:formatCode>General</c:formatCode>
                <c:ptCount val="11"/>
                <c:pt idx="0">
                  <c:v>-7.8561780823922218</c:v>
                </c:pt>
                <c:pt idx="1">
                  <c:v>-4.0732239388225082</c:v>
                </c:pt>
                <c:pt idx="2">
                  <c:v>-2.883478783431209</c:v>
                </c:pt>
                <c:pt idx="3">
                  <c:v>-2.3570788902232289</c:v>
                </c:pt>
                <c:pt idx="4">
                  <c:v>-2.1158469886191487</c:v>
                </c:pt>
                <c:pt idx="5">
                  <c:v>-2.0463021966558266</c:v>
                </c:pt>
                <c:pt idx="6">
                  <c:v>-2.1212176013106467</c:v>
                </c:pt>
                <c:pt idx="7">
                  <c:v>-2.3690586143354753</c:v>
                </c:pt>
                <c:pt idx="8">
                  <c:v>-2.9054843514110096</c:v>
                </c:pt>
                <c:pt idx="9">
                  <c:v>-4.1147045054169169</c:v>
                </c:pt>
                <c:pt idx="10">
                  <c:v>-7.9562185661156777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4-4212-9C4E-341289874A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V_Polar!$G$7:$G$17</c:f>
              <c:numCache>
                <c:formatCode>General</c:formatCode>
                <c:ptCount val="11"/>
                <c:pt idx="0">
                  <c:v>-37.251977535075774</c:v>
                </c:pt>
                <c:pt idx="1">
                  <c:v>-17.310553616454929</c:v>
                </c:pt>
                <c:pt idx="2">
                  <c:v>-9.9970976545412338</c:v>
                </c:pt>
                <c:pt idx="3">
                  <c:v>-5.7724087140495159</c:v>
                </c:pt>
                <c:pt idx="4">
                  <c:v>-2.6790923806964972</c:v>
                </c:pt>
                <c:pt idx="5">
                  <c:v>3.5791805182170807E-16</c:v>
                </c:pt>
                <c:pt idx="6">
                  <c:v>2.6790916746525286</c:v>
                </c:pt>
                <c:pt idx="7">
                  <c:v>5.7724052166522766</c:v>
                </c:pt>
                <c:pt idx="8">
                  <c:v>9.997086525515023</c:v>
                </c:pt>
                <c:pt idx="9">
                  <c:v>17.310520314047366</c:v>
                </c:pt>
                <c:pt idx="10">
                  <c:v>37.251899389400478</c:v>
                </c:pt>
              </c:numCache>
            </c:numRef>
          </c:xVal>
          <c:yVal>
            <c:numRef>
              <c:f>V_Polar!$H$7:$H$17</c:f>
              <c:numCache>
                <c:formatCode>General</c:formatCode>
                <c:ptCount val="11"/>
                <c:pt idx="0">
                  <c:v>-11.240328975718377</c:v>
                </c:pt>
                <c:pt idx="1">
                  <c:v>-5.8273592934847374</c:v>
                </c:pt>
                <c:pt idx="2">
                  <c:v>-4.1239831970981307</c:v>
                </c:pt>
                <c:pt idx="3">
                  <c:v>-3.3697589376986206</c:v>
                </c:pt>
                <c:pt idx="4">
                  <c:v>-3.0235157142283065</c:v>
                </c:pt>
                <c:pt idx="5">
                  <c:v>-2.9227192126231789</c:v>
                </c:pt>
                <c:pt idx="6">
                  <c:v>-3.0281682162024133</c:v>
                </c:pt>
                <c:pt idx="7">
                  <c:v>-3.3801364659103954</c:v>
                </c:pt>
                <c:pt idx="8">
                  <c:v>-4.1430443410841482</c:v>
                </c:pt>
                <c:pt idx="9">
                  <c:v>-5.8632849287315647</c:v>
                </c:pt>
                <c:pt idx="10">
                  <c:v>-11.326950233433793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5B4-4212-9C4E-341289874A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V_Polar!$K$7:$K$17</c:f>
              <c:numCache>
                <c:formatCode>General</c:formatCode>
                <c:ptCount val="11"/>
                <c:pt idx="0">
                  <c:v>-37.235058886464209</c:v>
                </c:pt>
                <c:pt idx="1">
                  <c:v>-17.314167988570539</c:v>
                </c:pt>
                <c:pt idx="2">
                  <c:v>-9.9991590643103017</c:v>
                </c:pt>
                <c:pt idx="3">
                  <c:v>-5.7734447681445005</c:v>
                </c:pt>
                <c:pt idx="4">
                  <c:v>-2.6795286942345906</c:v>
                </c:pt>
                <c:pt idx="5">
                  <c:v>-5.2146066036806818E-9</c:v>
                </c:pt>
                <c:pt idx="6">
                  <c:v>2.6795282017295121</c:v>
                </c:pt>
                <c:pt idx="7">
                  <c:v>5.7734420528130173</c:v>
                </c:pt>
                <c:pt idx="8">
                  <c:v>9.9991473873677652</c:v>
                </c:pt>
                <c:pt idx="9">
                  <c:v>17.314101343391954</c:v>
                </c:pt>
                <c:pt idx="10">
                  <c:v>37.233994590511159</c:v>
                </c:pt>
              </c:numCache>
            </c:numRef>
          </c:xVal>
          <c:yVal>
            <c:numRef>
              <c:f>V_Polar!$L$7:$L$17</c:f>
              <c:numCache>
                <c:formatCode>General</c:formatCode>
                <c:ptCount val="11"/>
                <c:pt idx="0">
                  <c:v>2.0537194970036878E-4</c:v>
                </c:pt>
                <c:pt idx="1">
                  <c:v>1.2179331094567052E-2</c:v>
                </c:pt>
                <c:pt idx="2">
                  <c:v>1.4116663615046862E-2</c:v>
                </c:pt>
                <c:pt idx="3">
                  <c:v>1.5344658126523619E-2</c:v>
                </c:pt>
                <c:pt idx="4">
                  <c:v>1.6915913722453567E-2</c:v>
                </c:pt>
                <c:pt idx="5">
                  <c:v>1.9234789632971563E-2</c:v>
                </c:pt>
                <c:pt idx="6">
                  <c:v>2.2775161419589993E-2</c:v>
                </c:pt>
                <c:pt idx="7">
                  <c:v>2.8414401301503196E-2</c:v>
                </c:pt>
                <c:pt idx="8">
                  <c:v>3.8124139119151232E-2</c:v>
                </c:pt>
                <c:pt idx="9">
                  <c:v>5.7425828878674902E-2</c:v>
                </c:pt>
                <c:pt idx="10">
                  <c:v>0.1091236075012743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5B4-4212-9C4E-341289874A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V_Polar!$M$7:$M$17</c:f>
              <c:numCache>
                <c:formatCode>General</c:formatCode>
                <c:ptCount val="11"/>
                <c:pt idx="0">
                  <c:v>-37.18152547130255</c:v>
                </c:pt>
                <c:pt idx="1">
                  <c:v>-17.309466397806187</c:v>
                </c:pt>
                <c:pt idx="2">
                  <c:v>-9.9978866585375368</c:v>
                </c:pt>
                <c:pt idx="3">
                  <c:v>-5.7729544448827035</c:v>
                </c:pt>
                <c:pt idx="4">
                  <c:v>-2.6793436330258094</c:v>
                </c:pt>
                <c:pt idx="5">
                  <c:v>0</c:v>
                </c:pt>
                <c:pt idx="6">
                  <c:v>2.6793426572635943</c:v>
                </c:pt>
                <c:pt idx="7">
                  <c:v>5.77294908741474</c:v>
                </c:pt>
                <c:pt idx="8">
                  <c:v>9.997864890585582</c:v>
                </c:pt>
                <c:pt idx="9">
                  <c:v>17.309350192205713</c:v>
                </c:pt>
                <c:pt idx="10">
                  <c:v>37.179535900219058</c:v>
                </c:pt>
              </c:numCache>
            </c:numRef>
          </c:xVal>
          <c:yVal>
            <c:numRef>
              <c:f>V_Polar!$N$7:$N$17</c:f>
              <c:numCache>
                <c:formatCode>General</c:formatCode>
                <c:ptCount val="11"/>
                <c:pt idx="0">
                  <c:v>3.6468242339035761</c:v>
                </c:pt>
                <c:pt idx="1">
                  <c:v>1.908835594891505</c:v>
                </c:pt>
                <c:pt idx="2">
                  <c:v>1.3561704668624208</c:v>
                </c:pt>
                <c:pt idx="3">
                  <c:v>1.1113158664610117</c:v>
                </c:pt>
                <c:pt idx="4">
                  <c:v>0.99957796779461783</c:v>
                </c:pt>
                <c:pt idx="5">
                  <c:v>0.96840553151428233</c:v>
                </c:pt>
                <c:pt idx="6">
                  <c:v>1.0053874381434993</c:v>
                </c:pt>
                <c:pt idx="7">
                  <c:v>1.1242739053119057</c:v>
                </c:pt>
                <c:pt idx="8">
                  <c:v>1.3799695409432933</c:v>
                </c:pt>
                <c:pt idx="9">
                  <c:v>1.9536686967010162</c:v>
                </c:pt>
                <c:pt idx="10">
                  <c:v>3.7543242638483281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5B4-4212-9C4E-341289874A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V_Polar!$O$7:$O$17</c:f>
              <c:numCache>
                <c:formatCode>General</c:formatCode>
                <c:ptCount val="11"/>
                <c:pt idx="0">
                  <c:v>-37.060101364753415</c:v>
                </c:pt>
                <c:pt idx="1">
                  <c:v>-17.300255626669141</c:v>
                </c:pt>
                <c:pt idx="2">
                  <c:v>-9.9953241764454912</c:v>
                </c:pt>
                <c:pt idx="3">
                  <c:v>-5.7719406541362108</c:v>
                </c:pt>
                <c:pt idx="4">
                  <c:v>-2.6789555836437535</c:v>
                </c:pt>
                <c:pt idx="5">
                  <c:v>0</c:v>
                </c:pt>
                <c:pt idx="6">
                  <c:v>2.6789540898955679</c:v>
                </c:pt>
                <c:pt idx="7">
                  <c:v>5.7719325057170456</c:v>
                </c:pt>
                <c:pt idx="8">
                  <c:v>9.9952912959668225</c:v>
                </c:pt>
                <c:pt idx="9">
                  <c:v>17.300075722485655</c:v>
                </c:pt>
                <c:pt idx="10">
                  <c:v>37.055914243506137</c:v>
                </c:pt>
              </c:numCache>
            </c:numRef>
          </c:xVal>
          <c:yVal>
            <c:numRef>
              <c:f>V_Polar!$P$7:$P$17</c:f>
              <c:numCache>
                <c:formatCode>General</c:formatCode>
                <c:ptCount val="11"/>
                <c:pt idx="0">
                  <c:v>7.6581497431318439</c:v>
                </c:pt>
                <c:pt idx="1">
                  <c:v>4.0104520980333476</c:v>
                </c:pt>
                <c:pt idx="2">
                  <c:v>2.8441957244109868</c:v>
                </c:pt>
                <c:pt idx="3">
                  <c:v>2.3266212183683823</c:v>
                </c:pt>
                <c:pt idx="4">
                  <c:v>2.0892012369436808</c:v>
                </c:pt>
                <c:pt idx="5">
                  <c:v>2.0207890484154913</c:v>
                </c:pt>
                <c:pt idx="6">
                  <c:v>2.0946866448445749</c:v>
                </c:pt>
                <c:pt idx="7">
                  <c:v>2.3388551532014028</c:v>
                </c:pt>
                <c:pt idx="8">
                  <c:v>2.8666587101675289</c:v>
                </c:pt>
                <c:pt idx="9">
                  <c:v>4.0527260808903467</c:v>
                </c:pt>
                <c:pt idx="10">
                  <c:v>7.7582377585630278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5B4-4212-9C4E-341289874A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V_Polar!$Q$7:$Q$17</c:f>
              <c:numCache>
                <c:formatCode>General</c:formatCode>
                <c:ptCount val="11"/>
                <c:pt idx="0">
                  <c:v>-36.822929330821282</c:v>
                </c:pt>
                <c:pt idx="1">
                  <c:v>-17.288055516637517</c:v>
                </c:pt>
                <c:pt idx="2">
                  <c:v>-9.9920495282654436</c:v>
                </c:pt>
                <c:pt idx="3">
                  <c:v>-5.7706479919160012</c:v>
                </c:pt>
                <c:pt idx="4">
                  <c:v>-2.6784603189485532</c:v>
                </c:pt>
                <c:pt idx="5">
                  <c:v>0</c:v>
                </c:pt>
                <c:pt idx="6">
                  <c:v>2.6784585162163315</c:v>
                </c:pt>
                <c:pt idx="7">
                  <c:v>5.7706381908258981</c:v>
                </c:pt>
                <c:pt idx="8">
                  <c:v>9.9920094689659198</c:v>
                </c:pt>
                <c:pt idx="9">
                  <c:v>17.287820026694163</c:v>
                </c:pt>
                <c:pt idx="10">
                  <c:v>36.81382807910299</c:v>
                </c:pt>
              </c:numCache>
            </c:numRef>
          </c:xVal>
          <c:yVal>
            <c:numRef>
              <c:f>V_Polar!$R$7:$R$17</c:f>
              <c:numCache>
                <c:formatCode>General</c:formatCode>
                <c:ptCount val="11"/>
                <c:pt idx="0">
                  <c:v>11.013023661615359</c:v>
                </c:pt>
                <c:pt idx="1">
                  <c:v>5.8083097135387272</c:v>
                </c:pt>
                <c:pt idx="2">
                  <c:v>4.1186361740491826</c:v>
                </c:pt>
                <c:pt idx="3">
                  <c:v>3.3676620830861603</c:v>
                </c:pt>
                <c:pt idx="4">
                  <c:v>3.0225214827337545</c:v>
                </c:pt>
                <c:pt idx="5">
                  <c:v>2.9220566273670174</c:v>
                </c:pt>
                <c:pt idx="6">
                  <c:v>3.0273311307543214</c:v>
                </c:pt>
                <c:pt idx="7">
                  <c:v>3.3783873829691857</c:v>
                </c:pt>
                <c:pt idx="8">
                  <c:v>4.1383215516562846</c:v>
                </c:pt>
                <c:pt idx="9">
                  <c:v>5.8452970735124739</c:v>
                </c:pt>
                <c:pt idx="10">
                  <c:v>11.097220888775457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5B4-4212-9C4E-341289874A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V_Polar!$S$8:$S$17</c:f>
              <c:numCache>
                <c:formatCode>General</c:formatCode>
                <c:ptCount val="10"/>
                <c:pt idx="0">
                  <c:v>-17.273800708315925</c:v>
                </c:pt>
                <c:pt idx="1">
                  <c:v>-9.9884812653570378</c:v>
                </c:pt>
                <c:pt idx="2">
                  <c:v>-5.769257879471299</c:v>
                </c:pt>
                <c:pt idx="3">
                  <c:v>-2.6779296034174123</c:v>
                </c:pt>
                <c:pt idx="4">
                  <c:v>0</c:v>
                </c:pt>
                <c:pt idx="5">
                  <c:v>2.6779278673590658</c:v>
                </c:pt>
                <c:pt idx="6">
                  <c:v>5.7692484962256305</c:v>
                </c:pt>
                <c:pt idx="7">
                  <c:v>9.9884421403324701</c:v>
                </c:pt>
                <c:pt idx="8">
                  <c:v>17.273546987219156</c:v>
                </c:pt>
                <c:pt idx="9">
                  <c:v>36.328078647001263</c:v>
                </c:pt>
              </c:numCache>
            </c:numRef>
          </c:xVal>
          <c:yVal>
            <c:numRef>
              <c:f>V_Polar!$T$8:$T$17</c:f>
              <c:numCache>
                <c:formatCode>General</c:formatCode>
                <c:ptCount val="10"/>
                <c:pt idx="0">
                  <c:v>7.2895059369173367</c:v>
                </c:pt>
                <c:pt idx="1">
                  <c:v>5.1703851231415188</c:v>
                </c:pt>
                <c:pt idx="2">
                  <c:v>4.2268841174027045</c:v>
                </c:pt>
                <c:pt idx="3">
                  <c:v>3.7926780895703525</c:v>
                </c:pt>
                <c:pt idx="4">
                  <c:v>3.6655118834967215</c:v>
                </c:pt>
                <c:pt idx="5">
                  <c:v>3.7963299898876133</c:v>
                </c:pt>
                <c:pt idx="6">
                  <c:v>4.2350263590247632</c:v>
                </c:pt>
                <c:pt idx="7">
                  <c:v>5.1853224458681826</c:v>
                </c:pt>
                <c:pt idx="8">
                  <c:v>7.3175058121737324</c:v>
                </c:pt>
                <c:pt idx="9">
                  <c:v>13.650164646570209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5B4-4212-9C4E-341289874A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V_Polar!$U$8:$U$16</c:f>
              <c:numCache>
                <c:formatCode>General</c:formatCode>
                <c:ptCount val="9"/>
                <c:pt idx="0">
                  <c:v>-17.255976984235144</c:v>
                </c:pt>
                <c:pt idx="1">
                  <c:v>-9.9844122051153157</c:v>
                </c:pt>
                <c:pt idx="2">
                  <c:v>-5.7676996360109145</c:v>
                </c:pt>
                <c:pt idx="3">
                  <c:v>-2.6773377625565313</c:v>
                </c:pt>
                <c:pt idx="4">
                  <c:v>0</c:v>
                </c:pt>
                <c:pt idx="5">
                  <c:v>2.6773376603119732</c:v>
                </c:pt>
                <c:pt idx="6">
                  <c:v>5.7676991478518751</c:v>
                </c:pt>
                <c:pt idx="7">
                  <c:v>9.984410364470282</c:v>
                </c:pt>
                <c:pt idx="8">
                  <c:v>17.255966556128293</c:v>
                </c:pt>
              </c:numCache>
            </c:numRef>
          </c:xVal>
          <c:yVal>
            <c:numRef>
              <c:f>V_Polar!$V$8:$V$16</c:f>
              <c:numCache>
                <c:formatCode>General</c:formatCode>
                <c:ptCount val="9"/>
                <c:pt idx="0">
                  <c:v>8.6184655150218656</c:v>
                </c:pt>
                <c:pt idx="1">
                  <c:v>6.1153060614761463</c:v>
                </c:pt>
                <c:pt idx="2">
                  <c:v>4.9979029587868942</c:v>
                </c:pt>
                <c:pt idx="3">
                  <c:v>4.4826597834963344</c:v>
                </c:pt>
                <c:pt idx="4">
                  <c:v>4.3303862352072899</c:v>
                </c:pt>
                <c:pt idx="5">
                  <c:v>4.4827368406237369</c:v>
                </c:pt>
                <c:pt idx="6">
                  <c:v>4.9980746913435246</c:v>
                </c:pt>
                <c:pt idx="7">
                  <c:v>6.1156207714978654</c:v>
                </c:pt>
                <c:pt idx="8">
                  <c:v>8.619052639230329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5B4-4212-9C4E-341289874A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V_Polar!$C$20:$C$28</c:f>
              <c:numCache>
                <c:formatCode>General</c:formatCode>
                <c:ptCount val="9"/>
                <c:pt idx="0">
                  <c:v>-37.219684009124073</c:v>
                </c:pt>
                <c:pt idx="1">
                  <c:v>-37.253981468668208</c:v>
                </c:pt>
                <c:pt idx="2">
                  <c:v>-37.259966275114685</c:v>
                </c:pt>
                <c:pt idx="3">
                  <c:v>-37.251977535075774</c:v>
                </c:pt>
                <c:pt idx="4">
                  <c:v>-37.236974579565654</c:v>
                </c:pt>
                <c:pt idx="5">
                  <c:v>-37.235058886464209</c:v>
                </c:pt>
                <c:pt idx="6">
                  <c:v>-37.18152547130255</c:v>
                </c:pt>
                <c:pt idx="7">
                  <c:v>-37.060101364753415</c:v>
                </c:pt>
                <c:pt idx="8">
                  <c:v>-36.822929330821282</c:v>
                </c:pt>
              </c:numCache>
            </c:numRef>
          </c:xVal>
          <c:yVal>
            <c:numRef>
              <c:f>V_Polar!$D$20:$D$28</c:f>
              <c:numCache>
                <c:formatCode>General</c:formatCode>
                <c:ptCount val="9"/>
                <c:pt idx="0">
                  <c:v>-16.719221053001935</c:v>
                </c:pt>
                <c:pt idx="1">
                  <c:v>-3.8418209656832012</c:v>
                </c:pt>
                <c:pt idx="2">
                  <c:v>-7.8561780823922218</c:v>
                </c:pt>
                <c:pt idx="3">
                  <c:v>-11.240328975718377</c:v>
                </c:pt>
                <c:pt idx="4">
                  <c:v>-14.173102346671621</c:v>
                </c:pt>
                <c:pt idx="5">
                  <c:v>2.0537194970036878E-4</c:v>
                </c:pt>
                <c:pt idx="6">
                  <c:v>3.6468242339035761</c:v>
                </c:pt>
                <c:pt idx="7">
                  <c:v>7.6581497431318439</c:v>
                </c:pt>
                <c:pt idx="8">
                  <c:v>11.013023661615359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5B4-4212-9C4E-341289874A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V_Polar!$E$20:$E$30</c:f>
              <c:numCache>
                <c:formatCode>General</c:formatCode>
                <c:ptCount val="11"/>
                <c:pt idx="0">
                  <c:v>-17.302407416570617</c:v>
                </c:pt>
                <c:pt idx="1">
                  <c:v>-17.314442915720612</c:v>
                </c:pt>
                <c:pt idx="2">
                  <c:v>-17.313467500999142</c:v>
                </c:pt>
                <c:pt idx="3">
                  <c:v>-17.310553616454929</c:v>
                </c:pt>
                <c:pt idx="4">
                  <c:v>-17.306600035582473</c:v>
                </c:pt>
                <c:pt idx="5">
                  <c:v>-17.314167988570539</c:v>
                </c:pt>
                <c:pt idx="6">
                  <c:v>-17.309466397806187</c:v>
                </c:pt>
                <c:pt idx="7">
                  <c:v>-17.300255626669141</c:v>
                </c:pt>
                <c:pt idx="8">
                  <c:v>-17.288055516637517</c:v>
                </c:pt>
                <c:pt idx="9">
                  <c:v>-17.273800708315925</c:v>
                </c:pt>
                <c:pt idx="10">
                  <c:v>-17.255976984235144</c:v>
                </c:pt>
              </c:numCache>
            </c:numRef>
          </c:xVal>
          <c:yVal>
            <c:numRef>
              <c:f>V_Polar!$F$20:$F$30</c:f>
              <c:numCache>
                <c:formatCode>General</c:formatCode>
                <c:ptCount val="11"/>
                <c:pt idx="0">
                  <c:v>-8.6670003138463976</c:v>
                </c:pt>
                <c:pt idx="1">
                  <c:v>-1.9924794479687231</c:v>
                </c:pt>
                <c:pt idx="2">
                  <c:v>-4.0732239388225082</c:v>
                </c:pt>
                <c:pt idx="3">
                  <c:v>-5.8273592934847374</c:v>
                </c:pt>
                <c:pt idx="4">
                  <c:v>-7.3480553308315395</c:v>
                </c:pt>
                <c:pt idx="5">
                  <c:v>1.2179331094567052E-2</c:v>
                </c:pt>
                <c:pt idx="6">
                  <c:v>1.908835594891505</c:v>
                </c:pt>
                <c:pt idx="7">
                  <c:v>4.0104520980333476</c:v>
                </c:pt>
                <c:pt idx="8">
                  <c:v>5.8083097135387272</c:v>
                </c:pt>
                <c:pt idx="9">
                  <c:v>7.2895059369173367</c:v>
                </c:pt>
                <c:pt idx="10">
                  <c:v>8.6184655150218656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5B4-4212-9C4E-341289874A0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V_Polar!$G$20:$G$30</c:f>
              <c:numCache>
                <c:formatCode>General</c:formatCode>
                <c:ptCount val="11"/>
                <c:pt idx="0">
                  <c:v>-9.9938926945655933</c:v>
                </c:pt>
                <c:pt idx="1">
                  <c:v>-9.9989265345010061</c:v>
                </c:pt>
                <c:pt idx="2">
                  <c:v>-9.998327707770013</c:v>
                </c:pt>
                <c:pt idx="3">
                  <c:v>-9.9970976545412338</c:v>
                </c:pt>
                <c:pt idx="4">
                  <c:v>-9.995525337155426</c:v>
                </c:pt>
                <c:pt idx="5">
                  <c:v>-9.9991590643103017</c:v>
                </c:pt>
                <c:pt idx="6">
                  <c:v>-9.9978866585375368</c:v>
                </c:pt>
                <c:pt idx="7">
                  <c:v>-9.9953241764454912</c:v>
                </c:pt>
                <c:pt idx="8">
                  <c:v>-9.9920495282654436</c:v>
                </c:pt>
                <c:pt idx="9">
                  <c:v>-9.9884812653570378</c:v>
                </c:pt>
                <c:pt idx="10">
                  <c:v>-9.9844122051153157</c:v>
                </c:pt>
              </c:numCache>
            </c:numRef>
          </c:xVal>
          <c:yVal>
            <c:numRef>
              <c:f>V_Polar!$H$20:$H$30</c:f>
              <c:numCache>
                <c:formatCode>General</c:formatCode>
                <c:ptCount val="11"/>
                <c:pt idx="0">
                  <c:v>-6.1305692194908348</c:v>
                </c:pt>
                <c:pt idx="1">
                  <c:v>-1.4119377744855828</c:v>
                </c:pt>
                <c:pt idx="2">
                  <c:v>-2.883478783431209</c:v>
                </c:pt>
                <c:pt idx="3">
                  <c:v>-4.1239831970981307</c:v>
                </c:pt>
                <c:pt idx="4">
                  <c:v>-5.1992990225394395</c:v>
                </c:pt>
                <c:pt idx="5">
                  <c:v>1.4116663615046862E-2</c:v>
                </c:pt>
                <c:pt idx="6">
                  <c:v>1.3561704668624208</c:v>
                </c:pt>
                <c:pt idx="7">
                  <c:v>2.8441957244109868</c:v>
                </c:pt>
                <c:pt idx="8">
                  <c:v>4.1186361740491826</c:v>
                </c:pt>
                <c:pt idx="9">
                  <c:v>5.1703851231415188</c:v>
                </c:pt>
                <c:pt idx="10">
                  <c:v>6.1153060614761463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5B4-4212-9C4E-341289874A0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V_Polar!$I$20:$I$30</c:f>
              <c:numCache>
                <c:formatCode>General</c:formatCode>
                <c:ptCount val="11"/>
                <c:pt idx="0">
                  <c:v>-5.7709577099587177</c:v>
                </c:pt>
                <c:pt idx="1">
                  <c:v>-5.7732864463497275</c:v>
                </c:pt>
                <c:pt idx="2">
                  <c:v>-5.7729799200144241</c:v>
                </c:pt>
                <c:pt idx="3">
                  <c:v>-5.7724087140495159</c:v>
                </c:pt>
                <c:pt idx="4">
                  <c:v>-5.7716937422399601</c:v>
                </c:pt>
                <c:pt idx="5">
                  <c:v>-5.7734447681445005</c:v>
                </c:pt>
                <c:pt idx="6">
                  <c:v>-5.7729544448827035</c:v>
                </c:pt>
                <c:pt idx="7">
                  <c:v>-5.7719406541362108</c:v>
                </c:pt>
                <c:pt idx="8">
                  <c:v>-5.7706479919160012</c:v>
                </c:pt>
                <c:pt idx="9">
                  <c:v>-5.769257879471299</c:v>
                </c:pt>
                <c:pt idx="10">
                  <c:v>-5.7676996360109145</c:v>
                </c:pt>
              </c:numCache>
            </c:numRef>
          </c:xVal>
          <c:yVal>
            <c:numRef>
              <c:f>V_Polar!$J$20:$J$30</c:f>
              <c:numCache>
                <c:formatCode>General</c:formatCode>
                <c:ptCount val="11"/>
                <c:pt idx="0">
                  <c:v>-5.0062045720223844</c:v>
                </c:pt>
                <c:pt idx="1">
                  <c:v>-1.1556618436259176</c:v>
                </c:pt>
                <c:pt idx="2">
                  <c:v>-2.3570788902232289</c:v>
                </c:pt>
                <c:pt idx="3">
                  <c:v>-3.3697589376986206</c:v>
                </c:pt>
                <c:pt idx="4">
                  <c:v>-4.2473848586430849</c:v>
                </c:pt>
                <c:pt idx="5">
                  <c:v>1.5344658126523619E-2</c:v>
                </c:pt>
                <c:pt idx="6">
                  <c:v>1.1113158664610117</c:v>
                </c:pt>
                <c:pt idx="7">
                  <c:v>2.3266212183683823</c:v>
                </c:pt>
                <c:pt idx="8">
                  <c:v>3.3676620830861603</c:v>
                </c:pt>
                <c:pt idx="9">
                  <c:v>4.2268841174027045</c:v>
                </c:pt>
                <c:pt idx="10">
                  <c:v>4.9979029587868942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5B4-4212-9C4E-341289874A0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V_Polar!$K$20:$K$30</c:f>
              <c:numCache>
                <c:formatCode>General</c:formatCode>
                <c:ptCount val="11"/>
                <c:pt idx="0">
                  <c:v>-2.6785053981759019</c:v>
                </c:pt>
                <c:pt idx="1">
                  <c:v>-2.6794560534451537</c:v>
                </c:pt>
                <c:pt idx="2">
                  <c:v>-2.6793260282916251</c:v>
                </c:pt>
                <c:pt idx="3">
                  <c:v>-2.6790923806964972</c:v>
                </c:pt>
                <c:pt idx="4">
                  <c:v>-2.678802493563087</c:v>
                </c:pt>
                <c:pt idx="5">
                  <c:v>-2.6795286942345906</c:v>
                </c:pt>
                <c:pt idx="6">
                  <c:v>-2.6793436330258094</c:v>
                </c:pt>
                <c:pt idx="7">
                  <c:v>-2.6789555836437535</c:v>
                </c:pt>
                <c:pt idx="8">
                  <c:v>-2.6784603189485532</c:v>
                </c:pt>
                <c:pt idx="9">
                  <c:v>-2.6779296034174123</c:v>
                </c:pt>
                <c:pt idx="10">
                  <c:v>-2.6773377625565313</c:v>
                </c:pt>
              </c:numCache>
            </c:numRef>
          </c:xVal>
          <c:yVal>
            <c:numRef>
              <c:f>V_Polar!$L$20:$L$30</c:f>
              <c:numCache>
                <c:formatCode>General</c:formatCode>
                <c:ptCount val="11"/>
                <c:pt idx="0">
                  <c:v>-4.4886654222853739</c:v>
                </c:pt>
                <c:pt idx="1">
                  <c:v>-1.0388489515742942</c:v>
                </c:pt>
                <c:pt idx="2">
                  <c:v>-2.1158469886191487</c:v>
                </c:pt>
                <c:pt idx="3">
                  <c:v>-3.0235157142283065</c:v>
                </c:pt>
                <c:pt idx="4">
                  <c:v>-3.8098992887072214</c:v>
                </c:pt>
                <c:pt idx="5">
                  <c:v>1.6915913722453567E-2</c:v>
                </c:pt>
                <c:pt idx="6">
                  <c:v>0.99957796779461783</c:v>
                </c:pt>
                <c:pt idx="7">
                  <c:v>2.0892012369436808</c:v>
                </c:pt>
                <c:pt idx="8">
                  <c:v>3.0225214827337545</c:v>
                </c:pt>
                <c:pt idx="9">
                  <c:v>3.7926780895703525</c:v>
                </c:pt>
                <c:pt idx="10">
                  <c:v>4.4826597834963344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5B4-4212-9C4E-341289874A0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V_Polar!$M$20:$M$30</c:f>
              <c:numCache>
                <c:formatCode>General</c:formatCode>
                <c:ptCount val="11"/>
                <c:pt idx="0">
                  <c:v>-5.3096219903703242E-16</c:v>
                </c:pt>
                <c:pt idx="1">
                  <c:v>1.2321930003310742E-16</c:v>
                </c:pt>
                <c:pt idx="2">
                  <c:v>2.5059146718654131E-16</c:v>
                </c:pt>
                <c:pt idx="3">
                  <c:v>3.5791805182170807E-16</c:v>
                </c:pt>
                <c:pt idx="4">
                  <c:v>4.5087121117575226E-16</c:v>
                </c:pt>
                <c:pt idx="5">
                  <c:v>-5.2146066036806818E-9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V_Polar!$N$20:$N$30</c:f>
              <c:numCache>
                <c:formatCode>General</c:formatCode>
                <c:ptCount val="11"/>
                <c:pt idx="0">
                  <c:v>-4.3357785739044576</c:v>
                </c:pt>
                <c:pt idx="1">
                  <c:v>-1.0061951716035251</c:v>
                </c:pt>
                <c:pt idx="2">
                  <c:v>-2.0463021966558266</c:v>
                </c:pt>
                <c:pt idx="3">
                  <c:v>-2.9227192126231789</c:v>
                </c:pt>
                <c:pt idx="4">
                  <c:v>-3.6817644279604052</c:v>
                </c:pt>
                <c:pt idx="5">
                  <c:v>1.9234789632971563E-2</c:v>
                </c:pt>
                <c:pt idx="6">
                  <c:v>0.96840553151428233</c:v>
                </c:pt>
                <c:pt idx="7">
                  <c:v>2.0207890484154913</c:v>
                </c:pt>
                <c:pt idx="8">
                  <c:v>2.9220566273670174</c:v>
                </c:pt>
                <c:pt idx="9">
                  <c:v>3.6655118834967215</c:v>
                </c:pt>
                <c:pt idx="10">
                  <c:v>4.3303862352072899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5B4-4212-9C4E-341289874A0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V_Polar!$O$20:$O$30</c:f>
              <c:numCache>
                <c:formatCode>General</c:formatCode>
                <c:ptCount val="11"/>
                <c:pt idx="0">
                  <c:v>2.6785054352046682</c:v>
                </c:pt>
                <c:pt idx="1">
                  <c:v>2.6794560491854176</c:v>
                </c:pt>
                <c:pt idx="2">
                  <c:v>2.6793255847162607</c:v>
                </c:pt>
                <c:pt idx="3">
                  <c:v>2.6790916746525286</c:v>
                </c:pt>
                <c:pt idx="4">
                  <c:v>2.6788017904540222</c:v>
                </c:pt>
                <c:pt idx="5">
                  <c:v>2.6795282017295121</c:v>
                </c:pt>
                <c:pt idx="6">
                  <c:v>2.6793426572635943</c:v>
                </c:pt>
                <c:pt idx="7">
                  <c:v>2.6789540898955679</c:v>
                </c:pt>
                <c:pt idx="8">
                  <c:v>2.6784585162163315</c:v>
                </c:pt>
                <c:pt idx="9">
                  <c:v>2.6779278673590658</c:v>
                </c:pt>
                <c:pt idx="10">
                  <c:v>2.6773376603119732</c:v>
                </c:pt>
              </c:numCache>
            </c:numRef>
          </c:xVal>
          <c:yVal>
            <c:numRef>
              <c:f>V_Polar!$P$20:$P$30</c:f>
              <c:numCache>
                <c:formatCode>General</c:formatCode>
                <c:ptCount val="11"/>
                <c:pt idx="0">
                  <c:v>-4.4886693988135962</c:v>
                </c:pt>
                <c:pt idx="1">
                  <c:v>-1.0446463991722119</c:v>
                </c:pt>
                <c:pt idx="2">
                  <c:v>-2.1212176013106467</c:v>
                </c:pt>
                <c:pt idx="3">
                  <c:v>-3.0281682162024133</c:v>
                </c:pt>
                <c:pt idx="4">
                  <c:v>-3.813354739156682</c:v>
                </c:pt>
                <c:pt idx="5">
                  <c:v>2.2775161419589993E-2</c:v>
                </c:pt>
                <c:pt idx="6">
                  <c:v>1.0053874381434993</c:v>
                </c:pt>
                <c:pt idx="7">
                  <c:v>2.0946866448445749</c:v>
                </c:pt>
                <c:pt idx="8">
                  <c:v>3.0273311307543214</c:v>
                </c:pt>
                <c:pt idx="9">
                  <c:v>3.7963299898876133</c:v>
                </c:pt>
                <c:pt idx="10">
                  <c:v>4.4827368406237369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5B4-4212-9C4E-341289874A0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V_Polar!$Q$20:$Q$30</c:f>
              <c:numCache>
                <c:formatCode>General</c:formatCode>
                <c:ptCount val="11"/>
                <c:pt idx="0">
                  <c:v>5.7709579146492276</c:v>
                </c:pt>
                <c:pt idx="1">
                  <c:v>5.7732865379782332</c:v>
                </c:pt>
                <c:pt idx="2">
                  <c:v>5.7729777205254011</c:v>
                </c:pt>
                <c:pt idx="3">
                  <c:v>5.7724052166522766</c:v>
                </c:pt>
                <c:pt idx="4">
                  <c:v>5.7716902231698404</c:v>
                </c:pt>
                <c:pt idx="5">
                  <c:v>5.7734420528130173</c:v>
                </c:pt>
                <c:pt idx="6">
                  <c:v>5.77294908741474</c:v>
                </c:pt>
                <c:pt idx="7">
                  <c:v>5.7719325057170456</c:v>
                </c:pt>
                <c:pt idx="8">
                  <c:v>5.7706381908258981</c:v>
                </c:pt>
                <c:pt idx="9">
                  <c:v>5.7692484962256305</c:v>
                </c:pt>
                <c:pt idx="10">
                  <c:v>5.7676991478518751</c:v>
                </c:pt>
              </c:numCache>
            </c:numRef>
          </c:xVal>
          <c:yVal>
            <c:numRef>
              <c:f>V_Polar!$R$20:$R$30</c:f>
              <c:numCache>
                <c:formatCode>General</c:formatCode>
                <c:ptCount val="11"/>
                <c:pt idx="0">
                  <c:v>-5.0062134771000357</c:v>
                </c:pt>
                <c:pt idx="1">
                  <c:v>-1.1685938601037522</c:v>
                </c:pt>
                <c:pt idx="2">
                  <c:v>-2.3690586143354753</c:v>
                </c:pt>
                <c:pt idx="3">
                  <c:v>-3.3801364659103954</c:v>
                </c:pt>
                <c:pt idx="4">
                  <c:v>-4.2550919758197363</c:v>
                </c:pt>
                <c:pt idx="5">
                  <c:v>2.8414401301503196E-2</c:v>
                </c:pt>
                <c:pt idx="6">
                  <c:v>1.1242739053119057</c:v>
                </c:pt>
                <c:pt idx="7">
                  <c:v>2.3388551532014028</c:v>
                </c:pt>
                <c:pt idx="8">
                  <c:v>3.3783873829691857</c:v>
                </c:pt>
                <c:pt idx="9">
                  <c:v>4.2350263590247632</c:v>
                </c:pt>
                <c:pt idx="10">
                  <c:v>4.9980746913435246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5B4-4212-9C4E-341289874A0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V_Polar!$S$20:$S$30</c:f>
              <c:numCache>
                <c:formatCode>General</c:formatCode>
                <c:ptCount val="11"/>
                <c:pt idx="0">
                  <c:v>9.9938933986819904</c:v>
                </c:pt>
                <c:pt idx="1">
                  <c:v>9.9989285031676367</c:v>
                </c:pt>
                <c:pt idx="2">
                  <c:v>9.9983213128016466</c:v>
                </c:pt>
                <c:pt idx="3">
                  <c:v>9.997086525515023</c:v>
                </c:pt>
                <c:pt idx="4">
                  <c:v>9.9955138388117657</c:v>
                </c:pt>
                <c:pt idx="5">
                  <c:v>9.9991473873677652</c:v>
                </c:pt>
                <c:pt idx="6">
                  <c:v>9.997864890585582</c:v>
                </c:pt>
                <c:pt idx="7">
                  <c:v>9.9952912959668225</c:v>
                </c:pt>
                <c:pt idx="8">
                  <c:v>9.9920094689659198</c:v>
                </c:pt>
                <c:pt idx="9">
                  <c:v>9.9884421403324701</c:v>
                </c:pt>
                <c:pt idx="10">
                  <c:v>9.984410364470282</c:v>
                </c:pt>
              </c:numCache>
            </c:numRef>
          </c:xVal>
          <c:yVal>
            <c:numRef>
              <c:f>V_Polar!$T$20:$T$30</c:f>
              <c:numCache>
                <c:formatCode>General</c:formatCode>
                <c:ptCount val="11"/>
                <c:pt idx="0">
                  <c:v>-6.1305857110484689</c:v>
                </c:pt>
                <c:pt idx="1">
                  <c:v>-1.4356931316899979</c:v>
                </c:pt>
                <c:pt idx="2">
                  <c:v>-2.9054843514110096</c:v>
                </c:pt>
                <c:pt idx="3">
                  <c:v>-4.1430443410841482</c:v>
                </c:pt>
                <c:pt idx="4">
                  <c:v>-5.213453902610425</c:v>
                </c:pt>
                <c:pt idx="5">
                  <c:v>3.8124139119151232E-2</c:v>
                </c:pt>
                <c:pt idx="6">
                  <c:v>1.3799695409432933</c:v>
                </c:pt>
                <c:pt idx="7">
                  <c:v>2.8666587101675289</c:v>
                </c:pt>
                <c:pt idx="8">
                  <c:v>4.1383215516562846</c:v>
                </c:pt>
                <c:pt idx="9">
                  <c:v>5.1853224458681826</c:v>
                </c:pt>
                <c:pt idx="10">
                  <c:v>6.1156207714978654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5B4-4212-9C4E-341289874A0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V_Polar!$U$20:$U$30</c:f>
              <c:numCache>
                <c:formatCode>General</c:formatCode>
                <c:ptCount val="11"/>
                <c:pt idx="0">
                  <c:v>17.302409938892019</c:v>
                </c:pt>
                <c:pt idx="1">
                  <c:v>17.314465950293428</c:v>
                </c:pt>
                <c:pt idx="2">
                  <c:v>17.313454635295844</c:v>
                </c:pt>
                <c:pt idx="3">
                  <c:v>17.310520314047366</c:v>
                </c:pt>
                <c:pt idx="4">
                  <c:v>17.306562759333918</c:v>
                </c:pt>
                <c:pt idx="5">
                  <c:v>17.314101343391954</c:v>
                </c:pt>
                <c:pt idx="6">
                  <c:v>17.309350192205713</c:v>
                </c:pt>
                <c:pt idx="7">
                  <c:v>17.300075722485655</c:v>
                </c:pt>
                <c:pt idx="8">
                  <c:v>17.287820026694163</c:v>
                </c:pt>
                <c:pt idx="9">
                  <c:v>17.273546987219156</c:v>
                </c:pt>
                <c:pt idx="10">
                  <c:v>17.255966556128293</c:v>
                </c:pt>
              </c:numCache>
            </c:numRef>
          </c:xVal>
          <c:yVal>
            <c:numRef>
              <c:f>V_Polar!$V$20:$V$30</c:f>
              <c:numCache>
                <c:formatCode>General</c:formatCode>
                <c:ptCount val="11"/>
                <c:pt idx="0">
                  <c:v>-8.6670319375636673</c:v>
                </c:pt>
                <c:pt idx="1">
                  <c:v>-2.037258403596522</c:v>
                </c:pt>
                <c:pt idx="2">
                  <c:v>-4.1147045054169169</c:v>
                </c:pt>
                <c:pt idx="3">
                  <c:v>-5.8632849287315647</c:v>
                </c:pt>
                <c:pt idx="4">
                  <c:v>-7.3747287808709476</c:v>
                </c:pt>
                <c:pt idx="5">
                  <c:v>5.7425828878674902E-2</c:v>
                </c:pt>
                <c:pt idx="6">
                  <c:v>1.9536686967010162</c:v>
                </c:pt>
                <c:pt idx="7">
                  <c:v>4.0527260808903467</c:v>
                </c:pt>
                <c:pt idx="8">
                  <c:v>5.8452970735124739</c:v>
                </c:pt>
                <c:pt idx="9">
                  <c:v>7.3175058121737324</c:v>
                </c:pt>
                <c:pt idx="10">
                  <c:v>8.619052639230329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5B4-4212-9C4E-341289874A0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V_Polar!$W$20:$W$29</c:f>
              <c:numCache>
                <c:formatCode>General</c:formatCode>
                <c:ptCount val="10"/>
              </c:numCache>
            </c:numRef>
          </c:xVal>
          <c:yVal>
            <c:numRef>
              <c:f>V_Polar!$X$20:$X$29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5B4-4212-9C4E-34128987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253416"/>
        <c:axId val="719256368"/>
      </c:scatterChart>
      <c:valAx>
        <c:axId val="71925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6368"/>
        <c:crosses val="autoZero"/>
        <c:crossBetween val="midCat"/>
        <c:majorUnit val="5"/>
      </c:valAx>
      <c:valAx>
        <c:axId val="7192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G$6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List" dx="22" fmlaLink="$E$4" fmlaRange="$T$1:$T$5" noThreeD="1" sel="1" val="0"/>
</file>

<file path=xl/ctrlProps/ctrlProp5.xml><?xml version="1.0" encoding="utf-8"?>
<formControlPr xmlns="http://schemas.microsoft.com/office/spreadsheetml/2009/9/main" objectType="List" dx="22" fmlaLink="$K$4" fmlaRange="$T$6:$T$12" noThreeD="1" sel="1" val="0"/>
</file>

<file path=xl/ctrlProps/ctrlProp6.xml><?xml version="1.0" encoding="utf-8"?>
<formControlPr xmlns="http://schemas.microsoft.com/office/spreadsheetml/2009/9/main" objectType="List" dx="22" fmlaLink="$M$4" fmlaRange="$T$13:$T$14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List" dx="22" fmlaLink="$A$4" fmlaRange="$AB$1:$AB$9" noThreeD="1" sel="1" val="0"/>
</file>

<file path=xl/ctrlProps/ctrlProp12.xml><?xml version="1.0" encoding="utf-8"?>
<formControlPr xmlns="http://schemas.microsoft.com/office/spreadsheetml/2009/9/main" objectType="Radio" checked="Checked" firstButton="1" fmlaLink="$B$4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0</xdr:rowOff>
        </xdr:from>
        <xdr:to>
          <xdr:col>7</xdr:col>
          <xdr:colOff>85725</xdr:colOff>
          <xdr:row>6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161925</xdr:rowOff>
        </xdr:from>
        <xdr:to>
          <xdr:col>6</xdr:col>
          <xdr:colOff>400050</xdr:colOff>
          <xdr:row>2</xdr:row>
          <xdr:rowOff>161925</xdr:rowOff>
        </xdr:to>
        <xdr:sp macro="" textlink="">
          <xdr:nvSpPr>
            <xdr:cNvPr id="16387" name="Option Button 3" descr="Iranian Calenda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Iranian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390525</xdr:colOff>
          <xdr:row>3</xdr:row>
          <xdr:rowOff>152400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Gregory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</xdr:row>
          <xdr:rowOff>238125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6392" name="List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0</xdr:rowOff>
        </xdr:from>
        <xdr:to>
          <xdr:col>9</xdr:col>
          <xdr:colOff>600075</xdr:colOff>
          <xdr:row>6</xdr:row>
          <xdr:rowOff>0</xdr:rowOff>
        </xdr:to>
        <xdr:sp macro="" textlink="">
          <xdr:nvSpPr>
            <xdr:cNvPr id="16393" name="List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</xdr:row>
          <xdr:rowOff>19050</xdr:rowOff>
        </xdr:from>
        <xdr:to>
          <xdr:col>13</xdr:col>
          <xdr:colOff>19050</xdr:colOff>
          <xdr:row>4</xdr:row>
          <xdr:rowOff>0</xdr:rowOff>
        </xdr:to>
        <xdr:sp macro="" textlink="">
          <xdr:nvSpPr>
            <xdr:cNvPr id="16396" name="List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4</xdr:row>
          <xdr:rowOff>152400</xdr:rowOff>
        </xdr:from>
        <xdr:to>
          <xdr:col>12</xdr:col>
          <xdr:colOff>657225</xdr:colOff>
          <xdr:row>6</xdr:row>
          <xdr:rowOff>9525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Sundial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</xdr:row>
          <xdr:rowOff>0</xdr:rowOff>
        </xdr:from>
        <xdr:to>
          <xdr:col>7</xdr:col>
          <xdr:colOff>695325</xdr:colOff>
          <xdr:row>2</xdr:row>
          <xdr:rowOff>47625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102</xdr:row>
      <xdr:rowOff>66676</xdr:rowOff>
    </xdr:from>
    <xdr:to>
      <xdr:col>13</xdr:col>
      <xdr:colOff>152400</xdr:colOff>
      <xdr:row>122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85725</xdr:colOff>
      <xdr:row>0</xdr:row>
      <xdr:rowOff>123825</xdr:rowOff>
    </xdr:from>
    <xdr:ext cx="4524375" cy="48577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086475" y="123825"/>
          <a:ext cx="4524375" cy="4857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/>
          <a:r>
            <a:rPr lang="en-US" sz="1200"/>
            <a:t>Formulas in this tab are from book, Sonnenuh</a:t>
          </a:r>
          <a:r>
            <a:rPr lang="en-US" sz="1200">
              <a:solidFill>
                <a:schemeClr val="tx1"/>
              </a:solidFill>
              <a:latin typeface="+mn-lt"/>
              <a:ea typeface="+mn-ea"/>
              <a:cs typeface="+mn-cs"/>
            </a:rPr>
            <a:t>ren by  Ottmar  Beucher</a:t>
          </a:r>
        </a:p>
        <a:p>
          <a:pPr marL="0" indent="0"/>
          <a:r>
            <a:rPr lang="en-US" sz="1200">
              <a:solidFill>
                <a:schemeClr val="tx1"/>
              </a:solidFill>
              <a:latin typeface="+mn-lt"/>
              <a:ea typeface="+mn-ea"/>
              <a:cs typeface="+mn-cs"/>
            </a:rPr>
            <a:t>You can change numer in colored cells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0</xdr:rowOff>
        </xdr:from>
        <xdr:to>
          <xdr:col>5</xdr:col>
          <xdr:colOff>590550</xdr:colOff>
          <xdr:row>2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3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Mean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</xdr:row>
      <xdr:rowOff>9526</xdr:rowOff>
    </xdr:from>
    <xdr:to>
      <xdr:col>13</xdr:col>
      <xdr:colOff>123825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30</xdr:row>
      <xdr:rowOff>166686</xdr:rowOff>
    </xdr:from>
    <xdr:to>
      <xdr:col>14</xdr:col>
      <xdr:colOff>342900</xdr:colOff>
      <xdr:row>48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533402</xdr:colOff>
      <xdr:row>31</xdr:row>
      <xdr:rowOff>152399</xdr:rowOff>
    </xdr:from>
    <xdr:to>
      <xdr:col>15</xdr:col>
      <xdr:colOff>247650</xdr:colOff>
      <xdr:row>57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31</xdr:row>
      <xdr:rowOff>161925</xdr:rowOff>
    </xdr:from>
    <xdr:to>
      <xdr:col>16</xdr:col>
      <xdr:colOff>304800</xdr:colOff>
      <xdr:row>49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3</xdr:row>
          <xdr:rowOff>123825</xdr:rowOff>
        </xdr:from>
        <xdr:to>
          <xdr:col>7</xdr:col>
          <xdr:colOff>600075</xdr:colOff>
          <xdr:row>5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Dial with Vector math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</xdr:row>
          <xdr:rowOff>9525</xdr:rowOff>
        </xdr:from>
        <xdr:to>
          <xdr:col>2</xdr:col>
          <xdr:colOff>323850</xdr:colOff>
          <xdr:row>6</xdr:row>
          <xdr:rowOff>38100</xdr:rowOff>
        </xdr:to>
        <xdr:sp macro="" textlink="">
          <xdr:nvSpPr>
            <xdr:cNvPr id="34821" name="List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A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2</xdr:row>
          <xdr:rowOff>76200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34823" name="Option 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A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Loal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</xdr:row>
          <xdr:rowOff>161925</xdr:rowOff>
        </xdr:from>
        <xdr:to>
          <xdr:col>4</xdr:col>
          <xdr:colOff>447675</xdr:colOff>
          <xdr:row>4</xdr:row>
          <xdr:rowOff>171450</xdr:rowOff>
        </xdr:to>
        <xdr:sp macro="" textlink="">
          <xdr:nvSpPr>
            <xdr:cNvPr id="34824" name="Option 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A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Civil Tiem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36</xdr:row>
      <xdr:rowOff>104775</xdr:rowOff>
    </xdr:from>
    <xdr:to>
      <xdr:col>15</xdr:col>
      <xdr:colOff>514350</xdr:colOff>
      <xdr:row>52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30</xdr:row>
      <xdr:rowOff>80962</xdr:rowOff>
    </xdr:from>
    <xdr:to>
      <xdr:col>16</xdr:col>
      <xdr:colOff>276225</xdr:colOff>
      <xdr:row>45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2271-E2E0-475D-A7B7-382B013CB419}">
  <sheetPr codeName="Sheet11"/>
  <dimension ref="A1:T40"/>
  <sheetViews>
    <sheetView tabSelected="1" workbookViewId="0">
      <selection activeCell="B2" sqref="B2"/>
    </sheetView>
  </sheetViews>
  <sheetFormatPr defaultRowHeight="15"/>
  <cols>
    <col min="1" max="1" width="22.7109375" customWidth="1"/>
    <col min="2" max="2" width="11.140625" customWidth="1"/>
    <col min="5" max="10" width="9.5703125" bestFit="1" customWidth="1"/>
    <col min="11" max="16" width="10.28515625" bestFit="1" customWidth="1"/>
    <col min="19" max="19" width="9" customWidth="1"/>
    <col min="20" max="20" width="7.28515625" hidden="1" customWidth="1"/>
  </cols>
  <sheetData>
    <row r="1" spans="1:20" ht="18">
      <c r="T1" s="123" t="s">
        <v>409</v>
      </c>
    </row>
    <row r="2" spans="1:20" ht="18">
      <c r="A2" t="s">
        <v>393</v>
      </c>
      <c r="B2" s="145" t="s">
        <v>449</v>
      </c>
      <c r="D2" s="6" t="s">
        <v>399</v>
      </c>
      <c r="F2" s="8" t="s">
        <v>400</v>
      </c>
      <c r="H2" s="9" t="s">
        <v>403</v>
      </c>
      <c r="I2" s="9">
        <v>2022</v>
      </c>
      <c r="J2" s="8" t="s">
        <v>402</v>
      </c>
      <c r="L2" s="6" t="s">
        <v>401</v>
      </c>
      <c r="O2" s="121" t="s">
        <v>405</v>
      </c>
      <c r="P2" s="122" t="s">
        <v>407</v>
      </c>
      <c r="Q2" s="122" t="s">
        <v>408</v>
      </c>
      <c r="T2" s="123" t="s">
        <v>410</v>
      </c>
    </row>
    <row r="3" spans="1:20" ht="18">
      <c r="A3" t="s">
        <v>394</v>
      </c>
      <c r="B3" s="144">
        <v>51.3797</v>
      </c>
      <c r="O3" s="2">
        <v>10</v>
      </c>
      <c r="P3">
        <v>45</v>
      </c>
      <c r="Q3">
        <v>5</v>
      </c>
      <c r="T3" s="123" t="s">
        <v>411</v>
      </c>
    </row>
    <row r="4" spans="1:20" ht="18">
      <c r="A4" t="s">
        <v>389</v>
      </c>
      <c r="B4" s="144">
        <v>35.7029</v>
      </c>
      <c r="E4">
        <v>1</v>
      </c>
      <c r="K4">
        <v>1</v>
      </c>
      <c r="M4">
        <v>2</v>
      </c>
      <c r="T4" s="123" t="s">
        <v>412</v>
      </c>
    </row>
    <row r="5" spans="1:20" ht="18">
      <c r="A5" t="s">
        <v>395</v>
      </c>
      <c r="B5" s="144">
        <v>1210</v>
      </c>
      <c r="T5" s="123" t="s">
        <v>413</v>
      </c>
    </row>
    <row r="6" spans="1:20" ht="18">
      <c r="A6" t="s">
        <v>396</v>
      </c>
      <c r="B6" s="144">
        <v>3.5</v>
      </c>
      <c r="G6">
        <v>2</v>
      </c>
      <c r="S6" s="12"/>
      <c r="T6" s="123" t="s">
        <v>414</v>
      </c>
    </row>
    <row r="7" spans="1:20" ht="21">
      <c r="A7" s="12" t="s">
        <v>406</v>
      </c>
      <c r="C7" s="13">
        <f>(B3-B6*15)*4</f>
        <v>-4.4812000000000012</v>
      </c>
      <c r="G7" s="6"/>
      <c r="I7" s="60" t="s">
        <v>506</v>
      </c>
      <c r="J7" s="83"/>
      <c r="S7" s="12"/>
      <c r="T7" s="123" t="s">
        <v>415</v>
      </c>
    </row>
    <row r="8" spans="1:20" ht="18.75" thickBot="1">
      <c r="A8" t="s">
        <v>397</v>
      </c>
      <c r="B8" s="10">
        <v>876.11192927573188</v>
      </c>
      <c r="C8" t="s">
        <v>1</v>
      </c>
      <c r="J8" s="146" t="s">
        <v>404</v>
      </c>
      <c r="S8" s="12"/>
      <c r="T8" s="123" t="s">
        <v>416</v>
      </c>
    </row>
    <row r="9" spans="1:20" ht="18">
      <c r="A9" t="s">
        <v>398</v>
      </c>
      <c r="B9" s="10">
        <v>7.1364968049580559</v>
      </c>
      <c r="C9" s="124" t="s">
        <v>2</v>
      </c>
      <c r="D9" s="184" t="s">
        <v>0</v>
      </c>
      <c r="E9" s="180">
        <v>1</v>
      </c>
      <c r="F9" s="180">
        <f>E9+1</f>
        <v>2</v>
      </c>
      <c r="G9" s="180">
        <f t="shared" ref="G9:P9" si="0">F9+1</f>
        <v>3</v>
      </c>
      <c r="H9" s="180">
        <f t="shared" si="0"/>
        <v>4</v>
      </c>
      <c r="I9" s="180">
        <f t="shared" si="0"/>
        <v>5</v>
      </c>
      <c r="J9" s="180">
        <f t="shared" si="0"/>
        <v>6</v>
      </c>
      <c r="K9" s="180">
        <f t="shared" si="0"/>
        <v>7</v>
      </c>
      <c r="L9" s="180">
        <f t="shared" si="0"/>
        <v>8</v>
      </c>
      <c r="M9" s="180">
        <f t="shared" si="0"/>
        <v>9</v>
      </c>
      <c r="N9" s="180">
        <f t="shared" si="0"/>
        <v>10</v>
      </c>
      <c r="O9" s="180">
        <f t="shared" si="0"/>
        <v>11</v>
      </c>
      <c r="P9" s="181">
        <f t="shared" si="0"/>
        <v>12</v>
      </c>
      <c r="S9" s="12"/>
      <c r="T9" s="123" t="s">
        <v>417</v>
      </c>
    </row>
    <row r="10" spans="1:20" ht="18">
      <c r="D10" s="182">
        <v>1</v>
      </c>
      <c r="E10" s="15" t="s">
        <v>507</v>
      </c>
      <c r="F10" s="15" t="s">
        <v>538</v>
      </c>
      <c r="G10" s="15" t="s">
        <v>561</v>
      </c>
      <c r="H10" s="15" t="s">
        <v>591</v>
      </c>
      <c r="I10" s="15" t="s">
        <v>621</v>
      </c>
      <c r="J10" s="15" t="s">
        <v>616</v>
      </c>
      <c r="K10" s="15" t="s">
        <v>677</v>
      </c>
      <c r="L10" s="15" t="s">
        <v>703</v>
      </c>
      <c r="M10" s="15" t="s">
        <v>659</v>
      </c>
      <c r="N10" s="15" t="s">
        <v>755</v>
      </c>
      <c r="O10" s="15" t="s">
        <v>17</v>
      </c>
      <c r="P10" s="16" t="s">
        <v>809</v>
      </c>
      <c r="S10" s="12"/>
      <c r="T10" s="123" t="s">
        <v>418</v>
      </c>
    </row>
    <row r="11" spans="1:20" ht="18">
      <c r="D11" s="182">
        <f>D10+1</f>
        <v>2</v>
      </c>
      <c r="E11" s="15" t="s">
        <v>508</v>
      </c>
      <c r="F11" s="15" t="s">
        <v>539</v>
      </c>
      <c r="G11" s="15" t="s">
        <v>562</v>
      </c>
      <c r="H11" s="15" t="s">
        <v>592</v>
      </c>
      <c r="I11" s="15" t="s">
        <v>622</v>
      </c>
      <c r="J11" s="15" t="s">
        <v>649</v>
      </c>
      <c r="K11" s="15" t="s">
        <v>678</v>
      </c>
      <c r="L11" s="15" t="s">
        <v>704</v>
      </c>
      <c r="M11" s="15" t="s">
        <v>727</v>
      </c>
      <c r="N11" s="15" t="s">
        <v>756</v>
      </c>
      <c r="O11" s="15" t="s">
        <v>786</v>
      </c>
      <c r="P11" s="16" t="s">
        <v>810</v>
      </c>
      <c r="S11" s="12"/>
      <c r="T11" s="123" t="s">
        <v>419</v>
      </c>
    </row>
    <row r="12" spans="1:20" ht="18">
      <c r="D12" s="182">
        <f t="shared" ref="D12:D40" si="1">D11+1</f>
        <v>3</v>
      </c>
      <c r="E12" s="15" t="s">
        <v>509</v>
      </c>
      <c r="F12" s="15" t="s">
        <v>540</v>
      </c>
      <c r="G12" s="15" t="s">
        <v>563</v>
      </c>
      <c r="H12" s="15" t="s">
        <v>593</v>
      </c>
      <c r="I12" s="15" t="s">
        <v>623</v>
      </c>
      <c r="J12" s="15" t="s">
        <v>650</v>
      </c>
      <c r="K12" s="15" t="s">
        <v>679</v>
      </c>
      <c r="L12" s="15" t="s">
        <v>513</v>
      </c>
      <c r="M12" s="15" t="s">
        <v>728</v>
      </c>
      <c r="N12" s="15" t="s">
        <v>757</v>
      </c>
      <c r="O12" s="15" t="s">
        <v>787</v>
      </c>
      <c r="P12" s="16" t="s">
        <v>755</v>
      </c>
      <c r="S12" s="12"/>
      <c r="T12" s="123" t="s">
        <v>420</v>
      </c>
    </row>
    <row r="13" spans="1:20" ht="18">
      <c r="D13" s="182">
        <f t="shared" si="1"/>
        <v>4</v>
      </c>
      <c r="E13" s="15" t="s">
        <v>510</v>
      </c>
      <c r="F13" s="15" t="s">
        <v>541</v>
      </c>
      <c r="G13" s="15" t="s">
        <v>564</v>
      </c>
      <c r="H13" s="15" t="s">
        <v>594</v>
      </c>
      <c r="I13" s="15" t="s">
        <v>624</v>
      </c>
      <c r="J13" s="15" t="s">
        <v>651</v>
      </c>
      <c r="K13" s="15" t="s">
        <v>680</v>
      </c>
      <c r="L13" s="15" t="s">
        <v>705</v>
      </c>
      <c r="M13" s="15" t="s">
        <v>729</v>
      </c>
      <c r="N13" s="15" t="s">
        <v>758</v>
      </c>
      <c r="O13" s="15" t="s">
        <v>786</v>
      </c>
      <c r="P13" s="16" t="s">
        <v>811</v>
      </c>
      <c r="T13" s="123" t="s">
        <v>421</v>
      </c>
    </row>
    <row r="14" spans="1:20" ht="18">
      <c r="D14" s="182">
        <f t="shared" si="1"/>
        <v>5</v>
      </c>
      <c r="E14" s="15" t="s">
        <v>511</v>
      </c>
      <c r="F14" s="15" t="s">
        <v>542</v>
      </c>
      <c r="G14" s="15" t="s">
        <v>565</v>
      </c>
      <c r="H14" s="15" t="s">
        <v>595</v>
      </c>
      <c r="I14" s="15" t="s">
        <v>625</v>
      </c>
      <c r="J14" s="15" t="s">
        <v>652</v>
      </c>
      <c r="K14" s="15" t="s">
        <v>681</v>
      </c>
      <c r="L14" s="15" t="s">
        <v>706</v>
      </c>
      <c r="M14" s="15" t="s">
        <v>730</v>
      </c>
      <c r="N14" s="15" t="s">
        <v>759</v>
      </c>
      <c r="O14" s="15" t="s">
        <v>17</v>
      </c>
      <c r="P14" s="16" t="s">
        <v>812</v>
      </c>
      <c r="T14" s="123" t="s">
        <v>422</v>
      </c>
    </row>
    <row r="15" spans="1:20">
      <c r="D15" s="182">
        <f t="shared" si="1"/>
        <v>6</v>
      </c>
      <c r="E15" s="15" t="s">
        <v>512</v>
      </c>
      <c r="F15" s="15" t="s">
        <v>543</v>
      </c>
      <c r="G15" s="15" t="s">
        <v>566</v>
      </c>
      <c r="H15" s="15" t="s">
        <v>596</v>
      </c>
      <c r="I15" s="15" t="s">
        <v>626</v>
      </c>
      <c r="J15" s="15" t="s">
        <v>653</v>
      </c>
      <c r="K15" s="15" t="s">
        <v>682</v>
      </c>
      <c r="L15" s="15" t="s">
        <v>707</v>
      </c>
      <c r="M15" s="15" t="s">
        <v>731</v>
      </c>
      <c r="N15" s="15" t="s">
        <v>760</v>
      </c>
      <c r="O15" s="15" t="s">
        <v>785</v>
      </c>
      <c r="P15" s="16" t="s">
        <v>813</v>
      </c>
    </row>
    <row r="16" spans="1:20">
      <c r="D16" s="182">
        <f t="shared" si="1"/>
        <v>7</v>
      </c>
      <c r="E16" s="15" t="s">
        <v>513</v>
      </c>
      <c r="F16" s="15" t="s">
        <v>544</v>
      </c>
      <c r="G16" s="15" t="s">
        <v>567</v>
      </c>
      <c r="H16" s="15" t="s">
        <v>597</v>
      </c>
      <c r="I16" s="15" t="s">
        <v>627</v>
      </c>
      <c r="J16" s="15" t="s">
        <v>654</v>
      </c>
      <c r="K16" s="15" t="s">
        <v>683</v>
      </c>
      <c r="L16" s="15" t="s">
        <v>708</v>
      </c>
      <c r="M16" s="15" t="s">
        <v>732</v>
      </c>
      <c r="N16" s="15" t="s">
        <v>761</v>
      </c>
      <c r="O16" s="15" t="s">
        <v>784</v>
      </c>
      <c r="P16" s="16" t="s">
        <v>814</v>
      </c>
    </row>
    <row r="17" spans="4:16">
      <c r="D17" s="182">
        <f t="shared" si="1"/>
        <v>8</v>
      </c>
      <c r="E17" s="15" t="s">
        <v>514</v>
      </c>
      <c r="F17" s="15" t="s">
        <v>545</v>
      </c>
      <c r="G17" s="15" t="s">
        <v>568</v>
      </c>
      <c r="H17" s="15" t="s">
        <v>598</v>
      </c>
      <c r="I17" s="15" t="s">
        <v>628</v>
      </c>
      <c r="J17" s="15" t="s">
        <v>655</v>
      </c>
      <c r="K17" s="15" t="s">
        <v>684</v>
      </c>
      <c r="L17" s="15" t="s">
        <v>709</v>
      </c>
      <c r="M17" s="15" t="s">
        <v>733</v>
      </c>
      <c r="N17" s="15" t="s">
        <v>762</v>
      </c>
      <c r="O17" s="15" t="s">
        <v>788</v>
      </c>
      <c r="P17" s="16" t="s">
        <v>815</v>
      </c>
    </row>
    <row r="18" spans="4:16">
      <c r="D18" s="182">
        <f t="shared" si="1"/>
        <v>9</v>
      </c>
      <c r="E18" s="15" t="s">
        <v>515</v>
      </c>
      <c r="F18" s="15" t="s">
        <v>546</v>
      </c>
      <c r="G18" s="15" t="s">
        <v>569</v>
      </c>
      <c r="H18" s="15" t="s">
        <v>599</v>
      </c>
      <c r="I18" s="15" t="s">
        <v>629</v>
      </c>
      <c r="J18" s="15" t="s">
        <v>656</v>
      </c>
      <c r="K18" s="15" t="s">
        <v>685</v>
      </c>
      <c r="L18" s="15" t="s">
        <v>710</v>
      </c>
      <c r="M18" s="15" t="s">
        <v>734</v>
      </c>
      <c r="N18" s="15" t="s">
        <v>763</v>
      </c>
      <c r="O18" s="15" t="s">
        <v>782</v>
      </c>
      <c r="P18" s="16" t="s">
        <v>816</v>
      </c>
    </row>
    <row r="19" spans="4:16">
      <c r="D19" s="182">
        <f t="shared" si="1"/>
        <v>10</v>
      </c>
      <c r="E19" s="15" t="s">
        <v>516</v>
      </c>
      <c r="F19" s="15" t="s">
        <v>547</v>
      </c>
      <c r="G19" s="15" t="s">
        <v>570</v>
      </c>
      <c r="H19" s="15" t="s">
        <v>600</v>
      </c>
      <c r="I19" s="15" t="s">
        <v>630</v>
      </c>
      <c r="J19" s="15" t="s">
        <v>657</v>
      </c>
      <c r="K19" s="15" t="s">
        <v>686</v>
      </c>
      <c r="L19" s="15" t="s">
        <v>586</v>
      </c>
      <c r="M19" s="15" t="s">
        <v>643</v>
      </c>
      <c r="N19" s="15" t="s">
        <v>764</v>
      </c>
      <c r="O19" s="15" t="s">
        <v>789</v>
      </c>
      <c r="P19" s="16" t="s">
        <v>817</v>
      </c>
    </row>
    <row r="20" spans="4:16">
      <c r="D20" s="182">
        <f t="shared" si="1"/>
        <v>11</v>
      </c>
      <c r="E20" s="15" t="s">
        <v>517</v>
      </c>
      <c r="F20" s="15" t="s">
        <v>547</v>
      </c>
      <c r="G20" s="15" t="s">
        <v>523</v>
      </c>
      <c r="H20" s="15" t="s">
        <v>601</v>
      </c>
      <c r="I20" s="15" t="s">
        <v>631</v>
      </c>
      <c r="J20" s="15" t="s">
        <v>658</v>
      </c>
      <c r="K20" s="15" t="s">
        <v>687</v>
      </c>
      <c r="L20" s="15" t="s">
        <v>711</v>
      </c>
      <c r="M20" s="15" t="s">
        <v>735</v>
      </c>
      <c r="N20" s="15" t="s">
        <v>765</v>
      </c>
      <c r="O20" s="15" t="s">
        <v>790</v>
      </c>
      <c r="P20" s="16" t="s">
        <v>818</v>
      </c>
    </row>
    <row r="21" spans="4:16">
      <c r="D21" s="182">
        <f t="shared" si="1"/>
        <v>12</v>
      </c>
      <c r="E21" s="15" t="s">
        <v>518</v>
      </c>
      <c r="F21" s="15" t="s">
        <v>547</v>
      </c>
      <c r="G21" s="15" t="s">
        <v>571</v>
      </c>
      <c r="H21" s="15" t="s">
        <v>602</v>
      </c>
      <c r="I21" s="15" t="s">
        <v>632</v>
      </c>
      <c r="J21" s="15" t="s">
        <v>606</v>
      </c>
      <c r="K21" s="15" t="s">
        <v>688</v>
      </c>
      <c r="L21" s="15" t="s">
        <v>684</v>
      </c>
      <c r="M21" s="15" t="s">
        <v>736</v>
      </c>
      <c r="N21" s="15" t="s">
        <v>766</v>
      </c>
      <c r="O21" s="15" t="s">
        <v>791</v>
      </c>
      <c r="P21" s="16" t="s">
        <v>819</v>
      </c>
    </row>
    <row r="22" spans="4:16">
      <c r="D22" s="182">
        <f t="shared" si="1"/>
        <v>13</v>
      </c>
      <c r="E22" s="15" t="s">
        <v>519</v>
      </c>
      <c r="F22" s="15" t="s">
        <v>546</v>
      </c>
      <c r="G22" s="15" t="s">
        <v>572</v>
      </c>
      <c r="H22" s="15" t="s">
        <v>603</v>
      </c>
      <c r="I22" s="15" t="s">
        <v>633</v>
      </c>
      <c r="J22" s="15" t="s">
        <v>659</v>
      </c>
      <c r="K22" s="15" t="s">
        <v>512</v>
      </c>
      <c r="L22" s="15" t="s">
        <v>712</v>
      </c>
      <c r="M22" s="15" t="s">
        <v>737</v>
      </c>
      <c r="N22" s="15" t="s">
        <v>767</v>
      </c>
      <c r="O22" s="15" t="s">
        <v>792</v>
      </c>
      <c r="P22" s="16" t="s">
        <v>820</v>
      </c>
    </row>
    <row r="23" spans="4:16">
      <c r="D23" s="182">
        <f t="shared" si="1"/>
        <v>14</v>
      </c>
      <c r="E23" s="15" t="s">
        <v>520</v>
      </c>
      <c r="F23" s="15" t="s">
        <v>545</v>
      </c>
      <c r="G23" s="15" t="s">
        <v>573</v>
      </c>
      <c r="H23" s="15" t="s">
        <v>604</v>
      </c>
      <c r="I23" s="15" t="s">
        <v>633</v>
      </c>
      <c r="J23" s="15" t="s">
        <v>660</v>
      </c>
      <c r="K23" s="15" t="s">
        <v>689</v>
      </c>
      <c r="L23" s="15" t="s">
        <v>713</v>
      </c>
      <c r="M23" s="15" t="s">
        <v>738</v>
      </c>
      <c r="N23" s="15" t="s">
        <v>768</v>
      </c>
      <c r="O23" s="15" t="s">
        <v>793</v>
      </c>
      <c r="P23" s="16" t="s">
        <v>821</v>
      </c>
    </row>
    <row r="24" spans="4:16">
      <c r="D24" s="182">
        <f t="shared" si="1"/>
        <v>15</v>
      </c>
      <c r="E24" s="15" t="s">
        <v>521</v>
      </c>
      <c r="F24" s="15" t="s">
        <v>544</v>
      </c>
      <c r="G24" s="15" t="s">
        <v>574</v>
      </c>
      <c r="H24" s="15" t="s">
        <v>605</v>
      </c>
      <c r="I24" s="15" t="s">
        <v>633</v>
      </c>
      <c r="J24" s="15" t="s">
        <v>661</v>
      </c>
      <c r="K24" s="15" t="s">
        <v>690</v>
      </c>
      <c r="L24" s="15" t="s">
        <v>714</v>
      </c>
      <c r="M24" s="15" t="s">
        <v>739</v>
      </c>
      <c r="N24" s="15" t="s">
        <v>769</v>
      </c>
      <c r="O24" s="15" t="s">
        <v>794</v>
      </c>
      <c r="P24" s="16" t="s">
        <v>822</v>
      </c>
    </row>
    <row r="25" spans="4:16">
      <c r="D25" s="182">
        <f t="shared" si="1"/>
        <v>16</v>
      </c>
      <c r="E25" s="15" t="s">
        <v>522</v>
      </c>
      <c r="F25" s="15" t="s">
        <v>548</v>
      </c>
      <c r="G25" s="15" t="s">
        <v>575</v>
      </c>
      <c r="H25" s="15" t="s">
        <v>606</v>
      </c>
      <c r="I25" s="15" t="s">
        <v>632</v>
      </c>
      <c r="J25" s="15" t="s">
        <v>662</v>
      </c>
      <c r="K25" s="15" t="s">
        <v>691</v>
      </c>
      <c r="L25" s="15" t="s">
        <v>715</v>
      </c>
      <c r="M25" s="15" t="s">
        <v>740</v>
      </c>
      <c r="N25" s="15" t="s">
        <v>770</v>
      </c>
      <c r="O25" s="15" t="s">
        <v>795</v>
      </c>
      <c r="P25" s="16" t="s">
        <v>823</v>
      </c>
    </row>
    <row r="26" spans="4:16">
      <c r="D26" s="182">
        <f t="shared" si="1"/>
        <v>17</v>
      </c>
      <c r="E26" s="15" t="s">
        <v>523</v>
      </c>
      <c r="F26" s="15" t="s">
        <v>549</v>
      </c>
      <c r="G26" s="15" t="s">
        <v>576</v>
      </c>
      <c r="H26" s="15" t="s">
        <v>607</v>
      </c>
      <c r="I26" s="15" t="s">
        <v>634</v>
      </c>
      <c r="J26" s="15" t="s">
        <v>663</v>
      </c>
      <c r="K26" s="15" t="s">
        <v>692</v>
      </c>
      <c r="L26" s="15" t="s">
        <v>716</v>
      </c>
      <c r="M26" s="15" t="s">
        <v>741</v>
      </c>
      <c r="N26" s="15" t="s">
        <v>771</v>
      </c>
      <c r="O26" s="15" t="s">
        <v>796</v>
      </c>
      <c r="P26" s="16" t="s">
        <v>824</v>
      </c>
    </row>
    <row r="27" spans="4:16">
      <c r="D27" s="182">
        <f t="shared" si="1"/>
        <v>18</v>
      </c>
      <c r="E27" s="15" t="s">
        <v>524</v>
      </c>
      <c r="F27" s="15" t="s">
        <v>550</v>
      </c>
      <c r="G27" s="15" t="s">
        <v>577</v>
      </c>
      <c r="H27" s="15" t="s">
        <v>608</v>
      </c>
      <c r="I27" s="15" t="s">
        <v>635</v>
      </c>
      <c r="J27" s="15" t="s">
        <v>664</v>
      </c>
      <c r="K27" s="15" t="s">
        <v>693</v>
      </c>
      <c r="L27" s="15" t="s">
        <v>591</v>
      </c>
      <c r="M27" s="15" t="s">
        <v>742</v>
      </c>
      <c r="N27" s="15" t="s">
        <v>772</v>
      </c>
      <c r="O27" s="15" t="s">
        <v>797</v>
      </c>
      <c r="P27" s="16" t="s">
        <v>628</v>
      </c>
    </row>
    <row r="28" spans="4:16">
      <c r="D28" s="182">
        <f t="shared" si="1"/>
        <v>19</v>
      </c>
      <c r="E28" s="15" t="s">
        <v>525</v>
      </c>
      <c r="F28" s="15" t="s">
        <v>551</v>
      </c>
      <c r="G28" s="15" t="s">
        <v>578</v>
      </c>
      <c r="H28" s="15" t="s">
        <v>609</v>
      </c>
      <c r="I28" s="15" t="s">
        <v>636</v>
      </c>
      <c r="J28" s="15" t="s">
        <v>665</v>
      </c>
      <c r="K28" s="15" t="s">
        <v>583</v>
      </c>
      <c r="L28" s="15" t="s">
        <v>676</v>
      </c>
      <c r="M28" s="15" t="s">
        <v>743</v>
      </c>
      <c r="N28" s="15" t="s">
        <v>773</v>
      </c>
      <c r="O28" s="15" t="s">
        <v>798</v>
      </c>
      <c r="P28" s="16" t="s">
        <v>825</v>
      </c>
    </row>
    <row r="29" spans="4:16">
      <c r="D29" s="182">
        <f t="shared" si="1"/>
        <v>20</v>
      </c>
      <c r="E29" s="15" t="s">
        <v>526</v>
      </c>
      <c r="F29" s="15" t="s">
        <v>552</v>
      </c>
      <c r="G29" s="15" t="s">
        <v>579</v>
      </c>
      <c r="H29" s="15" t="s">
        <v>610</v>
      </c>
      <c r="I29" s="15" t="s">
        <v>637</v>
      </c>
      <c r="J29" s="15" t="s">
        <v>666</v>
      </c>
      <c r="K29" s="15" t="s">
        <v>694</v>
      </c>
      <c r="L29" s="15" t="s">
        <v>717</v>
      </c>
      <c r="M29" s="15" t="s">
        <v>744</v>
      </c>
      <c r="N29" s="15" t="s">
        <v>774</v>
      </c>
      <c r="O29" s="15" t="s">
        <v>799</v>
      </c>
      <c r="P29" s="16" t="s">
        <v>826</v>
      </c>
    </row>
    <row r="30" spans="4:16">
      <c r="D30" s="182">
        <f>D29+1</f>
        <v>21</v>
      </c>
      <c r="E30" s="15" t="s">
        <v>527</v>
      </c>
      <c r="F30" s="15" t="s">
        <v>553</v>
      </c>
      <c r="G30" s="15" t="s">
        <v>580</v>
      </c>
      <c r="H30" s="15" t="s">
        <v>611</v>
      </c>
      <c r="I30" s="15" t="s">
        <v>638</v>
      </c>
      <c r="J30" s="15" t="s">
        <v>667</v>
      </c>
      <c r="K30" s="15" t="s">
        <v>695</v>
      </c>
      <c r="L30" s="15" t="s">
        <v>718</v>
      </c>
      <c r="M30" s="15" t="s">
        <v>745</v>
      </c>
      <c r="N30" s="15" t="s">
        <v>775</v>
      </c>
      <c r="O30" s="15" t="s">
        <v>769</v>
      </c>
      <c r="P30" s="16" t="s">
        <v>649</v>
      </c>
    </row>
    <row r="31" spans="4:16">
      <c r="D31" s="182">
        <f t="shared" si="1"/>
        <v>22</v>
      </c>
      <c r="E31" s="15" t="s">
        <v>528</v>
      </c>
      <c r="F31" s="15" t="s">
        <v>554</v>
      </c>
      <c r="G31" s="15" t="s">
        <v>581</v>
      </c>
      <c r="H31" s="15" t="s">
        <v>612</v>
      </c>
      <c r="I31" s="15" t="s">
        <v>639</v>
      </c>
      <c r="J31" s="15" t="s">
        <v>668</v>
      </c>
      <c r="K31" s="15" t="s">
        <v>696</v>
      </c>
      <c r="L31" s="15" t="s">
        <v>719</v>
      </c>
      <c r="M31" s="15" t="s">
        <v>746</v>
      </c>
      <c r="N31" s="15" t="s">
        <v>776</v>
      </c>
      <c r="O31" s="15" t="s">
        <v>800</v>
      </c>
      <c r="P31" s="16" t="s">
        <v>652</v>
      </c>
    </row>
    <row r="32" spans="4:16">
      <c r="D32" s="182">
        <f t="shared" si="1"/>
        <v>23</v>
      </c>
      <c r="E32" s="15" t="s">
        <v>529</v>
      </c>
      <c r="F32" s="15" t="s">
        <v>555</v>
      </c>
      <c r="G32" s="15" t="s">
        <v>582</v>
      </c>
      <c r="H32" s="15" t="s">
        <v>613</v>
      </c>
      <c r="I32" s="15" t="s">
        <v>640</v>
      </c>
      <c r="J32" s="15" t="s">
        <v>669</v>
      </c>
      <c r="K32" s="15" t="s">
        <v>697</v>
      </c>
      <c r="L32" s="15" t="s">
        <v>720</v>
      </c>
      <c r="M32" s="15" t="s">
        <v>747</v>
      </c>
      <c r="N32" s="15" t="s">
        <v>777</v>
      </c>
      <c r="O32" s="15" t="s">
        <v>801</v>
      </c>
      <c r="P32" s="16" t="s">
        <v>827</v>
      </c>
    </row>
    <row r="33" spans="4:16">
      <c r="D33" s="182">
        <f>D32+1</f>
        <v>24</v>
      </c>
      <c r="E33" s="15" t="s">
        <v>530</v>
      </c>
      <c r="F33" s="15" t="s">
        <v>556</v>
      </c>
      <c r="G33" s="15" t="s">
        <v>583</v>
      </c>
      <c r="H33" s="15" t="s">
        <v>614</v>
      </c>
      <c r="I33" s="15" t="s">
        <v>641</v>
      </c>
      <c r="J33" s="15" t="s">
        <v>670</v>
      </c>
      <c r="K33" s="15" t="s">
        <v>698</v>
      </c>
      <c r="L33" s="15" t="s">
        <v>670</v>
      </c>
      <c r="M33" s="15" t="s">
        <v>748</v>
      </c>
      <c r="N33" s="15" t="s">
        <v>778</v>
      </c>
      <c r="O33" s="15" t="s">
        <v>802</v>
      </c>
      <c r="P33" s="16" t="s">
        <v>828</v>
      </c>
    </row>
    <row r="34" spans="4:16">
      <c r="D34" s="182">
        <f t="shared" si="1"/>
        <v>25</v>
      </c>
      <c r="E34" s="15" t="s">
        <v>531</v>
      </c>
      <c r="F34" s="15" t="s">
        <v>557</v>
      </c>
      <c r="G34" s="15" t="s">
        <v>584</v>
      </c>
      <c r="H34" s="15" t="s">
        <v>615</v>
      </c>
      <c r="I34" s="15" t="s">
        <v>642</v>
      </c>
      <c r="J34" s="15" t="s">
        <v>671</v>
      </c>
      <c r="K34" s="15" t="s">
        <v>699</v>
      </c>
      <c r="L34" s="15" t="s">
        <v>721</v>
      </c>
      <c r="M34" s="15" t="s">
        <v>749</v>
      </c>
      <c r="N34" s="15" t="s">
        <v>779</v>
      </c>
      <c r="O34" s="15" t="s">
        <v>803</v>
      </c>
      <c r="P34" s="16" t="s">
        <v>829</v>
      </c>
    </row>
    <row r="35" spans="4:16">
      <c r="D35" s="182">
        <f t="shared" si="1"/>
        <v>26</v>
      </c>
      <c r="E35" s="15" t="s">
        <v>532</v>
      </c>
      <c r="F35" s="15" t="s">
        <v>558</v>
      </c>
      <c r="G35" s="15" t="s">
        <v>585</v>
      </c>
      <c r="H35" s="15" t="s">
        <v>616</v>
      </c>
      <c r="I35" s="15" t="s">
        <v>643</v>
      </c>
      <c r="J35" s="15" t="s">
        <v>672</v>
      </c>
      <c r="K35" s="15" t="s">
        <v>699</v>
      </c>
      <c r="L35" s="15" t="s">
        <v>722</v>
      </c>
      <c r="M35" s="15" t="s">
        <v>750</v>
      </c>
      <c r="N35" s="15" t="s">
        <v>780</v>
      </c>
      <c r="O35" s="15" t="s">
        <v>804</v>
      </c>
      <c r="P35" s="16" t="s">
        <v>661</v>
      </c>
    </row>
    <row r="36" spans="4:16">
      <c r="D36" s="182">
        <f t="shared" si="1"/>
        <v>27</v>
      </c>
      <c r="E36" s="15" t="s">
        <v>533</v>
      </c>
      <c r="F36" s="15" t="s">
        <v>559</v>
      </c>
      <c r="G36" s="15" t="s">
        <v>586</v>
      </c>
      <c r="H36" s="15" t="s">
        <v>617</v>
      </c>
      <c r="I36" s="15" t="s">
        <v>644</v>
      </c>
      <c r="J36" s="15" t="s">
        <v>673</v>
      </c>
      <c r="K36" s="15" t="s">
        <v>699</v>
      </c>
      <c r="L36" s="15" t="s">
        <v>723</v>
      </c>
      <c r="M36" s="15" t="s">
        <v>751</v>
      </c>
      <c r="N36" s="15" t="s">
        <v>781</v>
      </c>
      <c r="O36" s="15" t="s">
        <v>805</v>
      </c>
      <c r="P36" s="16" t="s">
        <v>830</v>
      </c>
    </row>
    <row r="37" spans="4:16">
      <c r="D37" s="182">
        <f t="shared" si="1"/>
        <v>28</v>
      </c>
      <c r="E37" s="15" t="s">
        <v>534</v>
      </c>
      <c r="F37" s="15" t="s">
        <v>560</v>
      </c>
      <c r="G37" s="15" t="s">
        <v>587</v>
      </c>
      <c r="H37" s="15" t="s">
        <v>618</v>
      </c>
      <c r="I37" s="15" t="s">
        <v>645</v>
      </c>
      <c r="J37" s="15" t="s">
        <v>674</v>
      </c>
      <c r="K37" s="15" t="s">
        <v>698</v>
      </c>
      <c r="L37" s="15" t="s">
        <v>724</v>
      </c>
      <c r="M37" s="15" t="s">
        <v>752</v>
      </c>
      <c r="N37" s="15" t="s">
        <v>782</v>
      </c>
      <c r="O37" s="15" t="s">
        <v>806</v>
      </c>
      <c r="P37" s="16" t="s">
        <v>831</v>
      </c>
    </row>
    <row r="38" spans="4:16">
      <c r="D38" s="182">
        <f t="shared" si="1"/>
        <v>29</v>
      </c>
      <c r="E38" s="15" t="s">
        <v>535</v>
      </c>
      <c r="F38" s="15"/>
      <c r="G38" s="15" t="s">
        <v>588</v>
      </c>
      <c r="H38" s="15" t="s">
        <v>619</v>
      </c>
      <c r="I38" s="15" t="s">
        <v>646</v>
      </c>
      <c r="J38" s="15" t="s">
        <v>675</v>
      </c>
      <c r="K38" s="15" t="s">
        <v>700</v>
      </c>
      <c r="L38" s="15" t="s">
        <v>725</v>
      </c>
      <c r="M38" s="15" t="s">
        <v>753</v>
      </c>
      <c r="N38" s="15" t="s">
        <v>783</v>
      </c>
      <c r="O38" s="15" t="s">
        <v>807</v>
      </c>
      <c r="P38" s="16" t="s">
        <v>832</v>
      </c>
    </row>
    <row r="39" spans="4:16">
      <c r="D39" s="182">
        <f>D38+1</f>
        <v>30</v>
      </c>
      <c r="E39" s="15" t="s">
        <v>536</v>
      </c>
      <c r="F39" s="15"/>
      <c r="G39" s="15" t="s">
        <v>589</v>
      </c>
      <c r="H39" s="15" t="s">
        <v>620</v>
      </c>
      <c r="I39" s="15" t="s">
        <v>647</v>
      </c>
      <c r="J39" s="15" t="s">
        <v>676</v>
      </c>
      <c r="K39" s="15" t="s">
        <v>701</v>
      </c>
      <c r="L39" s="15" t="s">
        <v>662</v>
      </c>
      <c r="M39" s="15" t="s">
        <v>754</v>
      </c>
      <c r="N39" s="15" t="s">
        <v>784</v>
      </c>
      <c r="O39" s="15" t="s">
        <v>808</v>
      </c>
      <c r="P39" s="16" t="s">
        <v>670</v>
      </c>
    </row>
    <row r="40" spans="4:16" ht="15.75" thickBot="1">
      <c r="D40" s="183">
        <f t="shared" si="1"/>
        <v>31</v>
      </c>
      <c r="E40" s="17" t="s">
        <v>537</v>
      </c>
      <c r="F40" s="17"/>
      <c r="G40" s="17" t="s">
        <v>590</v>
      </c>
      <c r="H40" s="17"/>
      <c r="I40" s="17" t="s">
        <v>648</v>
      </c>
      <c r="J40" s="17"/>
      <c r="K40" s="17" t="s">
        <v>702</v>
      </c>
      <c r="L40" s="17" t="s">
        <v>726</v>
      </c>
      <c r="M40" s="17"/>
      <c r="N40" s="17" t="s">
        <v>785</v>
      </c>
      <c r="O40" s="17"/>
      <c r="P40" s="18" t="s">
        <v>833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EQT_Click">
                <anchor moveWithCells="1">
                  <from>
                    <xdr:col>5</xdr:col>
                    <xdr:colOff>209550</xdr:colOff>
                    <xdr:row>5</xdr:row>
                    <xdr:rowOff>0</xdr:rowOff>
                  </from>
                  <to>
                    <xdr:col>7</xdr:col>
                    <xdr:colOff>85725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Option Button 3">
              <controlPr defaultSize="0" autoFill="0" autoLine="0" autoPict="0" altText="Iranian Calendar">
                <anchor moveWithCells="1">
                  <from>
                    <xdr:col>5</xdr:col>
                    <xdr:colOff>9525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Option Button 4">
              <controlPr defaultSize="0" autoFill="0" autoLine="0" autoPict="0">
                <anchor moveWithCells="1">
                  <from>
                    <xdr:col>5</xdr:col>
                    <xdr:colOff>9525</xdr:colOff>
                    <xdr:row>2</xdr:row>
                    <xdr:rowOff>171450</xdr:rowOff>
                  </from>
                  <to>
                    <xdr:col>6</xdr:col>
                    <xdr:colOff>390525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7" name="List Box 8">
              <controlPr defaultSize="0" autoLine="0" autoPict="0">
                <anchor moveWithCells="1">
                  <from>
                    <xdr:col>2</xdr:col>
                    <xdr:colOff>85725</xdr:colOff>
                    <xdr:row>1</xdr:row>
                    <xdr:rowOff>238125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8" name="List Box 9">
              <controlPr defaultSize="0" autoLine="0" autoPict="0">
                <anchor moveWithCells="1">
                  <from>
                    <xdr:col>8</xdr:col>
                    <xdr:colOff>28575</xdr:colOff>
                    <xdr:row>2</xdr:row>
                    <xdr:rowOff>0</xdr:rowOff>
                  </from>
                  <to>
                    <xdr:col>9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9" name="List Box 12">
              <controlPr defaultSize="0" autoLine="0" autoPict="0">
                <anchor moveWithCells="1">
                  <from>
                    <xdr:col>10</xdr:col>
                    <xdr:colOff>552450</xdr:colOff>
                    <xdr:row>2</xdr:row>
                    <xdr:rowOff>19050</xdr:rowOff>
                  </from>
                  <to>
                    <xdr:col>13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0" name="Button 13">
              <controlPr defaultSize="0" print="0" autoFill="0" autoPict="0" macro="[0]!PolarGnom">
                <anchor moveWithCells="1" sizeWithCells="1">
                  <from>
                    <xdr:col>10</xdr:col>
                    <xdr:colOff>542925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9A1D9-D7BB-465F-8FFA-790CD8ABE083}">
  <sheetPr codeName="Sheet12"/>
  <dimension ref="A1:P132"/>
  <sheetViews>
    <sheetView workbookViewId="0"/>
  </sheetViews>
  <sheetFormatPr defaultRowHeight="15"/>
  <cols>
    <col min="1" max="1" width="9.140625" style="2"/>
    <col min="2" max="3" width="10.5703125" style="2" bestFit="1" customWidth="1"/>
    <col min="4" max="4" width="10.7109375" style="2" customWidth="1"/>
    <col min="5" max="5" width="10.140625" style="2" customWidth="1"/>
    <col min="6" max="7" width="10.7109375" style="2" customWidth="1"/>
    <col min="8" max="8" width="11" style="2" customWidth="1"/>
    <col min="9" max="11" width="10.140625" style="2" customWidth="1"/>
    <col min="12" max="12" width="11" style="2" customWidth="1"/>
    <col min="13" max="15" width="10.140625" style="2" customWidth="1"/>
    <col min="16" max="16" width="11.28515625" style="2" customWidth="1"/>
  </cols>
  <sheetData>
    <row r="1" spans="1:16">
      <c r="B1" s="9" t="s">
        <v>393</v>
      </c>
      <c r="C1" s="11" t="str">
        <f>Enter!B2</f>
        <v>Tehran</v>
      </c>
      <c r="D1" s="9" t="s">
        <v>403</v>
      </c>
      <c r="E1" s="11">
        <f>Enter!I2</f>
        <v>2022</v>
      </c>
      <c r="F1" s="9" t="str">
        <f>IF(Enter!G6=1,"Iranian","Gregory")</f>
        <v>Gregory</v>
      </c>
    </row>
    <row r="2" spans="1:16">
      <c r="B2" s="9" t="s">
        <v>394</v>
      </c>
      <c r="C2" s="9" t="s">
        <v>389</v>
      </c>
      <c r="D2" s="9" t="s">
        <v>395</v>
      </c>
      <c r="E2" s="9" t="s">
        <v>396</v>
      </c>
    </row>
    <row r="3" spans="1:16" s="2" customFormat="1">
      <c r="B3" s="11">
        <f>Enter!B3</f>
        <v>51.3797</v>
      </c>
      <c r="C3" s="11">
        <f>Enter!B4</f>
        <v>35.7029</v>
      </c>
      <c r="D3" s="11">
        <f>Enter!B5</f>
        <v>1210</v>
      </c>
      <c r="E3" s="11">
        <f>Enter!B6</f>
        <v>3.5</v>
      </c>
    </row>
    <row r="4" spans="1:16" s="2" customFormat="1" ht="15.75" thickBot="1">
      <c r="B4" s="185" t="s">
        <v>423</v>
      </c>
      <c r="C4" s="185"/>
      <c r="F4" s="185" t="s">
        <v>424</v>
      </c>
      <c r="G4" s="185"/>
      <c r="J4" s="185" t="s">
        <v>425</v>
      </c>
      <c r="K4" s="185"/>
      <c r="N4" s="185" t="s">
        <v>426</v>
      </c>
      <c r="O4" s="185"/>
    </row>
    <row r="5" spans="1:16">
      <c r="A5" s="126" t="s">
        <v>404</v>
      </c>
      <c r="B5" s="127" t="s">
        <v>0</v>
      </c>
      <c r="C5" s="127" t="s">
        <v>427</v>
      </c>
      <c r="D5" s="128" t="s">
        <v>428</v>
      </c>
      <c r="E5" s="126" t="s">
        <v>404</v>
      </c>
      <c r="F5" s="127" t="s">
        <v>0</v>
      </c>
      <c r="G5" s="127" t="s">
        <v>427</v>
      </c>
      <c r="H5" s="128" t="s">
        <v>428</v>
      </c>
      <c r="I5" s="126" t="s">
        <v>404</v>
      </c>
      <c r="J5" s="127" t="s">
        <v>0</v>
      </c>
      <c r="K5" s="127" t="s">
        <v>427</v>
      </c>
      <c r="L5" s="128" t="s">
        <v>428</v>
      </c>
      <c r="M5" s="126" t="s">
        <v>404</v>
      </c>
      <c r="N5" s="127" t="s">
        <v>0</v>
      </c>
      <c r="O5" s="127" t="s">
        <v>427</v>
      </c>
      <c r="P5" s="128" t="s">
        <v>428</v>
      </c>
    </row>
    <row r="6" spans="1:16" ht="17.25" customHeight="1">
      <c r="A6" s="14">
        <v>3</v>
      </c>
      <c r="B6" s="2">
        <v>20</v>
      </c>
      <c r="C6" s="2">
        <v>19</v>
      </c>
      <c r="D6" s="20">
        <v>2.0850022002638013</v>
      </c>
      <c r="E6" s="14">
        <v>6</v>
      </c>
      <c r="F6" s="2">
        <v>21</v>
      </c>
      <c r="G6" s="2">
        <v>12</v>
      </c>
      <c r="H6" s="20">
        <v>42.500160241862588</v>
      </c>
      <c r="I6" s="14">
        <v>9</v>
      </c>
      <c r="J6" s="2">
        <v>23</v>
      </c>
      <c r="K6" s="2">
        <v>4</v>
      </c>
      <c r="L6" s="20">
        <v>32.870064085779234</v>
      </c>
      <c r="M6" s="2">
        <v>12</v>
      </c>
      <c r="N6" s="2">
        <v>22</v>
      </c>
      <c r="O6" s="2">
        <v>1</v>
      </c>
      <c r="P6" s="20">
        <v>16.270063137421804</v>
      </c>
    </row>
    <row r="7" spans="1:16" ht="15.75" thickBot="1">
      <c r="A7" s="86" t="s">
        <v>429</v>
      </c>
      <c r="B7" s="27" t="s">
        <v>430</v>
      </c>
      <c r="C7" s="27" t="s">
        <v>395</v>
      </c>
      <c r="D7" s="28" t="s">
        <v>408</v>
      </c>
      <c r="E7" s="86" t="s">
        <v>429</v>
      </c>
      <c r="F7" s="27" t="s">
        <v>430</v>
      </c>
      <c r="G7" s="27" t="s">
        <v>395</v>
      </c>
      <c r="H7" s="28" t="s">
        <v>408</v>
      </c>
      <c r="I7" s="86" t="s">
        <v>429</v>
      </c>
      <c r="J7" s="27" t="s">
        <v>430</v>
      </c>
      <c r="K7" s="27" t="s">
        <v>395</v>
      </c>
      <c r="L7" s="28" t="s">
        <v>408</v>
      </c>
      <c r="M7" s="86" t="s">
        <v>429</v>
      </c>
      <c r="N7" s="27" t="s">
        <v>430</v>
      </c>
      <c r="O7" s="27" t="s">
        <v>395</v>
      </c>
      <c r="P7" s="28" t="s">
        <v>408</v>
      </c>
    </row>
    <row r="8" spans="1:16">
      <c r="A8" s="19">
        <v>0.25609953703703703</v>
      </c>
      <c r="B8" s="22">
        <v>89.693271448431986</v>
      </c>
      <c r="C8" s="22">
        <v>-0.25636746956086454</v>
      </c>
      <c r="D8" s="22">
        <v>-0.21307079210554278</v>
      </c>
      <c r="E8" s="19">
        <v>0.20072916666666665</v>
      </c>
      <c r="F8" s="22">
        <v>60.00667168728139</v>
      </c>
      <c r="G8" s="22">
        <v>-0.26615355970094356</v>
      </c>
      <c r="H8" s="22">
        <v>23.435862922069727</v>
      </c>
      <c r="I8" s="19">
        <v>0.24526620370370369</v>
      </c>
      <c r="J8" s="21">
        <v>89.461757900192467</v>
      </c>
      <c r="K8" s="21">
        <v>-0.25270023602819036</v>
      </c>
      <c r="L8" s="21">
        <v>-2.257244668097028E-2</v>
      </c>
      <c r="M8" s="19">
        <v>0.29928240740740741</v>
      </c>
      <c r="N8" s="21">
        <v>118.67287254978051</v>
      </c>
      <c r="O8" s="21">
        <v>-0.26664462904559738</v>
      </c>
      <c r="P8" s="21">
        <v>-23.439505034471335</v>
      </c>
    </row>
    <row r="9" spans="1:16">
      <c r="A9" s="19">
        <v>0.25832175925925926</v>
      </c>
      <c r="B9" s="22">
        <v>90.160387303421814</v>
      </c>
      <c r="C9" s="22">
        <v>0.30116090000289231</v>
      </c>
      <c r="D9" s="22">
        <v>-0.212190840828131</v>
      </c>
      <c r="E9" s="19">
        <v>0.2126851851851852</v>
      </c>
      <c r="F9" s="22">
        <v>62.49735439819429</v>
      </c>
      <c r="G9" s="22">
        <v>2.4934396796228708</v>
      </c>
      <c r="H9" s="22">
        <v>23.435945875035674</v>
      </c>
      <c r="I9" s="19">
        <v>0.24784722222222222</v>
      </c>
      <c r="J9" s="21">
        <v>90.005180133954653</v>
      </c>
      <c r="K9" s="21">
        <v>0.39433874386283452</v>
      </c>
      <c r="L9" s="21">
        <v>-2.3577395625340419E-2</v>
      </c>
      <c r="M9" s="19">
        <v>0.33539351851851856</v>
      </c>
      <c r="N9" s="21">
        <v>126.64201013129151</v>
      </c>
      <c r="O9" s="21">
        <v>8.1778107288912878</v>
      </c>
      <c r="P9" s="21">
        <v>-23.439596429116936</v>
      </c>
    </row>
    <row r="10" spans="1:16">
      <c r="A10" s="19">
        <v>0.29998842592592595</v>
      </c>
      <c r="B10" s="22">
        <v>99.03737796829536</v>
      </c>
      <c r="C10" s="22">
        <v>12.068491472703442</v>
      </c>
      <c r="D10" s="22">
        <v>-0.19572196882053444</v>
      </c>
      <c r="E10" s="19">
        <v>0.25435185185185188</v>
      </c>
      <c r="F10" s="22">
        <v>70.613026744936107</v>
      </c>
      <c r="G10" s="22">
        <v>13.489770679865231</v>
      </c>
      <c r="H10" s="22">
        <v>23.436234053412139</v>
      </c>
      <c r="I10" s="19">
        <v>0.2895138888888889</v>
      </c>
      <c r="J10" s="21">
        <v>98.907712682318177</v>
      </c>
      <c r="K10" s="21">
        <v>12.158796041898791</v>
      </c>
      <c r="L10" s="21">
        <v>-3.9795283424511226E-2</v>
      </c>
      <c r="M10" s="19">
        <v>0.37706018518518519</v>
      </c>
      <c r="N10" s="21">
        <v>137.25274368280745</v>
      </c>
      <c r="O10" s="21">
        <v>17.193337001908525</v>
      </c>
      <c r="P10" s="21">
        <v>-23.439663090076099</v>
      </c>
    </row>
    <row r="11" spans="1:16">
      <c r="A11" s="19">
        <v>0.34165509259259258</v>
      </c>
      <c r="B11" s="22">
        <v>108.76129752825891</v>
      </c>
      <c r="C11" s="22">
        <v>23.863344717158821</v>
      </c>
      <c r="D11" s="22">
        <v>-0.17925298809993911</v>
      </c>
      <c r="E11" s="19">
        <v>0.29601851851851851</v>
      </c>
      <c r="F11" s="22">
        <v>78.250912453224956</v>
      </c>
      <c r="G11" s="22">
        <v>25.185844267818876</v>
      </c>
      <c r="H11" s="22">
        <v>23.436510266509114</v>
      </c>
      <c r="I11" s="19">
        <v>0.33118055555555553</v>
      </c>
      <c r="J11" s="21">
        <v>108.65601993507121</v>
      </c>
      <c r="K11" s="21">
        <v>23.94019910572873</v>
      </c>
      <c r="L11" s="21">
        <v>-5.6013793338942013E-2</v>
      </c>
      <c r="M11" s="19">
        <v>0.41872685185185188</v>
      </c>
      <c r="N11" s="21">
        <v>149.76149236603399</v>
      </c>
      <c r="O11" s="21">
        <v>24.434982547430529</v>
      </c>
      <c r="P11" s="21">
        <v>-23.439677437911921</v>
      </c>
    </row>
    <row r="12" spans="1:16">
      <c r="A12" s="19">
        <v>0.38332175925925926</v>
      </c>
      <c r="B12" s="22">
        <v>120.39707665598338</v>
      </c>
      <c r="C12" s="22">
        <v>34.94182314864149</v>
      </c>
      <c r="D12" s="22">
        <v>-0.16278384323381498</v>
      </c>
      <c r="E12" s="19">
        <v>0.3376851851851852</v>
      </c>
      <c r="F12" s="22">
        <v>86.02522032600136</v>
      </c>
      <c r="G12" s="22">
        <v>37.22836777533125</v>
      </c>
      <c r="H12" s="22">
        <v>23.436760807645513</v>
      </c>
      <c r="I12" s="19">
        <v>0.37284722222222227</v>
      </c>
      <c r="J12" s="21">
        <v>120.31814978652736</v>
      </c>
      <c r="K12" s="21">
        <v>35.005158583424269</v>
      </c>
      <c r="L12" s="21">
        <v>-7.2232847568786757E-2</v>
      </c>
      <c r="M12" s="19">
        <v>0.46039351851851856</v>
      </c>
      <c r="N12" s="21">
        <v>164.22313535953631</v>
      </c>
      <c r="O12" s="21">
        <v>29.20491205936403</v>
      </c>
      <c r="P12" s="21">
        <v>-23.439630781808901</v>
      </c>
    </row>
    <row r="13" spans="1:16">
      <c r="A13" s="19">
        <v>0.42498842592592595</v>
      </c>
      <c r="B13" s="22">
        <v>135.41662253447186</v>
      </c>
      <c r="C13" s="22">
        <v>44.579870896203538</v>
      </c>
      <c r="D13" s="22">
        <v>-0.1463145277971942</v>
      </c>
      <c r="E13" s="19">
        <v>0.37935185185185188</v>
      </c>
      <c r="F13" s="22">
        <v>94.903933227023089</v>
      </c>
      <c r="G13" s="22">
        <v>49.388670283938382</v>
      </c>
      <c r="H13" s="22">
        <v>23.436972903105204</v>
      </c>
      <c r="I13" s="19">
        <v>0.4145138888888889</v>
      </c>
      <c r="J13" s="21">
        <v>135.36895570604807</v>
      </c>
      <c r="K13" s="21">
        <v>44.626718425421593</v>
      </c>
      <c r="L13" s="21">
        <v>-8.8452339072738861E-2</v>
      </c>
      <c r="M13" s="19">
        <v>0.50206018518518525</v>
      </c>
      <c r="N13" s="21">
        <v>179.99999991116977</v>
      </c>
      <c r="O13" s="21">
        <v>30.882234892269889</v>
      </c>
      <c r="P13" s="21">
        <v>-23.43951765845129</v>
      </c>
    </row>
    <row r="14" spans="1:16">
      <c r="A14" s="19">
        <v>0.46665509259259258</v>
      </c>
      <c r="B14" s="22">
        <v>155.40329764599588</v>
      </c>
      <c r="C14" s="22">
        <v>51.552091145228552</v>
      </c>
      <c r="D14" s="22">
        <v>-0.12984508262359479</v>
      </c>
      <c r="E14" s="19">
        <v>0.42101851851851851</v>
      </c>
      <c r="F14" s="22">
        <v>107.05587657312321</v>
      </c>
      <c r="G14" s="22">
        <v>61.335592643280187</v>
      </c>
      <c r="H14" s="22">
        <v>23.437135582964061</v>
      </c>
      <c r="I14" s="19">
        <v>0.45618055555555559</v>
      </c>
      <c r="J14" s="21">
        <v>155.38873627848309</v>
      </c>
      <c r="K14" s="21">
        <v>51.5755765879112</v>
      </c>
      <c r="L14" s="21">
        <v>-0.1046721410151135</v>
      </c>
      <c r="M14" s="19">
        <v>0.54372685185185188</v>
      </c>
      <c r="N14" s="21">
        <v>195.77694551385619</v>
      </c>
      <c r="O14" s="21">
        <v>29.205197744349238</v>
      </c>
      <c r="P14" s="21">
        <v>-23.439336204629917</v>
      </c>
    </row>
    <row r="15" spans="1:16">
      <c r="A15" s="19">
        <v>0.50832175925925926</v>
      </c>
      <c r="B15" s="22">
        <v>180.00000014791826</v>
      </c>
      <c r="C15" s="22">
        <v>54.19440648720883</v>
      </c>
      <c r="D15" s="22">
        <v>-0.1133755898516612</v>
      </c>
      <c r="E15" s="19">
        <v>0.4626851851851852</v>
      </c>
      <c r="F15" s="22">
        <v>129.28018071071892</v>
      </c>
      <c r="G15" s="22">
        <v>72.1415733786435</v>
      </c>
      <c r="H15" s="22">
        <v>23.437240429184406</v>
      </c>
      <c r="I15" s="19">
        <v>0.49784722222222227</v>
      </c>
      <c r="J15" s="21">
        <v>179.9999999489898</v>
      </c>
      <c r="K15" s="21">
        <v>54.18689290933451</v>
      </c>
      <c r="L15" s="21">
        <v>-0.12089211851748244</v>
      </c>
      <c r="M15" s="19">
        <v>0.58539351851851851</v>
      </c>
      <c r="N15" s="21">
        <v>210.23879532106872</v>
      </c>
      <c r="O15" s="21">
        <v>24.435509472657348</v>
      </c>
      <c r="P15" s="21">
        <v>-23.439088284306663</v>
      </c>
    </row>
    <row r="16" spans="1:16">
      <c r="A16" s="19">
        <v>0.54998842592592589</v>
      </c>
      <c r="B16" s="22">
        <v>204.61461658421788</v>
      </c>
      <c r="C16" s="22">
        <v>51.583076710021068</v>
      </c>
      <c r="D16" s="22">
        <v>-9.6906161850188771E-2</v>
      </c>
      <c r="E16" s="19">
        <v>0.50435185185185183</v>
      </c>
      <c r="F16" s="22">
        <v>179.9999999370595</v>
      </c>
      <c r="G16" s="22">
        <v>77.737587057469952</v>
      </c>
      <c r="H16" s="22">
        <v>23.437282149853623</v>
      </c>
      <c r="I16" s="19">
        <v>0.53951388888888896</v>
      </c>
      <c r="J16" s="21">
        <v>204.5936259858388</v>
      </c>
      <c r="K16" s="21">
        <v>51.545059836214953</v>
      </c>
      <c r="L16" s="21">
        <v>-0.13711214323491558</v>
      </c>
      <c r="M16" s="19">
        <v>0.62706018518518525</v>
      </c>
      <c r="N16" s="21">
        <v>222.74781078664682</v>
      </c>
      <c r="O16" s="21">
        <v>17.194042327691914</v>
      </c>
      <c r="P16" s="21">
        <v>-23.438779361441636</v>
      </c>
    </row>
    <row r="17" spans="1:16">
      <c r="A17" s="19">
        <v>0.59165509259259264</v>
      </c>
      <c r="B17" s="22">
        <v>224.63613814944773</v>
      </c>
      <c r="C17" s="22">
        <v>44.63395540542983</v>
      </c>
      <c r="D17" s="22">
        <v>-8.0436929331032705E-2</v>
      </c>
      <c r="E17" s="19">
        <v>0.54601851851851857</v>
      </c>
      <c r="F17" s="22">
        <v>230.7198610648168</v>
      </c>
      <c r="G17" s="22">
        <v>72.141586734565351</v>
      </c>
      <c r="H17" s="22">
        <v>23.4372589402501</v>
      </c>
      <c r="I17" s="19">
        <v>0.58118055555555559</v>
      </c>
      <c r="J17" s="21">
        <v>224.5790933208726</v>
      </c>
      <c r="K17" s="21">
        <v>44.573450927605542</v>
      </c>
      <c r="L17" s="21">
        <v>-0.15333210623400167</v>
      </c>
      <c r="M17" s="19">
        <v>0.66872685185185177</v>
      </c>
      <c r="N17" s="21">
        <v>233.3588334251472</v>
      </c>
      <c r="O17" s="21">
        <v>8.1786333566837719</v>
      </c>
      <c r="P17" s="21">
        <v>-23.438418127259599</v>
      </c>
    </row>
    <row r="18" spans="1:16">
      <c r="A18" s="19">
        <v>0.63332175925925926</v>
      </c>
      <c r="B18" s="22">
        <v>239.68741589455468</v>
      </c>
      <c r="C18" s="22">
        <v>35.012260038312739</v>
      </c>
      <c r="D18" s="22">
        <v>-6.3968028221388251E-2</v>
      </c>
      <c r="E18" s="19">
        <v>0.5876851851851852</v>
      </c>
      <c r="F18" s="22">
        <v>252.94418961588772</v>
      </c>
      <c r="G18" s="22">
        <v>61.335611684414467</v>
      </c>
      <c r="H18" s="22">
        <v>23.437172605975505</v>
      </c>
      <c r="I18" s="19">
        <v>0.62284722222222222</v>
      </c>
      <c r="J18" s="21">
        <v>239.59864842447558</v>
      </c>
      <c r="K18" s="21">
        <v>34.935785134414481</v>
      </c>
      <c r="L18" s="21">
        <v>-0.16955192955880458</v>
      </c>
      <c r="M18" s="19">
        <v>0.70483796296296297</v>
      </c>
      <c r="N18" s="21">
        <v>241.32890190841911</v>
      </c>
      <c r="O18" s="21">
        <v>-0.26656937442270212</v>
      </c>
      <c r="P18" s="21">
        <v>-23.438071387693924</v>
      </c>
    </row>
    <row r="19" spans="1:16">
      <c r="A19" s="19">
        <v>0.67498842592592589</v>
      </c>
      <c r="B19" s="22">
        <v>251.34953308111045</v>
      </c>
      <c r="C19" s="22">
        <v>23.947402634634891</v>
      </c>
      <c r="D19" s="22">
        <v>-4.749958490811939E-2</v>
      </c>
      <c r="E19" s="19">
        <v>0.62935185185185183</v>
      </c>
      <c r="F19" s="22">
        <v>265.09614333332996</v>
      </c>
      <c r="G19" s="22">
        <v>49.388694827827337</v>
      </c>
      <c r="H19" s="22">
        <v>23.43702843973994</v>
      </c>
      <c r="I19" s="19">
        <v>0.66451388888888896</v>
      </c>
      <c r="J19" s="21">
        <v>251.23483686225595</v>
      </c>
      <c r="K19" s="21">
        <v>23.857410981850027</v>
      </c>
      <c r="L19" s="21">
        <v>-0.18577157691462989</v>
      </c>
      <c r="N19" s="21"/>
      <c r="O19" s="21"/>
      <c r="P19" s="21"/>
    </row>
    <row r="20" spans="1:16">
      <c r="A20" s="19">
        <v>0.71665509259259252</v>
      </c>
      <c r="B20" s="22">
        <v>261.09771516899292</v>
      </c>
      <c r="C20" s="22">
        <v>12.166304454772101</v>
      </c>
      <c r="D20" s="22">
        <v>-3.103170445939258E-2</v>
      </c>
      <c r="E20" s="19">
        <v>0.67101851851851846</v>
      </c>
      <c r="F20" s="22">
        <v>273.97486372597098</v>
      </c>
      <c r="G20" s="22">
        <v>37.228399589589749</v>
      </c>
      <c r="H20" s="22">
        <v>23.436834860223215</v>
      </c>
      <c r="I20" s="19">
        <v>0.70618055555555559</v>
      </c>
      <c r="J20" s="21">
        <v>260.95924548220165</v>
      </c>
      <c r="K20" s="21">
        <v>12.062462823810836</v>
      </c>
      <c r="L20" s="21">
        <v>-0.20199105924925431</v>
      </c>
      <c r="N20" s="21"/>
      <c r="O20" s="21"/>
      <c r="P20" s="21"/>
    </row>
    <row r="21" spans="1:16">
      <c r="A21" s="19">
        <v>0.75832175925925915</v>
      </c>
      <c r="B21" s="22">
        <v>270.00011578668506</v>
      </c>
      <c r="C21" s="22">
        <v>0.4013756288680011</v>
      </c>
      <c r="D21" s="22">
        <v>-1.456446126420098E-2</v>
      </c>
      <c r="E21" s="19">
        <v>0.71268518518518509</v>
      </c>
      <c r="F21" s="22">
        <v>281.74917903705301</v>
      </c>
      <c r="G21" s="22">
        <v>25.18588590439305</v>
      </c>
      <c r="H21" s="22">
        <v>23.436602837776466</v>
      </c>
      <c r="I21" s="19">
        <v>0.74784722222222222</v>
      </c>
      <c r="J21" s="21">
        <v>269.83674796118299</v>
      </c>
      <c r="K21" s="21">
        <v>0.29567685318624348</v>
      </c>
      <c r="L21" s="21">
        <v>-0.21821043614513511</v>
      </c>
      <c r="N21" s="21"/>
      <c r="O21" s="21"/>
      <c r="P21" s="21"/>
    </row>
    <row r="22" spans="1:16">
      <c r="A22" s="19">
        <v>0.76099537037037035</v>
      </c>
      <c r="B22" s="22">
        <v>270.5610965984763</v>
      </c>
      <c r="C22" s="22">
        <v>-0.26652055605095581</v>
      </c>
      <c r="D22" s="22">
        <v>-1.3511078456250566E-2</v>
      </c>
      <c r="E22" s="19">
        <v>0.75435185185185183</v>
      </c>
      <c r="F22" s="22">
        <v>289.38707286634889</v>
      </c>
      <c r="G22" s="22">
        <v>13.4898253152676</v>
      </c>
      <c r="H22" s="22">
        <v>23.436345146288396</v>
      </c>
      <c r="I22" s="19">
        <v>0.75009259259259264</v>
      </c>
      <c r="J22" s="21">
        <v>270.30795360189569</v>
      </c>
      <c r="K22" s="21">
        <v>-0.26656933106303893</v>
      </c>
      <c r="L22" s="21">
        <v>-0.2190845899570292</v>
      </c>
      <c r="N22" s="21"/>
      <c r="O22" s="21"/>
      <c r="P22" s="21"/>
    </row>
    <row r="23" spans="1:16">
      <c r="B23" s="22"/>
      <c r="C23" s="22"/>
      <c r="D23" s="22"/>
      <c r="E23" s="19">
        <v>0.79601851851851846</v>
      </c>
      <c r="F23" s="22">
        <v>297.50275379434191</v>
      </c>
      <c r="G23" s="22">
        <v>2.4935081787158704</v>
      </c>
      <c r="H23" s="22">
        <v>23.436075492345903</v>
      </c>
      <c r="J23" s="21"/>
      <c r="K23" s="21"/>
      <c r="L23" s="21"/>
      <c r="N23" s="21"/>
      <c r="O23" s="21"/>
      <c r="P23" s="21"/>
    </row>
    <row r="24" spans="1:16">
      <c r="B24" s="22"/>
      <c r="C24" s="22"/>
      <c r="D24" s="22"/>
      <c r="E24" s="19">
        <v>0.80797453703703714</v>
      </c>
      <c r="F24" s="22">
        <v>299.99391406381426</v>
      </c>
      <c r="G24" s="22">
        <v>-0.26656897787308176</v>
      </c>
      <c r="H24" s="22">
        <v>23.435997840650401</v>
      </c>
      <c r="J24" s="21"/>
      <c r="K24" s="21"/>
      <c r="L24" s="21"/>
      <c r="N24" s="21"/>
      <c r="O24" s="21"/>
      <c r="P24" s="21"/>
    </row>
    <row r="25" spans="1:16">
      <c r="B25" s="22"/>
      <c r="C25" s="22"/>
      <c r="D25" s="22"/>
      <c r="F25" s="22"/>
      <c r="G25" s="22"/>
      <c r="H25" s="22"/>
      <c r="J25" s="21"/>
      <c r="K25" s="21"/>
      <c r="L25" s="21"/>
      <c r="N25" s="21"/>
      <c r="O25" s="21"/>
      <c r="P25" s="21"/>
    </row>
    <row r="26" spans="1:16">
      <c r="B26" s="22"/>
      <c r="C26" s="22"/>
      <c r="D26" s="22"/>
      <c r="F26" s="22"/>
      <c r="G26" s="22"/>
      <c r="H26" s="22"/>
      <c r="J26" s="21"/>
      <c r="K26" s="21"/>
      <c r="L26" s="21"/>
      <c r="N26" s="21"/>
      <c r="O26" s="21"/>
      <c r="P26" s="21"/>
    </row>
    <row r="27" spans="1:16">
      <c r="B27" s="22"/>
      <c r="C27" s="22"/>
      <c r="D27" s="22"/>
      <c r="F27" s="22"/>
      <c r="G27" s="22"/>
      <c r="H27" s="22"/>
      <c r="J27" s="21"/>
      <c r="K27" s="21"/>
      <c r="L27" s="21"/>
      <c r="N27" s="21"/>
      <c r="O27" s="21"/>
      <c r="P27" s="21"/>
    </row>
    <row r="28" spans="1:16">
      <c r="B28" s="22"/>
      <c r="C28" s="22"/>
      <c r="D28" s="22"/>
      <c r="F28" s="22"/>
      <c r="G28" s="22"/>
      <c r="H28" s="22"/>
      <c r="J28" s="21"/>
      <c r="K28" s="21"/>
      <c r="L28" s="21"/>
      <c r="N28" s="21"/>
      <c r="O28" s="21"/>
      <c r="P28" s="21"/>
    </row>
    <row r="29" spans="1:16">
      <c r="B29" s="22"/>
      <c r="C29" s="22"/>
      <c r="D29" s="22"/>
      <c r="F29" s="22"/>
      <c r="G29" s="22"/>
      <c r="H29" s="22"/>
      <c r="J29" s="21"/>
      <c r="K29" s="21"/>
      <c r="L29" s="21"/>
      <c r="N29" s="21"/>
      <c r="O29" s="21"/>
      <c r="P29" s="21"/>
    </row>
    <row r="30" spans="1:16">
      <c r="B30" s="22"/>
      <c r="C30" s="22"/>
      <c r="D30" s="22"/>
      <c r="F30" s="22"/>
      <c r="G30" s="22"/>
      <c r="H30" s="22"/>
      <c r="J30" s="21"/>
      <c r="K30" s="21"/>
      <c r="L30" s="21"/>
      <c r="N30" s="21"/>
      <c r="O30" s="21"/>
      <c r="P30" s="21"/>
    </row>
    <row r="31" spans="1:16">
      <c r="B31" s="22"/>
      <c r="C31" s="22"/>
      <c r="D31" s="22"/>
      <c r="F31" s="22"/>
      <c r="G31" s="22"/>
      <c r="H31" s="22"/>
      <c r="J31" s="21"/>
      <c r="K31" s="21"/>
      <c r="L31" s="21"/>
      <c r="N31" s="21"/>
      <c r="O31" s="21"/>
      <c r="P31" s="21"/>
    </row>
    <row r="32" spans="1:16">
      <c r="B32" s="22"/>
      <c r="C32" s="22"/>
      <c r="D32" s="22"/>
      <c r="F32" s="22"/>
      <c r="G32" s="22"/>
      <c r="H32" s="22"/>
      <c r="J32" s="21"/>
      <c r="K32" s="21"/>
      <c r="L32" s="21"/>
      <c r="N32" s="21"/>
      <c r="O32" s="21"/>
      <c r="P32" s="21"/>
    </row>
    <row r="33" spans="2:16">
      <c r="B33" s="22"/>
      <c r="C33" s="22"/>
      <c r="D33" s="22"/>
      <c r="F33" s="22"/>
      <c r="G33" s="22"/>
      <c r="H33" s="22"/>
      <c r="J33" s="21"/>
      <c r="K33" s="21"/>
      <c r="L33" s="21"/>
      <c r="N33" s="21"/>
      <c r="O33" s="21"/>
      <c r="P33" s="21"/>
    </row>
    <row r="34" spans="2:16">
      <c r="B34" s="22"/>
      <c r="C34" s="22"/>
      <c r="D34" s="22"/>
      <c r="F34" s="22"/>
      <c r="G34" s="22"/>
      <c r="H34" s="22"/>
      <c r="J34" s="21"/>
      <c r="K34" s="21"/>
      <c r="L34" s="21"/>
      <c r="N34" s="21"/>
      <c r="O34" s="21"/>
      <c r="P34" s="21"/>
    </row>
    <row r="35" spans="2:16">
      <c r="B35" s="22"/>
      <c r="C35" s="22"/>
      <c r="D35" s="22"/>
      <c r="F35" s="22"/>
      <c r="G35" s="22"/>
      <c r="H35" s="22"/>
      <c r="J35" s="21"/>
      <c r="K35" s="21"/>
      <c r="L35" s="21"/>
      <c r="N35" s="21"/>
      <c r="O35" s="21"/>
      <c r="P35" s="21"/>
    </row>
    <row r="36" spans="2:16">
      <c r="B36" s="22"/>
      <c r="C36" s="22"/>
      <c r="D36" s="22"/>
      <c r="F36" s="22"/>
      <c r="G36" s="22"/>
      <c r="H36" s="22"/>
      <c r="J36" s="21"/>
      <c r="K36" s="21"/>
      <c r="L36" s="21"/>
      <c r="N36" s="21"/>
      <c r="O36" s="21"/>
      <c r="P36" s="21"/>
    </row>
    <row r="37" spans="2:16">
      <c r="B37" s="22"/>
      <c r="C37" s="22"/>
      <c r="D37" s="22"/>
      <c r="F37" s="22"/>
      <c r="G37" s="22"/>
      <c r="H37" s="22"/>
      <c r="J37" s="21"/>
      <c r="K37" s="21"/>
      <c r="L37" s="21"/>
      <c r="N37" s="21"/>
      <c r="O37" s="21"/>
      <c r="P37" s="21"/>
    </row>
    <row r="38" spans="2:16">
      <c r="B38" s="22"/>
      <c r="C38" s="22"/>
      <c r="D38" s="22"/>
      <c r="F38" s="22"/>
      <c r="G38" s="22"/>
      <c r="H38" s="22"/>
      <c r="J38" s="21"/>
      <c r="K38" s="21"/>
      <c r="L38" s="21"/>
      <c r="N38" s="21"/>
      <c r="O38" s="21"/>
      <c r="P38" s="21"/>
    </row>
    <row r="39" spans="2:16">
      <c r="B39" s="22"/>
      <c r="C39" s="22"/>
      <c r="D39" s="22"/>
      <c r="F39" s="22"/>
      <c r="G39" s="22"/>
      <c r="H39" s="22"/>
      <c r="J39" s="21"/>
      <c r="K39" s="21"/>
      <c r="L39" s="21"/>
      <c r="N39" s="21"/>
      <c r="O39" s="21"/>
      <c r="P39" s="21"/>
    </row>
    <row r="40" spans="2:16">
      <c r="B40" s="22"/>
      <c r="C40" s="22"/>
      <c r="D40" s="22"/>
      <c r="F40" s="22"/>
      <c r="G40" s="22"/>
      <c r="H40" s="22"/>
      <c r="J40" s="21"/>
      <c r="K40" s="21"/>
      <c r="L40" s="21"/>
      <c r="N40" s="21"/>
      <c r="O40" s="21"/>
      <c r="P40" s="21"/>
    </row>
    <row r="41" spans="2:16">
      <c r="B41" s="22"/>
      <c r="C41" s="22"/>
      <c r="D41" s="22"/>
      <c r="F41" s="22"/>
      <c r="G41" s="22"/>
      <c r="H41" s="22"/>
      <c r="J41" s="21"/>
      <c r="K41" s="21"/>
      <c r="L41" s="21"/>
      <c r="N41" s="21"/>
      <c r="O41" s="21"/>
      <c r="P41" s="21"/>
    </row>
    <row r="42" spans="2:16">
      <c r="B42" s="22"/>
      <c r="C42" s="22"/>
      <c r="D42" s="22"/>
      <c r="F42" s="22"/>
      <c r="G42" s="22"/>
      <c r="H42" s="22"/>
      <c r="J42" s="21"/>
      <c r="K42" s="21"/>
      <c r="L42" s="21"/>
      <c r="N42" s="21"/>
      <c r="O42" s="21"/>
      <c r="P42" s="21"/>
    </row>
    <row r="43" spans="2:16">
      <c r="B43" s="22"/>
      <c r="C43" s="22"/>
      <c r="D43" s="22"/>
      <c r="F43" s="22"/>
      <c r="G43" s="22"/>
      <c r="H43" s="22"/>
      <c r="J43" s="21"/>
      <c r="K43" s="21"/>
      <c r="L43" s="21"/>
      <c r="N43" s="21"/>
      <c r="O43" s="21"/>
      <c r="P43" s="21"/>
    </row>
    <row r="44" spans="2:16">
      <c r="B44" s="22"/>
      <c r="C44" s="22"/>
      <c r="D44" s="22"/>
      <c r="F44" s="22"/>
      <c r="G44" s="22"/>
      <c r="H44" s="22"/>
      <c r="J44" s="21"/>
      <c r="K44" s="21"/>
      <c r="L44" s="21"/>
      <c r="N44" s="21"/>
      <c r="O44" s="21"/>
      <c r="P44" s="21"/>
    </row>
    <row r="45" spans="2:16">
      <c r="B45" s="22"/>
      <c r="C45" s="22"/>
      <c r="D45" s="22"/>
      <c r="F45" s="22"/>
      <c r="G45" s="22"/>
      <c r="H45" s="22"/>
      <c r="J45" s="21"/>
      <c r="K45" s="21"/>
      <c r="L45" s="21"/>
      <c r="N45" s="21"/>
      <c r="O45" s="21"/>
      <c r="P45" s="21"/>
    </row>
    <row r="46" spans="2:16">
      <c r="B46" s="22"/>
      <c r="C46" s="22"/>
      <c r="D46" s="22"/>
      <c r="F46" s="22"/>
      <c r="G46" s="22"/>
      <c r="H46" s="22"/>
      <c r="J46" s="21"/>
      <c r="K46" s="21"/>
      <c r="L46" s="21"/>
      <c r="N46" s="21"/>
      <c r="O46" s="21"/>
      <c r="P46" s="21"/>
    </row>
    <row r="47" spans="2:16">
      <c r="B47" s="22"/>
      <c r="C47" s="22"/>
      <c r="D47" s="22"/>
      <c r="F47" s="22"/>
      <c r="G47" s="22"/>
      <c r="H47" s="22"/>
      <c r="J47" s="21"/>
      <c r="K47" s="21"/>
      <c r="L47" s="21"/>
      <c r="N47" s="21"/>
      <c r="O47" s="21"/>
      <c r="P47" s="21"/>
    </row>
    <row r="48" spans="2:16">
      <c r="B48" s="22"/>
      <c r="C48" s="22"/>
      <c r="D48" s="22"/>
      <c r="F48" s="22"/>
      <c r="G48" s="22"/>
      <c r="H48" s="22"/>
      <c r="J48" s="21"/>
      <c r="K48" s="21"/>
      <c r="L48" s="21"/>
      <c r="N48" s="21"/>
      <c r="O48" s="21"/>
      <c r="P48" s="21"/>
    </row>
    <row r="49" spans="2:16">
      <c r="B49" s="22"/>
      <c r="C49" s="22"/>
      <c r="D49" s="22"/>
      <c r="F49" s="22"/>
      <c r="G49" s="22"/>
      <c r="H49" s="22"/>
      <c r="J49" s="21"/>
      <c r="K49" s="21"/>
      <c r="L49" s="21"/>
      <c r="N49" s="21"/>
      <c r="O49" s="21"/>
      <c r="P49" s="21"/>
    </row>
    <row r="50" spans="2:16">
      <c r="B50" s="22"/>
      <c r="C50" s="22"/>
      <c r="D50" s="22"/>
      <c r="F50" s="22"/>
      <c r="G50" s="22"/>
      <c r="H50" s="22"/>
      <c r="J50" s="21"/>
      <c r="K50" s="21"/>
      <c r="L50" s="21"/>
      <c r="N50" s="21"/>
      <c r="O50" s="21"/>
      <c r="P50" s="21"/>
    </row>
    <row r="51" spans="2:16">
      <c r="B51" s="22"/>
      <c r="C51" s="22"/>
      <c r="D51" s="22"/>
      <c r="F51" s="22"/>
      <c r="G51" s="22"/>
      <c r="H51" s="22"/>
      <c r="J51" s="21"/>
      <c r="K51" s="21"/>
      <c r="L51" s="21"/>
      <c r="N51" s="21"/>
      <c r="O51" s="21"/>
      <c r="P51" s="21"/>
    </row>
    <row r="52" spans="2:16">
      <c r="B52" s="22"/>
      <c r="C52" s="22"/>
      <c r="D52" s="22"/>
      <c r="F52" s="22"/>
      <c r="G52" s="22"/>
      <c r="H52" s="22"/>
      <c r="J52" s="21"/>
      <c r="K52" s="21"/>
      <c r="L52" s="21"/>
      <c r="N52" s="21"/>
      <c r="O52" s="21"/>
      <c r="P52" s="21"/>
    </row>
    <row r="53" spans="2:16">
      <c r="B53" s="22"/>
      <c r="C53" s="22"/>
      <c r="D53" s="22"/>
      <c r="F53" s="22"/>
      <c r="G53" s="22"/>
      <c r="H53" s="22"/>
      <c r="J53" s="21"/>
      <c r="K53" s="21"/>
      <c r="L53" s="21"/>
      <c r="N53" s="21"/>
      <c r="O53" s="21"/>
      <c r="P53" s="21"/>
    </row>
    <row r="54" spans="2:16">
      <c r="B54" s="22"/>
      <c r="C54" s="22"/>
      <c r="D54" s="22"/>
      <c r="F54" s="22"/>
      <c r="G54" s="22"/>
      <c r="H54" s="22"/>
      <c r="J54" s="21"/>
      <c r="K54" s="21"/>
      <c r="L54" s="21"/>
      <c r="N54" s="21"/>
      <c r="O54" s="21"/>
      <c r="P54" s="21"/>
    </row>
    <row r="55" spans="2:16">
      <c r="B55" s="22"/>
      <c r="C55" s="22"/>
      <c r="D55" s="22"/>
      <c r="F55" s="22"/>
      <c r="G55" s="22"/>
      <c r="H55" s="22"/>
      <c r="J55" s="21"/>
      <c r="K55" s="21"/>
      <c r="L55" s="21"/>
      <c r="N55" s="21"/>
      <c r="O55" s="21"/>
      <c r="P55" s="21"/>
    </row>
    <row r="56" spans="2:16">
      <c r="B56" s="22"/>
      <c r="C56" s="22"/>
      <c r="D56" s="22"/>
      <c r="F56" s="22"/>
      <c r="G56" s="22"/>
      <c r="H56" s="22"/>
      <c r="J56" s="21"/>
      <c r="K56" s="21"/>
      <c r="L56" s="21"/>
      <c r="N56" s="21"/>
      <c r="O56" s="21"/>
      <c r="P56" s="21"/>
    </row>
    <row r="57" spans="2:16">
      <c r="B57" s="22"/>
      <c r="C57" s="22"/>
      <c r="D57" s="22"/>
      <c r="F57" s="22"/>
      <c r="G57" s="22"/>
      <c r="H57" s="22"/>
      <c r="J57" s="21"/>
      <c r="K57" s="21"/>
      <c r="L57" s="21"/>
      <c r="N57" s="21"/>
      <c r="O57" s="21"/>
      <c r="P57" s="21"/>
    </row>
    <row r="58" spans="2:16">
      <c r="B58" s="22"/>
      <c r="C58" s="22"/>
      <c r="D58" s="22"/>
      <c r="F58" s="22"/>
      <c r="G58" s="22"/>
      <c r="H58" s="22"/>
      <c r="J58" s="21"/>
      <c r="K58" s="21"/>
      <c r="L58" s="21"/>
      <c r="N58" s="21"/>
      <c r="O58" s="21"/>
      <c r="P58" s="21"/>
    </row>
    <row r="59" spans="2:16">
      <c r="B59" s="22"/>
      <c r="C59" s="22"/>
      <c r="D59" s="22"/>
      <c r="F59" s="22"/>
      <c r="G59" s="22"/>
      <c r="H59" s="22"/>
      <c r="J59" s="21"/>
      <c r="K59" s="21"/>
      <c r="L59" s="21"/>
      <c r="N59" s="21"/>
      <c r="O59" s="21"/>
      <c r="P59" s="21"/>
    </row>
    <row r="60" spans="2:16">
      <c r="B60" s="22"/>
      <c r="C60" s="22"/>
      <c r="D60" s="22"/>
      <c r="F60" s="22"/>
      <c r="G60" s="22"/>
      <c r="H60" s="22"/>
      <c r="J60" s="21"/>
      <c r="K60" s="21"/>
      <c r="L60" s="21"/>
      <c r="N60" s="21"/>
      <c r="O60" s="21"/>
      <c r="P60" s="21"/>
    </row>
    <row r="61" spans="2:16">
      <c r="B61" s="22"/>
      <c r="C61" s="22"/>
      <c r="D61" s="22"/>
      <c r="F61" s="22"/>
      <c r="G61" s="22"/>
      <c r="H61" s="22"/>
      <c r="J61" s="21"/>
      <c r="K61" s="21"/>
      <c r="L61" s="21"/>
      <c r="N61" s="21"/>
      <c r="O61" s="21"/>
      <c r="P61" s="21"/>
    </row>
    <row r="62" spans="2:16">
      <c r="B62" s="22"/>
      <c r="C62" s="22"/>
      <c r="D62" s="22"/>
      <c r="F62" s="22"/>
      <c r="G62" s="22"/>
      <c r="H62" s="22"/>
      <c r="J62" s="21"/>
      <c r="K62" s="21"/>
      <c r="L62" s="21"/>
      <c r="N62" s="21"/>
      <c r="O62" s="21"/>
      <c r="P62" s="21"/>
    </row>
    <row r="63" spans="2:16">
      <c r="B63" s="22"/>
      <c r="C63" s="22"/>
      <c r="D63" s="22"/>
      <c r="F63" s="22"/>
      <c r="G63" s="22"/>
      <c r="H63" s="22"/>
      <c r="J63" s="21"/>
      <c r="K63" s="21"/>
      <c r="L63" s="21"/>
      <c r="N63" s="21"/>
      <c r="O63" s="21"/>
      <c r="P63" s="21"/>
    </row>
    <row r="64" spans="2:16">
      <c r="B64" s="22"/>
      <c r="C64" s="22"/>
      <c r="D64" s="22"/>
      <c r="F64" s="22"/>
      <c r="G64" s="22"/>
      <c r="H64" s="22"/>
      <c r="J64" s="21"/>
      <c r="K64" s="21"/>
      <c r="L64" s="21"/>
      <c r="N64" s="21"/>
      <c r="O64" s="21"/>
      <c r="P64" s="21"/>
    </row>
    <row r="65" spans="2:16">
      <c r="B65" s="22"/>
      <c r="C65" s="22"/>
      <c r="D65" s="22"/>
      <c r="F65" s="22"/>
      <c r="G65" s="22"/>
      <c r="H65" s="22"/>
      <c r="J65" s="21"/>
      <c r="K65" s="21"/>
      <c r="L65" s="21"/>
      <c r="N65" s="21"/>
      <c r="O65" s="21"/>
      <c r="P65" s="21"/>
    </row>
    <row r="66" spans="2:16">
      <c r="B66" s="22"/>
      <c r="C66" s="22"/>
      <c r="D66" s="22"/>
      <c r="F66" s="22"/>
      <c r="G66" s="22"/>
      <c r="H66" s="22"/>
      <c r="J66" s="21"/>
      <c r="K66" s="21"/>
      <c r="L66" s="21"/>
      <c r="N66" s="21"/>
      <c r="O66" s="21"/>
      <c r="P66" s="21"/>
    </row>
    <row r="67" spans="2:16">
      <c r="B67" s="22"/>
      <c r="C67" s="22"/>
      <c r="D67" s="22"/>
      <c r="F67" s="22"/>
      <c r="G67" s="22"/>
      <c r="H67" s="22"/>
      <c r="J67" s="21"/>
      <c r="K67" s="21"/>
      <c r="L67" s="21"/>
      <c r="N67" s="21"/>
      <c r="O67" s="21"/>
      <c r="P67" s="21"/>
    </row>
    <row r="68" spans="2:16">
      <c r="B68" s="22"/>
      <c r="C68" s="22"/>
      <c r="D68" s="22"/>
      <c r="F68" s="22"/>
      <c r="G68" s="22"/>
      <c r="H68" s="22"/>
      <c r="J68" s="21"/>
      <c r="K68" s="21"/>
      <c r="L68" s="21"/>
      <c r="N68" s="21"/>
      <c r="O68" s="21"/>
      <c r="P68" s="21"/>
    </row>
    <row r="69" spans="2:16">
      <c r="B69" s="22"/>
      <c r="C69" s="22"/>
      <c r="D69" s="22"/>
      <c r="F69" s="22"/>
      <c r="G69" s="22"/>
      <c r="H69" s="22"/>
      <c r="J69" s="21"/>
      <c r="K69" s="21"/>
      <c r="L69" s="21"/>
      <c r="N69" s="21"/>
      <c r="O69" s="21"/>
      <c r="P69" s="21"/>
    </row>
    <row r="70" spans="2:16">
      <c r="B70" s="22"/>
      <c r="C70" s="22"/>
      <c r="D70" s="22"/>
      <c r="F70" s="22"/>
      <c r="G70" s="22"/>
      <c r="H70" s="22"/>
      <c r="J70" s="21"/>
      <c r="K70" s="21"/>
      <c r="L70" s="21"/>
      <c r="N70" s="21"/>
      <c r="O70" s="21"/>
      <c r="P70" s="21"/>
    </row>
    <row r="71" spans="2:16">
      <c r="B71" s="22"/>
      <c r="C71" s="22"/>
      <c r="D71" s="22"/>
      <c r="F71" s="22"/>
      <c r="G71" s="22"/>
      <c r="H71" s="22"/>
      <c r="J71" s="21"/>
      <c r="K71" s="21"/>
      <c r="L71" s="21"/>
      <c r="N71" s="21"/>
      <c r="O71" s="21"/>
      <c r="P71" s="21"/>
    </row>
    <row r="72" spans="2:16">
      <c r="B72" s="22"/>
      <c r="C72" s="22"/>
      <c r="D72" s="22"/>
      <c r="F72" s="22"/>
      <c r="G72" s="22"/>
      <c r="H72" s="22"/>
      <c r="J72" s="21"/>
      <c r="K72" s="21"/>
      <c r="L72" s="21"/>
      <c r="N72" s="21"/>
      <c r="O72" s="21"/>
      <c r="P72" s="21"/>
    </row>
    <row r="73" spans="2:16">
      <c r="B73" s="22"/>
      <c r="C73" s="22"/>
      <c r="D73" s="22"/>
      <c r="F73" s="22"/>
      <c r="G73" s="22"/>
      <c r="H73" s="22"/>
      <c r="J73" s="21"/>
      <c r="K73" s="21"/>
      <c r="L73" s="21"/>
      <c r="N73" s="21"/>
      <c r="O73" s="21"/>
      <c r="P73" s="21"/>
    </row>
    <row r="74" spans="2:16">
      <c r="B74" s="22"/>
      <c r="C74" s="22"/>
      <c r="D74" s="22"/>
      <c r="F74" s="22"/>
      <c r="G74" s="22"/>
      <c r="H74" s="22"/>
      <c r="J74" s="21"/>
      <c r="K74" s="21"/>
      <c r="L74" s="21"/>
      <c r="N74" s="21"/>
      <c r="O74" s="21"/>
      <c r="P74" s="21"/>
    </row>
    <row r="75" spans="2:16">
      <c r="B75" s="22"/>
      <c r="C75" s="22"/>
      <c r="D75" s="22"/>
      <c r="F75" s="22"/>
      <c r="G75" s="22"/>
      <c r="H75" s="22"/>
      <c r="J75" s="21"/>
      <c r="K75" s="21"/>
      <c r="L75" s="21"/>
      <c r="N75" s="21"/>
      <c r="O75" s="21"/>
      <c r="P75" s="21"/>
    </row>
    <row r="76" spans="2:16">
      <c r="B76" s="22"/>
      <c r="C76" s="22"/>
      <c r="D76" s="22"/>
      <c r="F76" s="22"/>
      <c r="G76" s="22"/>
      <c r="H76" s="22"/>
      <c r="J76" s="21"/>
      <c r="K76" s="21"/>
      <c r="L76" s="21"/>
      <c r="N76" s="21"/>
      <c r="O76" s="21"/>
      <c r="P76" s="21"/>
    </row>
    <row r="77" spans="2:16">
      <c r="B77" s="22"/>
      <c r="C77" s="22"/>
      <c r="D77" s="22"/>
      <c r="F77" s="22"/>
      <c r="G77" s="22"/>
      <c r="H77" s="22"/>
      <c r="J77" s="21"/>
      <c r="K77" s="21"/>
      <c r="L77" s="21"/>
      <c r="N77" s="21"/>
      <c r="O77" s="21"/>
      <c r="P77" s="21"/>
    </row>
    <row r="78" spans="2:16">
      <c r="B78" s="22"/>
      <c r="C78" s="22"/>
      <c r="D78" s="22"/>
      <c r="F78" s="22"/>
      <c r="G78" s="22"/>
      <c r="H78" s="22"/>
      <c r="J78" s="21"/>
      <c r="K78" s="21"/>
      <c r="L78" s="21"/>
      <c r="N78" s="21"/>
      <c r="O78" s="21"/>
      <c r="P78" s="21"/>
    </row>
    <row r="79" spans="2:16">
      <c r="B79" s="22"/>
      <c r="C79" s="22"/>
      <c r="D79" s="22"/>
      <c r="F79" s="22"/>
      <c r="G79" s="22"/>
      <c r="H79" s="22"/>
      <c r="J79" s="21"/>
      <c r="K79" s="21"/>
      <c r="L79" s="21"/>
      <c r="N79" s="21"/>
      <c r="O79" s="21"/>
      <c r="P79" s="21"/>
    </row>
    <row r="80" spans="2:16">
      <c r="B80" s="22"/>
      <c r="C80" s="22"/>
      <c r="D80" s="22"/>
      <c r="F80" s="22"/>
      <c r="G80" s="22"/>
      <c r="H80" s="22"/>
      <c r="J80" s="21"/>
      <c r="K80" s="21"/>
      <c r="L80" s="21"/>
      <c r="N80" s="21"/>
      <c r="O80" s="21"/>
      <c r="P80" s="21"/>
    </row>
    <row r="81" spans="2:16">
      <c r="B81" s="22"/>
      <c r="C81" s="22"/>
      <c r="D81" s="22"/>
      <c r="F81" s="22"/>
      <c r="G81" s="22"/>
      <c r="H81" s="22"/>
      <c r="J81" s="21"/>
      <c r="K81" s="21"/>
      <c r="L81" s="21"/>
      <c r="N81" s="21"/>
      <c r="O81" s="21"/>
      <c r="P81" s="21"/>
    </row>
    <row r="82" spans="2:16">
      <c r="B82" s="22"/>
      <c r="C82" s="22"/>
      <c r="D82" s="22"/>
      <c r="F82" s="22"/>
      <c r="G82" s="22"/>
      <c r="H82" s="22"/>
      <c r="J82" s="21"/>
      <c r="K82" s="21"/>
      <c r="L82" s="21"/>
      <c r="N82" s="21"/>
      <c r="O82" s="21"/>
      <c r="P82" s="21"/>
    </row>
    <row r="83" spans="2:16">
      <c r="B83" s="22"/>
      <c r="C83" s="22"/>
      <c r="D83" s="22"/>
      <c r="F83" s="22"/>
      <c r="G83" s="22"/>
      <c r="H83" s="22"/>
      <c r="J83" s="21"/>
      <c r="K83" s="21"/>
      <c r="L83" s="21"/>
      <c r="N83" s="21"/>
      <c r="O83" s="21"/>
      <c r="P83" s="21"/>
    </row>
    <row r="84" spans="2:16">
      <c r="B84" s="22"/>
      <c r="C84" s="22"/>
      <c r="D84" s="22"/>
      <c r="F84" s="22"/>
      <c r="G84" s="22"/>
      <c r="H84" s="22"/>
      <c r="J84" s="21"/>
      <c r="K84" s="21"/>
      <c r="L84" s="21"/>
      <c r="N84" s="21"/>
      <c r="O84" s="21"/>
      <c r="P84" s="21"/>
    </row>
    <row r="85" spans="2:16">
      <c r="B85" s="22"/>
      <c r="C85" s="22"/>
      <c r="D85" s="22"/>
      <c r="F85" s="22"/>
      <c r="G85" s="22"/>
      <c r="H85" s="22"/>
      <c r="J85" s="21"/>
      <c r="K85" s="21"/>
      <c r="L85" s="21"/>
      <c r="N85" s="21"/>
      <c r="O85" s="21"/>
      <c r="P85" s="21"/>
    </row>
    <row r="86" spans="2:16">
      <c r="B86" s="22"/>
      <c r="C86" s="22"/>
      <c r="D86" s="22"/>
      <c r="F86" s="22"/>
      <c r="G86" s="22"/>
      <c r="H86" s="22"/>
      <c r="J86" s="21"/>
      <c r="K86" s="21"/>
      <c r="L86" s="21"/>
      <c r="N86" s="21"/>
      <c r="O86" s="21"/>
      <c r="P86" s="21"/>
    </row>
    <row r="87" spans="2:16">
      <c r="B87" s="22"/>
      <c r="C87" s="22"/>
      <c r="D87" s="22"/>
      <c r="F87" s="22"/>
      <c r="G87" s="22"/>
      <c r="H87" s="22"/>
      <c r="J87" s="21"/>
      <c r="K87" s="21"/>
      <c r="L87" s="21"/>
      <c r="N87" s="21"/>
      <c r="O87" s="21"/>
      <c r="P87" s="21"/>
    </row>
    <row r="88" spans="2:16">
      <c r="B88" s="22"/>
      <c r="C88" s="22"/>
      <c r="D88" s="22"/>
      <c r="F88" s="22"/>
      <c r="G88" s="22"/>
      <c r="H88" s="22"/>
      <c r="J88" s="21"/>
      <c r="K88" s="21"/>
      <c r="L88" s="21"/>
      <c r="N88" s="21"/>
      <c r="O88" s="21"/>
      <c r="P88" s="21"/>
    </row>
    <row r="89" spans="2:16">
      <c r="B89" s="22"/>
      <c r="C89" s="22"/>
      <c r="D89" s="22"/>
      <c r="F89" s="22"/>
      <c r="G89" s="22"/>
      <c r="H89" s="22"/>
      <c r="J89" s="21"/>
      <c r="K89" s="21"/>
      <c r="L89" s="21"/>
      <c r="N89" s="21"/>
      <c r="O89" s="21"/>
      <c r="P89" s="21"/>
    </row>
    <row r="90" spans="2:16">
      <c r="B90" s="22"/>
      <c r="C90" s="22"/>
      <c r="D90" s="22"/>
      <c r="F90" s="22"/>
      <c r="G90" s="22"/>
      <c r="H90" s="22"/>
      <c r="J90" s="21"/>
      <c r="K90" s="21"/>
      <c r="L90" s="21"/>
      <c r="N90" s="21"/>
      <c r="O90" s="21"/>
      <c r="P90" s="21"/>
    </row>
    <row r="91" spans="2:16">
      <c r="B91" s="22"/>
      <c r="C91" s="22"/>
      <c r="D91" s="22"/>
      <c r="F91" s="22"/>
      <c r="G91" s="22"/>
      <c r="H91" s="22"/>
      <c r="J91" s="21"/>
      <c r="K91" s="21"/>
      <c r="L91" s="21"/>
      <c r="N91" s="21"/>
      <c r="O91" s="21"/>
      <c r="P91" s="21"/>
    </row>
    <row r="92" spans="2:16">
      <c r="B92" s="22"/>
      <c r="C92" s="22"/>
      <c r="D92" s="22"/>
      <c r="F92" s="22"/>
      <c r="G92" s="22"/>
      <c r="H92" s="22"/>
      <c r="J92" s="21"/>
      <c r="K92" s="21"/>
      <c r="L92" s="21"/>
      <c r="N92" s="21"/>
      <c r="O92" s="21"/>
      <c r="P92" s="21"/>
    </row>
    <row r="93" spans="2:16">
      <c r="B93" s="22"/>
      <c r="C93" s="22"/>
      <c r="D93" s="22"/>
      <c r="F93" s="22"/>
      <c r="G93" s="22"/>
      <c r="H93" s="22"/>
      <c r="J93" s="21"/>
      <c r="K93" s="21"/>
      <c r="L93" s="21"/>
      <c r="N93" s="21"/>
      <c r="O93" s="21"/>
      <c r="P93" s="21"/>
    </row>
    <row r="94" spans="2:16">
      <c r="B94" s="22"/>
      <c r="C94" s="22"/>
      <c r="D94" s="22"/>
      <c r="F94" s="22"/>
      <c r="G94" s="22"/>
      <c r="H94" s="22"/>
      <c r="J94" s="21"/>
      <c r="K94" s="21"/>
      <c r="L94" s="21"/>
      <c r="N94" s="21"/>
      <c r="O94" s="21"/>
      <c r="P94" s="21"/>
    </row>
    <row r="95" spans="2:16">
      <c r="B95" s="22"/>
      <c r="C95" s="22"/>
      <c r="D95" s="22"/>
      <c r="F95" s="22"/>
      <c r="G95" s="22"/>
      <c r="H95" s="22"/>
      <c r="J95" s="21"/>
      <c r="K95" s="21"/>
      <c r="L95" s="21"/>
      <c r="N95" s="21"/>
      <c r="O95" s="21"/>
      <c r="P95" s="21"/>
    </row>
    <row r="96" spans="2:16">
      <c r="B96" s="22"/>
      <c r="C96" s="22"/>
      <c r="D96" s="22"/>
      <c r="F96" s="22"/>
      <c r="G96" s="22"/>
      <c r="H96" s="22"/>
      <c r="J96" s="21"/>
      <c r="K96" s="21"/>
      <c r="L96" s="21"/>
      <c r="N96" s="21"/>
      <c r="O96" s="21"/>
      <c r="P96" s="21"/>
    </row>
    <row r="97" spans="2:16">
      <c r="B97" s="22"/>
      <c r="C97" s="22"/>
      <c r="D97" s="22"/>
      <c r="F97" s="22"/>
      <c r="G97" s="22"/>
      <c r="H97" s="22"/>
      <c r="J97" s="21"/>
      <c r="K97" s="21"/>
      <c r="L97" s="21"/>
      <c r="N97" s="21"/>
      <c r="O97" s="21"/>
      <c r="P97" s="21"/>
    </row>
    <row r="98" spans="2:16">
      <c r="B98" s="22"/>
      <c r="C98" s="22"/>
      <c r="D98" s="22"/>
      <c r="F98" s="22"/>
      <c r="G98" s="22"/>
      <c r="H98" s="22"/>
      <c r="J98" s="21"/>
      <c r="K98" s="21"/>
      <c r="L98" s="21"/>
      <c r="N98" s="21"/>
      <c r="O98" s="21"/>
      <c r="P98" s="21"/>
    </row>
    <row r="99" spans="2:16">
      <c r="B99" s="22"/>
      <c r="C99" s="22"/>
      <c r="D99" s="22"/>
      <c r="F99" s="22"/>
      <c r="G99" s="22"/>
      <c r="H99" s="22"/>
      <c r="J99" s="21"/>
      <c r="K99" s="21"/>
      <c r="L99" s="21"/>
      <c r="N99" s="21"/>
      <c r="O99" s="21"/>
      <c r="P99" s="21"/>
    </row>
    <row r="100" spans="2:16">
      <c r="B100" s="22"/>
      <c r="C100" s="22"/>
      <c r="D100" s="22"/>
      <c r="F100" s="22"/>
      <c r="G100" s="22"/>
      <c r="H100" s="22"/>
      <c r="J100" s="21"/>
      <c r="K100" s="21"/>
      <c r="L100" s="21"/>
      <c r="N100" s="21"/>
      <c r="O100" s="21"/>
      <c r="P100" s="21"/>
    </row>
    <row r="101" spans="2:16">
      <c r="B101" s="22"/>
      <c r="C101" s="22"/>
      <c r="D101" s="22"/>
      <c r="F101" s="22"/>
      <c r="G101" s="22"/>
      <c r="H101" s="22"/>
      <c r="J101" s="21"/>
      <c r="K101" s="21"/>
      <c r="L101" s="21"/>
      <c r="N101" s="21"/>
      <c r="O101" s="21"/>
      <c r="P101" s="21"/>
    </row>
    <row r="102" spans="2:16">
      <c r="B102" s="22"/>
      <c r="C102" s="22"/>
      <c r="D102" s="22"/>
      <c r="F102" s="22"/>
      <c r="G102" s="22"/>
      <c r="H102" s="22"/>
      <c r="J102" s="21"/>
      <c r="K102" s="21"/>
      <c r="L102" s="21"/>
      <c r="N102" s="21"/>
      <c r="O102" s="21"/>
      <c r="P102" s="21"/>
    </row>
    <row r="103" spans="2:16">
      <c r="B103" s="22"/>
      <c r="C103" s="22"/>
      <c r="D103" s="22"/>
      <c r="F103" s="22"/>
      <c r="G103" s="22"/>
      <c r="H103" s="22"/>
      <c r="J103" s="21"/>
      <c r="K103" s="21"/>
      <c r="L103" s="21"/>
      <c r="N103" s="21"/>
      <c r="O103" s="21"/>
      <c r="P103" s="21"/>
    </row>
    <row r="104" spans="2:16">
      <c r="B104" s="22"/>
      <c r="C104" s="22"/>
      <c r="D104" s="22"/>
      <c r="F104" s="22"/>
      <c r="G104" s="22"/>
      <c r="H104" s="22"/>
      <c r="J104" s="21"/>
      <c r="K104" s="21"/>
      <c r="L104" s="21"/>
      <c r="N104" s="21"/>
      <c r="O104" s="21"/>
      <c r="P104" s="21"/>
    </row>
    <row r="105" spans="2:16">
      <c r="B105" s="22"/>
      <c r="C105" s="22"/>
      <c r="D105" s="22"/>
      <c r="F105" s="22"/>
      <c r="G105" s="22"/>
      <c r="H105" s="22"/>
      <c r="J105" s="21"/>
      <c r="K105" s="21"/>
      <c r="L105" s="21"/>
      <c r="N105" s="21"/>
      <c r="O105" s="21"/>
      <c r="P105" s="21"/>
    </row>
    <row r="106" spans="2:16">
      <c r="B106" s="22"/>
      <c r="C106" s="22"/>
      <c r="D106" s="22"/>
      <c r="F106" s="22"/>
      <c r="G106" s="22"/>
      <c r="H106" s="22"/>
      <c r="J106" s="21"/>
      <c r="K106" s="21"/>
      <c r="L106" s="21"/>
      <c r="N106" s="21"/>
      <c r="O106" s="21"/>
      <c r="P106" s="21"/>
    </row>
    <row r="107" spans="2:16">
      <c r="B107" s="22"/>
      <c r="C107" s="22"/>
      <c r="D107" s="22"/>
      <c r="F107" s="22"/>
      <c r="G107" s="22"/>
      <c r="H107" s="22"/>
      <c r="J107" s="21"/>
      <c r="K107" s="21"/>
      <c r="L107" s="21"/>
      <c r="N107" s="21"/>
      <c r="O107" s="21"/>
      <c r="P107" s="21"/>
    </row>
    <row r="108" spans="2:16">
      <c r="B108" s="22"/>
      <c r="C108" s="22"/>
      <c r="D108" s="22"/>
      <c r="F108" s="22"/>
      <c r="G108" s="22"/>
      <c r="H108" s="22"/>
      <c r="J108" s="21"/>
      <c r="K108" s="21"/>
      <c r="L108" s="21"/>
      <c r="N108" s="21"/>
      <c r="O108" s="21"/>
      <c r="P108" s="21"/>
    </row>
    <row r="109" spans="2:16">
      <c r="B109" s="22"/>
      <c r="C109" s="22"/>
      <c r="D109" s="22"/>
      <c r="F109" s="22"/>
      <c r="G109" s="22"/>
      <c r="H109" s="22"/>
      <c r="J109" s="21"/>
      <c r="K109" s="21"/>
      <c r="L109" s="21"/>
      <c r="N109" s="21"/>
      <c r="O109" s="21"/>
      <c r="P109" s="21"/>
    </row>
    <row r="110" spans="2:16">
      <c r="B110" s="22"/>
      <c r="C110" s="22"/>
      <c r="D110" s="22"/>
      <c r="F110" s="22"/>
      <c r="G110" s="22"/>
      <c r="H110" s="22"/>
      <c r="J110" s="21"/>
      <c r="K110" s="21"/>
      <c r="L110" s="21"/>
      <c r="N110" s="21"/>
      <c r="O110" s="21"/>
      <c r="P110" s="21"/>
    </row>
    <row r="111" spans="2:16">
      <c r="B111" s="22"/>
      <c r="C111" s="22"/>
      <c r="D111" s="22"/>
      <c r="F111" s="22"/>
      <c r="G111" s="22"/>
      <c r="H111" s="22"/>
      <c r="J111" s="21"/>
      <c r="K111" s="21"/>
      <c r="L111" s="21"/>
      <c r="N111" s="21"/>
      <c r="O111" s="21"/>
      <c r="P111" s="21"/>
    </row>
    <row r="112" spans="2:16">
      <c r="B112" s="22"/>
      <c r="C112" s="22"/>
      <c r="D112" s="22"/>
      <c r="F112" s="22"/>
      <c r="G112" s="22"/>
      <c r="H112" s="22"/>
      <c r="J112" s="21"/>
      <c r="K112" s="21"/>
      <c r="L112" s="21"/>
      <c r="N112" s="21"/>
      <c r="O112" s="21"/>
      <c r="P112" s="21"/>
    </row>
    <row r="113" spans="2:16">
      <c r="B113" s="22"/>
      <c r="C113" s="22"/>
      <c r="D113" s="22"/>
      <c r="F113" s="22"/>
      <c r="G113" s="22"/>
      <c r="H113" s="22"/>
      <c r="J113" s="21"/>
      <c r="K113" s="21"/>
      <c r="L113" s="21"/>
      <c r="N113" s="21"/>
      <c r="O113" s="21"/>
      <c r="P113" s="21"/>
    </row>
    <row r="114" spans="2:16">
      <c r="B114" s="22"/>
      <c r="C114" s="22"/>
      <c r="D114" s="22"/>
      <c r="F114" s="22"/>
      <c r="G114" s="22"/>
      <c r="H114" s="22"/>
      <c r="J114" s="21"/>
      <c r="K114" s="21"/>
      <c r="L114" s="21"/>
      <c r="N114" s="21"/>
      <c r="O114" s="21"/>
      <c r="P114" s="21"/>
    </row>
    <row r="115" spans="2:16">
      <c r="B115" s="22"/>
      <c r="C115" s="22"/>
      <c r="D115" s="22"/>
      <c r="F115" s="22"/>
      <c r="G115" s="22"/>
      <c r="H115" s="22"/>
      <c r="J115" s="21"/>
      <c r="K115" s="21"/>
      <c r="L115" s="21"/>
      <c r="N115" s="21"/>
      <c r="O115" s="21"/>
      <c r="P115" s="21"/>
    </row>
    <row r="116" spans="2:16">
      <c r="B116" s="22"/>
      <c r="C116" s="22"/>
      <c r="D116" s="22"/>
      <c r="F116" s="22"/>
      <c r="G116" s="22"/>
      <c r="H116" s="22"/>
      <c r="J116" s="21"/>
      <c r="K116" s="21"/>
      <c r="L116" s="21"/>
      <c r="N116" s="21"/>
      <c r="O116" s="21"/>
      <c r="P116" s="21"/>
    </row>
    <row r="117" spans="2:16">
      <c r="B117" s="22"/>
      <c r="C117" s="22"/>
      <c r="D117" s="22"/>
      <c r="F117" s="22"/>
      <c r="G117" s="22"/>
      <c r="H117" s="22"/>
      <c r="J117" s="21"/>
      <c r="K117" s="21"/>
      <c r="L117" s="21"/>
      <c r="N117" s="21"/>
      <c r="O117" s="21"/>
      <c r="P117" s="21"/>
    </row>
    <row r="118" spans="2:16">
      <c r="B118" s="22"/>
      <c r="C118" s="22"/>
      <c r="D118" s="22"/>
      <c r="F118" s="22"/>
      <c r="G118" s="22"/>
      <c r="H118" s="22"/>
      <c r="J118" s="21"/>
      <c r="K118" s="21"/>
      <c r="L118" s="21"/>
      <c r="N118" s="21"/>
      <c r="O118" s="21"/>
      <c r="P118" s="21"/>
    </row>
    <row r="119" spans="2:16">
      <c r="B119" s="22"/>
      <c r="C119" s="22"/>
      <c r="D119" s="22"/>
      <c r="F119" s="22"/>
      <c r="G119" s="22"/>
      <c r="H119" s="22"/>
      <c r="J119" s="21"/>
      <c r="K119" s="21"/>
      <c r="L119" s="21"/>
      <c r="N119" s="21"/>
      <c r="O119" s="21"/>
      <c r="P119" s="21"/>
    </row>
    <row r="120" spans="2:16">
      <c r="B120" s="22"/>
      <c r="C120" s="22"/>
      <c r="D120" s="22"/>
      <c r="F120" s="22"/>
      <c r="G120" s="22"/>
      <c r="H120" s="22"/>
      <c r="J120" s="21"/>
      <c r="K120" s="21"/>
      <c r="L120" s="21"/>
      <c r="N120" s="21"/>
      <c r="O120" s="21"/>
      <c r="P120" s="21"/>
    </row>
    <row r="121" spans="2:16">
      <c r="B121" s="22"/>
      <c r="C121" s="22"/>
      <c r="D121" s="22"/>
      <c r="F121" s="22"/>
      <c r="G121" s="22"/>
      <c r="H121" s="22"/>
      <c r="J121" s="21"/>
      <c r="K121" s="21"/>
      <c r="L121" s="21"/>
      <c r="N121" s="21"/>
      <c r="O121" s="21"/>
      <c r="P121" s="21"/>
    </row>
    <row r="122" spans="2:16">
      <c r="B122" s="22"/>
      <c r="C122" s="22"/>
      <c r="D122" s="22"/>
      <c r="F122" s="22"/>
      <c r="G122" s="22"/>
      <c r="H122" s="22"/>
      <c r="J122" s="21"/>
      <c r="K122" s="21"/>
      <c r="L122" s="21"/>
      <c r="N122" s="21"/>
      <c r="O122" s="21"/>
      <c r="P122" s="21"/>
    </row>
    <row r="123" spans="2:16">
      <c r="B123" s="22"/>
      <c r="C123" s="22"/>
      <c r="D123" s="22"/>
      <c r="F123" s="22"/>
      <c r="G123" s="22"/>
      <c r="H123" s="22"/>
      <c r="J123" s="21"/>
      <c r="K123" s="21"/>
      <c r="L123" s="21"/>
      <c r="N123" s="21"/>
      <c r="O123" s="21"/>
      <c r="P123" s="21"/>
    </row>
    <row r="124" spans="2:16">
      <c r="B124" s="22"/>
      <c r="C124" s="22"/>
      <c r="D124" s="22"/>
      <c r="F124" s="22"/>
      <c r="G124" s="22"/>
      <c r="H124" s="22"/>
      <c r="J124" s="21"/>
      <c r="K124" s="21"/>
      <c r="L124" s="21"/>
      <c r="N124" s="21"/>
      <c r="O124" s="21"/>
      <c r="P124" s="21"/>
    </row>
    <row r="125" spans="2:16">
      <c r="B125" s="22"/>
      <c r="C125" s="22"/>
      <c r="D125" s="22"/>
      <c r="F125" s="22"/>
      <c r="G125" s="22"/>
      <c r="H125" s="22"/>
      <c r="J125" s="21"/>
      <c r="K125" s="21"/>
      <c r="L125" s="21"/>
      <c r="N125" s="21"/>
      <c r="O125" s="21"/>
      <c r="P125" s="21"/>
    </row>
    <row r="126" spans="2:16">
      <c r="B126" s="22"/>
      <c r="C126" s="22"/>
      <c r="D126" s="22"/>
      <c r="F126" s="22"/>
      <c r="G126" s="22"/>
      <c r="H126" s="22"/>
      <c r="J126" s="21"/>
      <c r="K126" s="21"/>
      <c r="L126" s="21"/>
      <c r="N126" s="21"/>
      <c r="O126" s="21"/>
      <c r="P126" s="21"/>
    </row>
    <row r="127" spans="2:16">
      <c r="B127" s="22"/>
      <c r="C127" s="22"/>
      <c r="D127" s="22"/>
      <c r="F127" s="22"/>
      <c r="G127" s="22"/>
      <c r="H127" s="22"/>
      <c r="N127" s="21"/>
      <c r="O127" s="21"/>
      <c r="P127" s="21"/>
    </row>
    <row r="128" spans="2:16">
      <c r="B128" s="22"/>
      <c r="C128" s="22"/>
      <c r="D128" s="22"/>
      <c r="N128" s="21"/>
      <c r="O128" s="21"/>
      <c r="P128" s="21"/>
    </row>
    <row r="129" spans="14:16">
      <c r="N129" s="21"/>
      <c r="O129" s="21"/>
      <c r="P129" s="21"/>
    </row>
    <row r="130" spans="14:16">
      <c r="N130" s="21"/>
      <c r="O130" s="21"/>
      <c r="P130" s="21"/>
    </row>
    <row r="131" spans="14:16">
      <c r="N131" s="21"/>
      <c r="O131" s="21"/>
      <c r="P131" s="21"/>
    </row>
    <row r="132" spans="14:16">
      <c r="N132" s="21"/>
      <c r="O132" s="21"/>
      <c r="P132" s="21"/>
    </row>
  </sheetData>
  <mergeCells count="4">
    <mergeCell ref="B4:C4"/>
    <mergeCell ref="F4:G4"/>
    <mergeCell ref="J4:K4"/>
    <mergeCell ref="N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eqsol_Click">
                <anchor moveWithCells="1">
                  <from>
                    <xdr:col>6</xdr:col>
                    <xdr:colOff>209550</xdr:colOff>
                    <xdr:row>1</xdr:row>
                    <xdr:rowOff>0</xdr:rowOff>
                  </from>
                  <to>
                    <xdr:col>7</xdr:col>
                    <xdr:colOff>695325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93C6-26AF-4D87-BF29-465C9EFAFCD5}">
  <sheetPr codeName="Sheet3"/>
  <dimension ref="A2:Q174"/>
  <sheetViews>
    <sheetView zoomScaleNormal="100" workbookViewId="0">
      <selection activeCell="D18" sqref="D18"/>
    </sheetView>
  </sheetViews>
  <sheetFormatPr defaultRowHeight="15"/>
  <cols>
    <col min="1" max="1" width="5.85546875" customWidth="1"/>
    <col min="2" max="2" width="28.5703125" customWidth="1"/>
    <col min="3" max="3" width="13.7109375" style="2" customWidth="1"/>
    <col min="4" max="4" width="12" bestFit="1" customWidth="1"/>
    <col min="6" max="6" width="11.5703125" customWidth="1"/>
    <col min="8" max="8" width="12" bestFit="1" customWidth="1"/>
    <col min="9" max="9" width="10.28515625" customWidth="1"/>
    <col min="10" max="10" width="10.140625" customWidth="1"/>
    <col min="14" max="14" width="12" bestFit="1" customWidth="1"/>
  </cols>
  <sheetData>
    <row r="2" spans="2:15">
      <c r="B2" t="s">
        <v>393</v>
      </c>
      <c r="C2" s="2" t="str" cm="1">
        <f t="array" ref="C2:C6">Enter!B2:B6</f>
        <v>Tehran</v>
      </c>
      <c r="E2" t="s">
        <v>443</v>
      </c>
      <c r="F2" t="s">
        <v>444</v>
      </c>
      <c r="G2" t="s">
        <v>445</v>
      </c>
    </row>
    <row r="3" spans="2:15">
      <c r="B3" t="s">
        <v>394</v>
      </c>
      <c r="C3" s="2">
        <v>51.3797</v>
      </c>
      <c r="D3" s="64" t="s">
        <v>10</v>
      </c>
      <c r="E3">
        <f>RADIANS(C3)</f>
        <v>0.89674493368693053</v>
      </c>
    </row>
    <row r="4" spans="2:15">
      <c r="B4" t="s">
        <v>389</v>
      </c>
      <c r="C4" s="2">
        <v>35.7029</v>
      </c>
      <c r="D4" s="2" t="s">
        <v>9</v>
      </c>
      <c r="E4">
        <f>RADIANS(C4)</f>
        <v>0.62313315751028353</v>
      </c>
      <c r="F4">
        <f>SIN(E4)</f>
        <v>0.58358231384953441</v>
      </c>
      <c r="G4">
        <f>COS(E4)</f>
        <v>0.81205399017677604</v>
      </c>
    </row>
    <row r="5" spans="2:15">
      <c r="B5" t="s">
        <v>441</v>
      </c>
      <c r="C5" s="2">
        <v>1210</v>
      </c>
      <c r="D5" s="2"/>
    </row>
    <row r="6" spans="2:15">
      <c r="B6" t="s">
        <v>396</v>
      </c>
      <c r="C6" s="2">
        <v>3.5</v>
      </c>
    </row>
    <row r="7" spans="2:15">
      <c r="B7" s="5" t="s">
        <v>442</v>
      </c>
      <c r="C7" s="2">
        <f>D7*4</f>
        <v>-4.4812000000000012</v>
      </c>
      <c r="D7" s="2">
        <f>C3-C6*15</f>
        <v>-1.1203000000000003</v>
      </c>
      <c r="E7">
        <f t="shared" ref="E7" si="0">RADIANS(C7)</f>
        <v>-7.8211694440369919E-2</v>
      </c>
    </row>
    <row r="8" spans="2:15">
      <c r="B8" s="65" t="s">
        <v>6</v>
      </c>
      <c r="C8" s="2">
        <f>90-C4</f>
        <v>54.2971</v>
      </c>
      <c r="E8">
        <f>RADIANS(C8)</f>
        <v>0.94766316928461314</v>
      </c>
    </row>
    <row r="9" spans="2:15">
      <c r="G9" s="6" t="s">
        <v>446</v>
      </c>
    </row>
    <row r="10" spans="2:15">
      <c r="C10"/>
    </row>
    <row r="11" spans="2:15" ht="19.5">
      <c r="C11" s="61"/>
      <c r="G11" s="177" t="s">
        <v>460</v>
      </c>
    </row>
    <row r="12" spans="2:15" s="124" customFormat="1" ht="20.25" thickBot="1">
      <c r="C12" s="137" t="s">
        <v>438</v>
      </c>
      <c r="D12" s="135">
        <v>90</v>
      </c>
      <c r="E12" s="135"/>
      <c r="F12" s="136" t="s">
        <v>439</v>
      </c>
      <c r="G12" s="135">
        <v>0</v>
      </c>
      <c r="H12" s="135"/>
      <c r="I12" s="137" t="s">
        <v>464</v>
      </c>
      <c r="J12" s="135" t="s">
        <v>9</v>
      </c>
      <c r="K12" s="135"/>
      <c r="L12" s="136" t="s">
        <v>440</v>
      </c>
      <c r="M12" s="135" t="s">
        <v>383</v>
      </c>
    </row>
    <row r="13" spans="2:15">
      <c r="B13" s="141" t="s">
        <v>433</v>
      </c>
      <c r="C13" s="39">
        <v>6</v>
      </c>
      <c r="D13" s="39">
        <f>C13+1</f>
        <v>7</v>
      </c>
      <c r="E13" s="39">
        <f t="shared" ref="E13" si="1">D13+1</f>
        <v>8</v>
      </c>
      <c r="F13" s="39">
        <f t="shared" ref="F13" si="2">E13+1</f>
        <v>9</v>
      </c>
      <c r="G13" s="39">
        <f t="shared" ref="G13" si="3">F13+1</f>
        <v>10</v>
      </c>
      <c r="H13" s="39">
        <f t="shared" ref="H13" si="4">G13+1</f>
        <v>11</v>
      </c>
      <c r="I13" s="39">
        <f t="shared" ref="I13" si="5">H13+1</f>
        <v>12</v>
      </c>
      <c r="J13" s="39">
        <f t="shared" ref="J13" si="6">I13+1</f>
        <v>13</v>
      </c>
      <c r="K13" s="39">
        <f t="shared" ref="K13" si="7">J13+1</f>
        <v>14</v>
      </c>
      <c r="L13" s="39">
        <f t="shared" ref="L13" si="8">K13+1</f>
        <v>15</v>
      </c>
      <c r="M13" s="39">
        <f t="shared" ref="M13" si="9">L13+1</f>
        <v>16</v>
      </c>
      <c r="N13" s="39">
        <f t="shared" ref="N13" si="10">M13+1</f>
        <v>17</v>
      </c>
      <c r="O13" s="94">
        <f t="shared" ref="O13" si="11">N13+1</f>
        <v>18</v>
      </c>
    </row>
    <row r="14" spans="2:15">
      <c r="B14" s="139" t="s">
        <v>435</v>
      </c>
      <c r="C14" s="25">
        <f>(C13-$I$13)*15</f>
        <v>-90</v>
      </c>
      <c r="D14" s="25">
        <f t="shared" ref="D14:N14" si="12">(D13-$I$13)*15</f>
        <v>-75</v>
      </c>
      <c r="E14" s="25">
        <f t="shared" si="12"/>
        <v>-60</v>
      </c>
      <c r="F14" s="25">
        <f t="shared" si="12"/>
        <v>-45</v>
      </c>
      <c r="G14" s="25">
        <f t="shared" si="12"/>
        <v>-30</v>
      </c>
      <c r="H14" s="25">
        <f t="shared" si="12"/>
        <v>-15</v>
      </c>
      <c r="I14" s="25">
        <f t="shared" si="12"/>
        <v>0</v>
      </c>
      <c r="J14" s="25">
        <f t="shared" si="12"/>
        <v>15</v>
      </c>
      <c r="K14" s="25">
        <f t="shared" si="12"/>
        <v>30</v>
      </c>
      <c r="L14" s="25">
        <f t="shared" si="12"/>
        <v>45</v>
      </c>
      <c r="M14" s="25">
        <f t="shared" si="12"/>
        <v>60</v>
      </c>
      <c r="N14" s="25">
        <f t="shared" si="12"/>
        <v>75</v>
      </c>
      <c r="O14" s="95">
        <f>(O13-I13)*15</f>
        <v>90</v>
      </c>
    </row>
    <row r="15" spans="2:15" ht="15.75" thickBot="1">
      <c r="B15" s="142" t="s">
        <v>434</v>
      </c>
      <c r="C15" s="27">
        <f>RADIANS(C14)</f>
        <v>-1.5707963267948966</v>
      </c>
      <c r="D15" s="27">
        <f t="shared" ref="D15:J15" si="13">RADIANS(D14)</f>
        <v>-1.3089969389957472</v>
      </c>
      <c r="E15" s="27">
        <f t="shared" si="13"/>
        <v>-1.0471975511965976</v>
      </c>
      <c r="F15" s="27">
        <f t="shared" si="13"/>
        <v>-0.78539816339744828</v>
      </c>
      <c r="G15" s="27">
        <f t="shared" si="13"/>
        <v>-0.52359877559829882</v>
      </c>
      <c r="H15" s="27">
        <f t="shared" si="13"/>
        <v>-0.26179938779914941</v>
      </c>
      <c r="I15" s="27">
        <f t="shared" si="13"/>
        <v>0</v>
      </c>
      <c r="J15" s="27">
        <f t="shared" si="13"/>
        <v>0.26179938779914941</v>
      </c>
      <c r="K15" s="27">
        <f>RADIANS(K14)</f>
        <v>0.52359877559829882</v>
      </c>
      <c r="L15" s="27">
        <f t="shared" ref="L15:O15" si="14">RADIANS(L14)</f>
        <v>0.78539816339744828</v>
      </c>
      <c r="M15" s="27">
        <f t="shared" si="14"/>
        <v>1.0471975511965976</v>
      </c>
      <c r="N15" s="27">
        <f t="shared" si="14"/>
        <v>1.3089969389957472</v>
      </c>
      <c r="O15" s="96">
        <f t="shared" si="14"/>
        <v>1.5707963267948966</v>
      </c>
    </row>
    <row r="16" spans="2:15">
      <c r="B16" s="139" t="s">
        <v>436</v>
      </c>
      <c r="C16" s="92">
        <f t="shared" ref="C16:H16" si="15">C14+$D$7</f>
        <v>-91.1203</v>
      </c>
      <c r="D16">
        <f t="shared" si="15"/>
        <v>-76.1203</v>
      </c>
      <c r="E16">
        <f t="shared" si="15"/>
        <v>-61.1203</v>
      </c>
      <c r="F16">
        <f t="shared" si="15"/>
        <v>-46.1203</v>
      </c>
      <c r="G16">
        <f t="shared" si="15"/>
        <v>-31.1203</v>
      </c>
      <c r="H16">
        <f t="shared" si="15"/>
        <v>-16.1203</v>
      </c>
      <c r="I16">
        <f>I14+$D$7</f>
        <v>-1.1203000000000003</v>
      </c>
      <c r="J16">
        <f t="shared" ref="J16:O16" si="16">J14+$D$7</f>
        <v>13.8797</v>
      </c>
      <c r="K16">
        <f t="shared" si="16"/>
        <v>28.8797</v>
      </c>
      <c r="L16">
        <f t="shared" si="16"/>
        <v>43.8797</v>
      </c>
      <c r="M16">
        <f t="shared" si="16"/>
        <v>58.8797</v>
      </c>
      <c r="N16">
        <f t="shared" si="16"/>
        <v>73.8797</v>
      </c>
      <c r="O16" s="97">
        <f t="shared" si="16"/>
        <v>88.8797</v>
      </c>
    </row>
    <row r="17" spans="2:15" ht="15.75" thickBot="1">
      <c r="B17" s="142" t="s">
        <v>437</v>
      </c>
      <c r="C17">
        <f>RADIANS(C16)</f>
        <v>-1.590349250404989</v>
      </c>
      <c r="D17">
        <f t="shared" ref="D17:O17" si="17">RADIANS(D16)</f>
        <v>-1.3285498626058396</v>
      </c>
      <c r="E17">
        <f t="shared" si="17"/>
        <v>-1.0667504748066903</v>
      </c>
      <c r="F17">
        <f t="shared" si="17"/>
        <v>-0.80495108700754081</v>
      </c>
      <c r="G17">
        <f t="shared" si="17"/>
        <v>-0.54315169920839135</v>
      </c>
      <c r="H17">
        <f t="shared" si="17"/>
        <v>-0.28135231140924188</v>
      </c>
      <c r="I17">
        <f t="shared" si="17"/>
        <v>-1.955292361009248E-2</v>
      </c>
      <c r="J17">
        <f t="shared" si="17"/>
        <v>0.24224646418905696</v>
      </c>
      <c r="K17">
        <f t="shared" si="17"/>
        <v>0.50404585198820639</v>
      </c>
      <c r="L17">
        <f t="shared" si="17"/>
        <v>0.76584523978735586</v>
      </c>
      <c r="M17">
        <f t="shared" si="17"/>
        <v>1.0276446275865052</v>
      </c>
      <c r="N17">
        <f t="shared" si="17"/>
        <v>1.2894440153856548</v>
      </c>
      <c r="O17" s="97">
        <f t="shared" si="17"/>
        <v>1.5512434031848041</v>
      </c>
    </row>
    <row r="18" spans="2:15" ht="16.5" thickBot="1">
      <c r="B18" s="143" t="s">
        <v>461</v>
      </c>
      <c r="C18" s="98" t="s">
        <v>11</v>
      </c>
      <c r="D18" s="99">
        <v>90</v>
      </c>
      <c r="E18" s="79">
        <f>RADIANS(D18)</f>
        <v>1.5707963267948966</v>
      </c>
      <c r="F18" s="79"/>
      <c r="G18" s="79"/>
      <c r="H18" s="79" t="s">
        <v>384</v>
      </c>
      <c r="I18" s="79"/>
      <c r="J18" s="79"/>
      <c r="K18" s="79"/>
      <c r="L18" s="79"/>
      <c r="M18" s="79"/>
      <c r="N18" s="79"/>
      <c r="O18" s="100"/>
    </row>
    <row r="19" spans="2:15">
      <c r="B19" s="139" t="s">
        <v>447</v>
      </c>
      <c r="C19" s="102">
        <f>-DEGREES(ATAN(SIN($E$18)*TAN(C15)))</f>
        <v>90</v>
      </c>
      <c r="D19" s="102">
        <f t="shared" ref="D19:O19" si="18">DEGREES(ATAN(SIN($E$18)*TAN(D15)))</f>
        <v>-75</v>
      </c>
      <c r="E19" s="103">
        <f t="shared" si="18"/>
        <v>-59.999999999999993</v>
      </c>
      <c r="F19" s="103">
        <f t="shared" si="18"/>
        <v>-45</v>
      </c>
      <c r="G19" s="103">
        <f t="shared" si="18"/>
        <v>-29.999999999999996</v>
      </c>
      <c r="H19" s="103">
        <f t="shared" si="18"/>
        <v>-14.999999999999998</v>
      </c>
      <c r="I19" s="103">
        <f t="shared" si="18"/>
        <v>0</v>
      </c>
      <c r="J19" s="103">
        <f t="shared" si="18"/>
        <v>14.999999999999998</v>
      </c>
      <c r="K19" s="103">
        <f t="shared" si="18"/>
        <v>29.999999999999996</v>
      </c>
      <c r="L19" s="103">
        <f t="shared" si="18"/>
        <v>45</v>
      </c>
      <c r="M19" s="103">
        <f t="shared" si="18"/>
        <v>59.999999999999993</v>
      </c>
      <c r="N19" s="103">
        <f t="shared" si="18"/>
        <v>75</v>
      </c>
      <c r="O19" s="104">
        <f t="shared" si="18"/>
        <v>90</v>
      </c>
    </row>
    <row r="20" spans="2:15" ht="15.75" thickBot="1">
      <c r="B20" s="140" t="s">
        <v>448</v>
      </c>
      <c r="C20" s="105">
        <f>DEGREES(ATAN(SIN($E$18)*TAN(C17)))-180</f>
        <v>-91.120299999999986</v>
      </c>
      <c r="D20" s="106">
        <f t="shared" ref="D20:O20" si="19">DEGREES(ATAN(SIN($E$18)*TAN(D17)))</f>
        <v>-76.1203</v>
      </c>
      <c r="E20" s="106">
        <f t="shared" si="19"/>
        <v>-61.120300000000007</v>
      </c>
      <c r="F20" s="106">
        <f t="shared" si="19"/>
        <v>-46.1203</v>
      </c>
      <c r="G20" s="106">
        <f t="shared" si="19"/>
        <v>-31.1203</v>
      </c>
      <c r="H20" s="106">
        <f t="shared" si="19"/>
        <v>-16.1203</v>
      </c>
      <c r="I20" s="106">
        <f t="shared" si="19"/>
        <v>-1.1203000000000003</v>
      </c>
      <c r="J20" s="106">
        <f t="shared" si="19"/>
        <v>13.8797</v>
      </c>
      <c r="K20" s="106">
        <f t="shared" si="19"/>
        <v>28.8797</v>
      </c>
      <c r="L20" s="106">
        <f t="shared" si="19"/>
        <v>43.8797</v>
      </c>
      <c r="M20" s="106">
        <f t="shared" si="19"/>
        <v>58.8797</v>
      </c>
      <c r="N20" s="106">
        <f t="shared" si="19"/>
        <v>73.879700000000014</v>
      </c>
      <c r="O20" s="107">
        <f t="shared" si="19"/>
        <v>88.8797</v>
      </c>
    </row>
    <row r="22" spans="2:15" ht="15.75" thickBot="1">
      <c r="C22"/>
      <c r="H22" s="138" t="s">
        <v>414</v>
      </c>
    </row>
    <row r="23" spans="2:15">
      <c r="B23" s="84" t="s">
        <v>11</v>
      </c>
      <c r="C23" s="85">
        <f>$C$4</f>
        <v>35.7029</v>
      </c>
      <c r="D23" s="3">
        <f>RADIANS(C23)</f>
        <v>0.62313315751028353</v>
      </c>
      <c r="E23" s="3"/>
      <c r="F23" s="3" t="s">
        <v>381</v>
      </c>
      <c r="G23" s="3"/>
      <c r="H23" s="3"/>
      <c r="I23" s="3"/>
      <c r="J23" s="3"/>
      <c r="K23" s="3"/>
      <c r="L23" s="3"/>
      <c r="M23" s="3"/>
      <c r="N23" s="3"/>
      <c r="O23" s="23"/>
    </row>
    <row r="24" spans="2:15">
      <c r="C24" s="108">
        <f t="shared" ref="C24:O24" si="20">DEGREES(ATAN(SIN($D$23)*TAN(C15)))</f>
        <v>-90</v>
      </c>
      <c r="D24" s="109">
        <f t="shared" si="20"/>
        <v>-65.33799170012685</v>
      </c>
      <c r="E24" s="109">
        <f t="shared" si="20"/>
        <v>-45.307568615219139</v>
      </c>
      <c r="F24" s="109">
        <f t="shared" si="20"/>
        <v>-30.267079723691673</v>
      </c>
      <c r="G24" s="109">
        <f t="shared" si="20"/>
        <v>-18.620287057772824</v>
      </c>
      <c r="H24" s="109">
        <f t="shared" si="20"/>
        <v>-8.8873935774383881</v>
      </c>
      <c r="I24" s="109">
        <f t="shared" si="20"/>
        <v>0</v>
      </c>
      <c r="J24" s="109">
        <f t="shared" si="20"/>
        <v>8.8873935774383881</v>
      </c>
      <c r="K24" s="109">
        <f t="shared" si="20"/>
        <v>18.620287057772824</v>
      </c>
      <c r="L24" s="109">
        <f t="shared" si="20"/>
        <v>30.267079723691673</v>
      </c>
      <c r="M24" s="109">
        <f t="shared" si="20"/>
        <v>45.307568615219139</v>
      </c>
      <c r="N24" s="109">
        <f t="shared" si="20"/>
        <v>65.33799170012685</v>
      </c>
      <c r="O24" s="110">
        <f t="shared" si="20"/>
        <v>90</v>
      </c>
    </row>
    <row r="25" spans="2:15" ht="15.75" thickBot="1">
      <c r="C25" s="111">
        <f t="shared" ref="C25:O25" si="21">DEGREES(ATAN(SIN($D$23)*TAN(C17)))</f>
        <v>88.080778535420734</v>
      </c>
      <c r="D25" s="106">
        <f t="shared" si="21"/>
        <v>-67.051346467424381</v>
      </c>
      <c r="E25" s="106">
        <f t="shared" si="21"/>
        <v>-46.615495063067875</v>
      </c>
      <c r="F25" s="106">
        <f t="shared" si="21"/>
        <v>-31.251970226300124</v>
      </c>
      <c r="G25" s="106">
        <f t="shared" si="21"/>
        <v>-19.40845281567594</v>
      </c>
      <c r="H25" s="106">
        <f t="shared" si="21"/>
        <v>-9.5737651309429452</v>
      </c>
      <c r="I25" s="106">
        <f t="shared" si="21"/>
        <v>-0.65384221281599053</v>
      </c>
      <c r="J25" s="106">
        <f t="shared" si="21"/>
        <v>8.2056360879749342</v>
      </c>
      <c r="K25" s="106">
        <f t="shared" si="21"/>
        <v>17.842589617445505</v>
      </c>
      <c r="L25" s="106">
        <f t="shared" si="21"/>
        <v>29.300953204788478</v>
      </c>
      <c r="M25" s="106">
        <f t="shared" si="21"/>
        <v>44.028216449427731</v>
      </c>
      <c r="N25" s="106">
        <f t="shared" si="21"/>
        <v>63.653095188802546</v>
      </c>
      <c r="O25" s="107">
        <f t="shared" si="21"/>
        <v>88.08077853542072</v>
      </c>
    </row>
    <row r="26" spans="2:15" ht="15.75" thickBot="1">
      <c r="H26" s="6" t="s">
        <v>417</v>
      </c>
    </row>
    <row r="27" spans="2:15">
      <c r="B27" s="84" t="s">
        <v>11</v>
      </c>
      <c r="C27" s="85">
        <f>$C$4</f>
        <v>35.7029</v>
      </c>
      <c r="D27" s="3">
        <f>RADIANS(C27)</f>
        <v>0.62313315751028353</v>
      </c>
      <c r="E27" s="3"/>
      <c r="F27" s="3" t="s">
        <v>382</v>
      </c>
      <c r="G27" s="3"/>
      <c r="H27" s="3"/>
      <c r="I27" s="3"/>
      <c r="J27" s="3"/>
      <c r="K27" s="3"/>
      <c r="L27" s="3"/>
      <c r="M27" s="3"/>
      <c r="N27" s="3"/>
      <c r="O27" s="23"/>
    </row>
    <row r="28" spans="2:15">
      <c r="C28" s="112">
        <f>DEGREES(ATAN(COS($D$27)*TAN(C15)))</f>
        <v>-90</v>
      </c>
      <c r="D28" s="103">
        <f t="shared" ref="D28:O28" si="22">DEGREES(ATAN(COS($D$27)*TAN(D15)))</f>
        <v>-71.738931373322856</v>
      </c>
      <c r="E28" s="103">
        <f t="shared" si="22"/>
        <v>-54.58811590743349</v>
      </c>
      <c r="F28" s="103">
        <f t="shared" si="22"/>
        <v>-39.078462709400057</v>
      </c>
      <c r="G28" s="103">
        <f t="shared" si="22"/>
        <v>-25.119043158953481</v>
      </c>
      <c r="H28" s="103">
        <f t="shared" si="22"/>
        <v>-12.275600794751661</v>
      </c>
      <c r="I28" s="103">
        <f t="shared" si="22"/>
        <v>0</v>
      </c>
      <c r="J28" s="103">
        <f t="shared" si="22"/>
        <v>12.275600794751661</v>
      </c>
      <c r="K28" s="103">
        <f t="shared" si="22"/>
        <v>25.119043158953481</v>
      </c>
      <c r="L28" s="103">
        <f t="shared" si="22"/>
        <v>39.078462709400057</v>
      </c>
      <c r="M28" s="103">
        <f t="shared" si="22"/>
        <v>54.58811590743349</v>
      </c>
      <c r="N28" s="103">
        <f t="shared" si="22"/>
        <v>71.738931373322856</v>
      </c>
      <c r="O28" s="113">
        <f t="shared" si="22"/>
        <v>90</v>
      </c>
    </row>
    <row r="29" spans="2:15" ht="15.75" thickBot="1">
      <c r="C29" s="111">
        <f>DEGREES(ATAN(COS($D$27)*TAN(C17)))</f>
        <v>88.62050270869868</v>
      </c>
      <c r="D29" s="106">
        <f t="shared" ref="D29:O29" si="23">DEGREES(ATAN(COS($D$27)*TAN(D17)))</f>
        <v>-73.075577143990358</v>
      </c>
      <c r="E29" s="106">
        <f t="shared" si="23"/>
        <v>-55.814667631729982</v>
      </c>
      <c r="F29" s="106">
        <f t="shared" si="23"/>
        <v>-40.179338354876592</v>
      </c>
      <c r="G29" s="106">
        <f t="shared" si="23"/>
        <v>-26.116624254976621</v>
      </c>
      <c r="H29" s="106">
        <f t="shared" si="23"/>
        <v>-13.208209566951043</v>
      </c>
      <c r="I29" s="106">
        <f t="shared" si="23"/>
        <v>-0.90978356966889651</v>
      </c>
      <c r="J29" s="106">
        <f t="shared" si="23"/>
        <v>11.346164129223196</v>
      </c>
      <c r="K29" s="106">
        <f t="shared" si="23"/>
        <v>24.12773026077841</v>
      </c>
      <c r="L29" s="106">
        <f t="shared" si="23"/>
        <v>37.986386099199422</v>
      </c>
      <c r="M29" s="106">
        <f t="shared" si="23"/>
        <v>53.371025902653045</v>
      </c>
      <c r="N29" s="106">
        <f t="shared" si="23"/>
        <v>70.408791421600597</v>
      </c>
      <c r="O29" s="107">
        <f t="shared" si="23"/>
        <v>88.620502708698666</v>
      </c>
    </row>
    <row r="32" spans="2:15" ht="15.75" thickBot="1">
      <c r="G32" s="41" t="s">
        <v>451</v>
      </c>
      <c r="H32" s="90" t="s">
        <v>450</v>
      </c>
      <c r="I32" s="4" t="s">
        <v>387</v>
      </c>
      <c r="O32" s="2"/>
    </row>
    <row r="33" spans="2:15">
      <c r="B33" s="141" t="s">
        <v>433</v>
      </c>
      <c r="C33" s="39">
        <v>6</v>
      </c>
      <c r="D33" s="39">
        <f>C33+1</f>
        <v>7</v>
      </c>
      <c r="E33" s="39">
        <f t="shared" ref="E33" si="24">D33+1</f>
        <v>8</v>
      </c>
      <c r="F33" s="39">
        <f t="shared" ref="F33" si="25">E33+1</f>
        <v>9</v>
      </c>
      <c r="G33" s="39">
        <f t="shared" ref="G33" si="26">F33+1</f>
        <v>10</v>
      </c>
      <c r="H33" s="39">
        <f t="shared" ref="H33" si="27">G33+1</f>
        <v>11</v>
      </c>
      <c r="I33" s="39">
        <f t="shared" ref="I33" si="28">H33+1</f>
        <v>12</v>
      </c>
      <c r="J33" s="39">
        <f t="shared" ref="J33" si="29">I33+1</f>
        <v>13</v>
      </c>
      <c r="K33" s="39">
        <f t="shared" ref="K33" si="30">J33+1</f>
        <v>14</v>
      </c>
      <c r="L33" s="39">
        <f t="shared" ref="L33" si="31">K33+1</f>
        <v>15</v>
      </c>
      <c r="M33" s="39">
        <f t="shared" ref="M33" si="32">L33+1</f>
        <v>16</v>
      </c>
      <c r="N33" s="39">
        <f t="shared" ref="N33" si="33">M33+1</f>
        <v>17</v>
      </c>
      <c r="O33" s="29">
        <f t="shared" ref="O33" si="34">N33+1</f>
        <v>18</v>
      </c>
    </row>
    <row r="34" spans="2:15">
      <c r="B34" s="153" t="s">
        <v>435</v>
      </c>
      <c r="C34" s="30">
        <f>(C33-$I$33)*15</f>
        <v>-90</v>
      </c>
      <c r="D34" s="30">
        <f t="shared" ref="D34:N34" si="35">(D33-$I$33)*15</f>
        <v>-75</v>
      </c>
      <c r="E34" s="30">
        <f t="shared" si="35"/>
        <v>-60</v>
      </c>
      <c r="F34" s="30">
        <f t="shared" si="35"/>
        <v>-45</v>
      </c>
      <c r="G34" s="30">
        <f t="shared" si="35"/>
        <v>-30</v>
      </c>
      <c r="H34" s="30">
        <f t="shared" si="35"/>
        <v>-15</v>
      </c>
      <c r="I34" s="30">
        <f t="shared" si="35"/>
        <v>0</v>
      </c>
      <c r="J34" s="30">
        <f t="shared" si="35"/>
        <v>15</v>
      </c>
      <c r="K34" s="30">
        <f t="shared" si="35"/>
        <v>30</v>
      </c>
      <c r="L34" s="30">
        <f t="shared" si="35"/>
        <v>45</v>
      </c>
      <c r="M34" s="30">
        <f t="shared" si="35"/>
        <v>60</v>
      </c>
      <c r="N34" s="30">
        <f t="shared" si="35"/>
        <v>75</v>
      </c>
      <c r="O34" s="67">
        <f>(O33-I33)*15</f>
        <v>90</v>
      </c>
    </row>
    <row r="35" spans="2:15" ht="15.75" thickBot="1">
      <c r="B35" s="142" t="s">
        <v>434</v>
      </c>
      <c r="C35" s="27">
        <f>RADIANS(C34)</f>
        <v>-1.5707963267948966</v>
      </c>
      <c r="D35" s="27">
        <f t="shared" ref="D35:J35" si="36">RADIANS(D34)</f>
        <v>-1.3089969389957472</v>
      </c>
      <c r="E35" s="27">
        <f t="shared" si="36"/>
        <v>-1.0471975511965976</v>
      </c>
      <c r="F35" s="27">
        <f t="shared" si="36"/>
        <v>-0.78539816339744828</v>
      </c>
      <c r="G35" s="27">
        <f t="shared" si="36"/>
        <v>-0.52359877559829882</v>
      </c>
      <c r="H35" s="27">
        <f t="shared" si="36"/>
        <v>-0.26179938779914941</v>
      </c>
      <c r="I35" s="27">
        <f t="shared" si="36"/>
        <v>0</v>
      </c>
      <c r="J35" s="27">
        <f t="shared" si="36"/>
        <v>0.26179938779914941</v>
      </c>
      <c r="K35" s="27">
        <f>RADIANS(K34)</f>
        <v>0.52359877559829882</v>
      </c>
      <c r="L35" s="27">
        <f t="shared" ref="L35:O35" si="37">RADIANS(L34)</f>
        <v>0.78539816339744828</v>
      </c>
      <c r="M35" s="27">
        <f t="shared" si="37"/>
        <v>1.0471975511965976</v>
      </c>
      <c r="N35" s="27">
        <f t="shared" si="37"/>
        <v>1.3089969389957472</v>
      </c>
      <c r="O35" s="28">
        <f t="shared" si="37"/>
        <v>1.5707963267948966</v>
      </c>
    </row>
    <row r="36" spans="2:15">
      <c r="B36" s="141" t="s">
        <v>436</v>
      </c>
      <c r="C36">
        <f t="shared" ref="C36:H36" si="38">C34+$D$7</f>
        <v>-91.1203</v>
      </c>
      <c r="D36">
        <f t="shared" si="38"/>
        <v>-76.1203</v>
      </c>
      <c r="E36">
        <f t="shared" si="38"/>
        <v>-61.1203</v>
      </c>
      <c r="F36">
        <f t="shared" si="38"/>
        <v>-46.1203</v>
      </c>
      <c r="G36">
        <f t="shared" si="38"/>
        <v>-31.1203</v>
      </c>
      <c r="H36">
        <f t="shared" si="38"/>
        <v>-16.1203</v>
      </c>
      <c r="I36">
        <f>I34+$D$7</f>
        <v>-1.1203000000000003</v>
      </c>
      <c r="J36">
        <f t="shared" ref="J36:O36" si="39">J34+$D$7</f>
        <v>13.8797</v>
      </c>
      <c r="K36">
        <f t="shared" si="39"/>
        <v>28.8797</v>
      </c>
      <c r="L36">
        <f t="shared" si="39"/>
        <v>43.8797</v>
      </c>
      <c r="M36">
        <f t="shared" si="39"/>
        <v>58.8797</v>
      </c>
      <c r="N36">
        <f t="shared" si="39"/>
        <v>73.8797</v>
      </c>
      <c r="O36" s="46">
        <f t="shared" si="39"/>
        <v>88.8797</v>
      </c>
    </row>
    <row r="37" spans="2:15" ht="15.75" thickBot="1">
      <c r="B37" s="142" t="s">
        <v>437</v>
      </c>
      <c r="C37" s="51">
        <f>RADIANS(C36)</f>
        <v>-1.590349250404989</v>
      </c>
      <c r="D37" s="4">
        <f t="shared" ref="D37:O37" si="40">RADIANS(D36)</f>
        <v>-1.3285498626058396</v>
      </c>
      <c r="E37" s="4">
        <f t="shared" si="40"/>
        <v>-1.0667504748066903</v>
      </c>
      <c r="F37" s="4">
        <f t="shared" si="40"/>
        <v>-0.80495108700754081</v>
      </c>
      <c r="G37" s="4">
        <f t="shared" si="40"/>
        <v>-0.54315169920839135</v>
      </c>
      <c r="H37" s="4">
        <f t="shared" si="40"/>
        <v>-0.28135231140924188</v>
      </c>
      <c r="I37" s="4">
        <f t="shared" si="40"/>
        <v>-1.955292361009248E-2</v>
      </c>
      <c r="J37" s="4">
        <f t="shared" si="40"/>
        <v>0.24224646418905696</v>
      </c>
      <c r="K37" s="4">
        <f t="shared" si="40"/>
        <v>0.50404585198820639</v>
      </c>
      <c r="L37" s="4">
        <f t="shared" si="40"/>
        <v>0.76584523978735586</v>
      </c>
      <c r="M37" s="4">
        <f t="shared" si="40"/>
        <v>1.0276446275865052</v>
      </c>
      <c r="N37" s="4">
        <f t="shared" si="40"/>
        <v>1.2894440153856548</v>
      </c>
      <c r="O37" s="24">
        <f t="shared" si="40"/>
        <v>1.5512434031848041</v>
      </c>
    </row>
    <row r="38" spans="2:15" ht="16.5" thickBot="1">
      <c r="B38" s="152" t="s">
        <v>461</v>
      </c>
      <c r="C38" s="91" t="s">
        <v>11</v>
      </c>
      <c r="D38" s="2">
        <f>$C$4</f>
        <v>35.7029</v>
      </c>
      <c r="E38">
        <f>RADIANS(D38)</f>
        <v>0.62313315751028353</v>
      </c>
      <c r="H38" s="41" t="s">
        <v>452</v>
      </c>
      <c r="I38" s="89">
        <v>45</v>
      </c>
      <c r="J38" s="2">
        <f>RADIANS(I38)</f>
        <v>0.78539816339744828</v>
      </c>
      <c r="O38" s="46"/>
    </row>
    <row r="39" spans="2:15">
      <c r="B39" s="148" t="s">
        <v>456</v>
      </c>
      <c r="C39" t="s">
        <v>385</v>
      </c>
      <c r="E39">
        <f>DEGREES(ATAN(TAN(E38)*SIN(J38)))</f>
        <v>26.937948766766354</v>
      </c>
      <c r="I39" s="101" t="s">
        <v>386</v>
      </c>
      <c r="J39" s="2">
        <f>DEGREES(ASIN(SIN(E38)*COS(J38)))</f>
        <v>24.371727951580546</v>
      </c>
      <c r="O39" s="46"/>
    </row>
    <row r="40" spans="2:15">
      <c r="B40" s="148" t="s">
        <v>447</v>
      </c>
      <c r="C40" s="103">
        <f>DEGREES(ATAN((SIN($E$38))/(COS($J$38)*_xlfn.COT(C35)+COS($E$38)*SIN($J$38))))</f>
        <v>45.463854179510903</v>
      </c>
      <c r="D40" s="103">
        <f t="shared" ref="D40:N40" si="41">DEGREES(ATAN((SIN($E$38))/(COS($J$38)*_xlfn.COT(D35)+COS($E$38)*SIN($J$38))))</f>
        <v>56.604204730934619</v>
      </c>
      <c r="E40" s="103">
        <f t="shared" si="41"/>
        <v>74.125176095668948</v>
      </c>
      <c r="F40" s="103">
        <f t="shared" si="41"/>
        <v>-77.170944981827205</v>
      </c>
      <c r="G40" s="103">
        <f t="shared" si="41"/>
        <v>-41.894620291788421</v>
      </c>
      <c r="H40" s="103">
        <f t="shared" si="41"/>
        <v>-15.782452813859283</v>
      </c>
      <c r="I40" s="103" t="e">
        <f t="shared" si="41"/>
        <v>#DIV/0!</v>
      </c>
      <c r="J40" s="103">
        <f t="shared" si="41"/>
        <v>10.293972980777498</v>
      </c>
      <c r="K40" s="103">
        <f t="shared" si="41"/>
        <v>17.973112326579034</v>
      </c>
      <c r="L40" s="103">
        <f t="shared" si="41"/>
        <v>24.487155093675831</v>
      </c>
      <c r="M40" s="103">
        <f t="shared" si="41"/>
        <v>30.71043046581412</v>
      </c>
      <c r="N40" s="103">
        <f t="shared" si="41"/>
        <v>37.386111059897978</v>
      </c>
      <c r="O40" s="113">
        <f t="shared" ref="O40" si="42">DEGREES(ATAN2((COS($J$38)*COS(O35)+SIN(O35)*COS($E$38)*SIN($J$38)),(SIN($E$38)*SIN(O35))))</f>
        <v>45.463854179510903</v>
      </c>
    </row>
    <row r="41" spans="2:15" ht="15.75" thickBot="1">
      <c r="B41" s="151" t="s">
        <v>448</v>
      </c>
      <c r="C41" s="7">
        <f t="shared" ref="C41:O41" si="43">DEGREES(ATAN2((COS($J$38)*COS(C37)+SIN(C37)*COS($E$38)*SIN($J$38)),(SIN($E$38)*SIN(C37))))</f>
        <v>-135.21782973399235</v>
      </c>
      <c r="D41" s="7">
        <f t="shared" si="43"/>
        <v>-124.39307098310233</v>
      </c>
      <c r="E41" s="7">
        <f t="shared" si="43"/>
        <v>-107.51687490212618</v>
      </c>
      <c r="F41" s="7">
        <f t="shared" si="43"/>
        <v>-79.726810815037211</v>
      </c>
      <c r="G41" s="7">
        <f t="shared" si="43"/>
        <v>-44.347069459161773</v>
      </c>
      <c r="H41" s="7">
        <f t="shared" si="43"/>
        <v>-17.311300818655628</v>
      </c>
      <c r="I41" s="7">
        <f t="shared" si="43"/>
        <v>-0.93954988123658523</v>
      </c>
      <c r="J41" s="7">
        <f t="shared" si="43"/>
        <v>9.6397651951817629</v>
      </c>
      <c r="K41" s="7">
        <f t="shared" si="43"/>
        <v>17.452917167739923</v>
      </c>
      <c r="L41" s="7">
        <f t="shared" si="43"/>
        <v>24.019904791105542</v>
      </c>
      <c r="M41" s="7">
        <f t="shared" si="43"/>
        <v>30.239547865625504</v>
      </c>
      <c r="N41" s="7">
        <f t="shared" si="43"/>
        <v>36.853417654953908</v>
      </c>
      <c r="O41" s="114">
        <f t="shared" si="43"/>
        <v>44.782170266007647</v>
      </c>
    </row>
    <row r="42" spans="2:15" ht="15.75" thickBot="1">
      <c r="B42" s="151" t="s">
        <v>457</v>
      </c>
      <c r="C42" s="93">
        <f t="shared" ref="C42:O42" si="44">IF(ABS($I$38) = 90,_xlfn.COT(C35),0)</f>
        <v>0</v>
      </c>
      <c r="D42" s="27">
        <f t="shared" si="44"/>
        <v>0</v>
      </c>
      <c r="E42" s="27">
        <f t="shared" si="44"/>
        <v>0</v>
      </c>
      <c r="F42" s="27">
        <f t="shared" si="44"/>
        <v>0</v>
      </c>
      <c r="G42" s="27">
        <f t="shared" si="44"/>
        <v>0</v>
      </c>
      <c r="H42" s="27">
        <f t="shared" si="44"/>
        <v>0</v>
      </c>
      <c r="I42" s="27">
        <f t="shared" si="44"/>
        <v>0</v>
      </c>
      <c r="J42" s="27">
        <f t="shared" si="44"/>
        <v>0</v>
      </c>
      <c r="K42" s="27">
        <f t="shared" si="44"/>
        <v>0</v>
      </c>
      <c r="L42" s="27">
        <f t="shared" si="44"/>
        <v>0</v>
      </c>
      <c r="M42" s="27">
        <f t="shared" si="44"/>
        <v>0</v>
      </c>
      <c r="N42" s="27">
        <f t="shared" si="44"/>
        <v>0</v>
      </c>
      <c r="O42" s="28">
        <f t="shared" si="44"/>
        <v>0</v>
      </c>
    </row>
    <row r="43" spans="2:15" ht="15.75" thickBot="1">
      <c r="H43" s="6" t="s">
        <v>453</v>
      </c>
    </row>
    <row r="44" spans="2:15">
      <c r="B44" t="s">
        <v>459</v>
      </c>
      <c r="C44" s="85" t="s">
        <v>4</v>
      </c>
      <c r="D44" s="66">
        <v>-90</v>
      </c>
      <c r="E44" s="66">
        <f>RADIANS(D44)</f>
        <v>-1.5707963267948966</v>
      </c>
      <c r="F44" s="66"/>
      <c r="G44" s="3"/>
      <c r="H44" s="88" t="s">
        <v>7</v>
      </c>
      <c r="I44" s="66">
        <v>35.755000000000003</v>
      </c>
      <c r="J44" s="3"/>
      <c r="K44" s="66"/>
      <c r="L44" s="88" t="s">
        <v>8</v>
      </c>
      <c r="M44" s="66">
        <f>DEGREES(ASIN(SIN($E$4)*COS(E44)))</f>
        <v>2.0482524122820275E-15</v>
      </c>
      <c r="N44" s="3"/>
      <c r="O44" s="23"/>
    </row>
    <row r="45" spans="2:15">
      <c r="C45" s="14">
        <f t="shared" ref="C45:O45" si="45">DEGREES(ATAN2((COS($E$44)*COS(C35)+SIN(C35)*COS($E$4)*SIN($E$44)),(SIN($E$4)*SIN(C35))))</f>
        <v>-35.702900000000007</v>
      </c>
      <c r="D45" s="2">
        <f t="shared" si="45"/>
        <v>-35.702900000000007</v>
      </c>
      <c r="E45" s="2">
        <f t="shared" si="45"/>
        <v>-35.702900000000007</v>
      </c>
      <c r="F45" s="2">
        <f t="shared" si="45"/>
        <v>-35.702900000000007</v>
      </c>
      <c r="G45" s="2">
        <f t="shared" si="45"/>
        <v>-35.7029</v>
      </c>
      <c r="H45" s="2">
        <f t="shared" si="45"/>
        <v>-35.7029</v>
      </c>
      <c r="I45" s="2">
        <f t="shared" si="45"/>
        <v>0</v>
      </c>
      <c r="J45" s="2">
        <f t="shared" si="45"/>
        <v>144.2971</v>
      </c>
      <c r="K45" s="2">
        <f t="shared" si="45"/>
        <v>144.2971</v>
      </c>
      <c r="L45" s="2">
        <f t="shared" si="45"/>
        <v>144.2971</v>
      </c>
      <c r="M45" s="2">
        <f t="shared" si="45"/>
        <v>144.2971</v>
      </c>
      <c r="N45" s="2">
        <f t="shared" si="45"/>
        <v>144.2971</v>
      </c>
      <c r="O45" s="20">
        <f t="shared" si="45"/>
        <v>144.2971</v>
      </c>
    </row>
    <row r="46" spans="2:15">
      <c r="C46" s="14">
        <f t="shared" ref="C46:O46" si="46">DEGREES(ATAN2((COS($E$44)*COS(C37)+SIN(C37)*COS($E$4)*SIN($E$44)),(SIN($E$4)*SIN(C37))))</f>
        <v>-35.702900000000007</v>
      </c>
      <c r="D46" s="2">
        <f t="shared" si="46"/>
        <v>-35.7029</v>
      </c>
      <c r="E46" s="2">
        <f t="shared" si="46"/>
        <v>-35.702900000000007</v>
      </c>
      <c r="F46" s="2">
        <f t="shared" si="46"/>
        <v>-35.702900000000007</v>
      </c>
      <c r="G46" s="2">
        <f t="shared" si="46"/>
        <v>-35.7029</v>
      </c>
      <c r="H46" s="2">
        <f t="shared" si="46"/>
        <v>-35.7029</v>
      </c>
      <c r="I46" s="2">
        <f t="shared" si="46"/>
        <v>-35.702899999999893</v>
      </c>
      <c r="J46" s="2">
        <f t="shared" si="46"/>
        <v>144.2971</v>
      </c>
      <c r="K46" s="2">
        <f t="shared" si="46"/>
        <v>144.2971</v>
      </c>
      <c r="L46" s="2">
        <f t="shared" si="46"/>
        <v>144.2971</v>
      </c>
      <c r="M46" s="2">
        <f t="shared" si="46"/>
        <v>144.2971</v>
      </c>
      <c r="N46" s="2">
        <f t="shared" si="46"/>
        <v>144.29710000000003</v>
      </c>
      <c r="O46" s="20">
        <f t="shared" si="46"/>
        <v>144.2971</v>
      </c>
    </row>
    <row r="47" spans="2:15" ht="15.75" thickBot="1">
      <c r="C47" s="86">
        <f t="shared" ref="C47:O47" si="47">IF(ABS($D$44) = 90,_xlfn.COT(C35),0)</f>
        <v>-6.1257422745431001E-17</v>
      </c>
      <c r="D47" s="27">
        <f t="shared" si="47"/>
        <v>-0.2679491924311227</v>
      </c>
      <c r="E47" s="27">
        <f t="shared" si="47"/>
        <v>-0.57735026918962595</v>
      </c>
      <c r="F47" s="27">
        <f t="shared" si="47"/>
        <v>-1</v>
      </c>
      <c r="G47" s="27">
        <f t="shared" si="47"/>
        <v>-1.7320508075688774</v>
      </c>
      <c r="H47" s="27">
        <f t="shared" si="47"/>
        <v>-3.7320508075688776</v>
      </c>
      <c r="I47" s="27" t="e">
        <f t="shared" si="47"/>
        <v>#DIV/0!</v>
      </c>
      <c r="J47" s="27">
        <f t="shared" si="47"/>
        <v>3.7320508075688776</v>
      </c>
      <c r="K47" s="27">
        <f t="shared" si="47"/>
        <v>1.7320508075688774</v>
      </c>
      <c r="L47" s="27">
        <f t="shared" si="47"/>
        <v>1</v>
      </c>
      <c r="M47" s="27">
        <f t="shared" si="47"/>
        <v>0.57735026918962595</v>
      </c>
      <c r="N47" s="27">
        <f t="shared" si="47"/>
        <v>0.2679491924311227</v>
      </c>
      <c r="O47" s="28">
        <f t="shared" si="47"/>
        <v>6.1257422745431001E-17</v>
      </c>
    </row>
    <row r="50" spans="2:15" ht="15.75" thickBot="1">
      <c r="H50" s="147" t="s">
        <v>465</v>
      </c>
      <c r="I50" t="s">
        <v>388</v>
      </c>
    </row>
    <row r="51" spans="2:15">
      <c r="B51" s="141" t="s">
        <v>433</v>
      </c>
      <c r="C51" s="39">
        <v>6</v>
      </c>
      <c r="D51" s="39">
        <f>C51+1</f>
        <v>7</v>
      </c>
      <c r="E51" s="39">
        <f t="shared" ref="E51" si="48">D51+1</f>
        <v>8</v>
      </c>
      <c r="F51" s="39">
        <f t="shared" ref="F51" si="49">E51+1</f>
        <v>9</v>
      </c>
      <c r="G51" s="39">
        <f t="shared" ref="G51" si="50">F51+1</f>
        <v>10</v>
      </c>
      <c r="H51" s="39">
        <f t="shared" ref="H51" si="51">G51+1</f>
        <v>11</v>
      </c>
      <c r="I51" s="39">
        <f t="shared" ref="I51" si="52">H51+1</f>
        <v>12</v>
      </c>
      <c r="J51" s="39">
        <f t="shared" ref="J51" si="53">I51+1</f>
        <v>13</v>
      </c>
      <c r="K51" s="39">
        <f t="shared" ref="K51" si="54">J51+1</f>
        <v>14</v>
      </c>
      <c r="L51" s="39">
        <f t="shared" ref="L51" si="55">K51+1</f>
        <v>15</v>
      </c>
      <c r="M51" s="39">
        <f t="shared" ref="M51" si="56">L51+1</f>
        <v>16</v>
      </c>
      <c r="N51" s="39">
        <f t="shared" ref="N51" si="57">M51+1</f>
        <v>17</v>
      </c>
      <c r="O51" s="29">
        <f t="shared" ref="O51" si="58">N51+1</f>
        <v>18</v>
      </c>
    </row>
    <row r="52" spans="2:15">
      <c r="B52" s="153" t="s">
        <v>435</v>
      </c>
      <c r="C52" s="30">
        <f>(C51-$I$51)*15</f>
        <v>-90</v>
      </c>
      <c r="D52" s="30">
        <f t="shared" ref="D52:N52" si="59">(D51-$I$51)*15</f>
        <v>-75</v>
      </c>
      <c r="E52" s="30">
        <f t="shared" si="59"/>
        <v>-60</v>
      </c>
      <c r="F52" s="30">
        <f t="shared" si="59"/>
        <v>-45</v>
      </c>
      <c r="G52" s="30">
        <f t="shared" si="59"/>
        <v>-30</v>
      </c>
      <c r="H52" s="30">
        <f t="shared" si="59"/>
        <v>-15</v>
      </c>
      <c r="I52" s="30">
        <f t="shared" si="59"/>
        <v>0</v>
      </c>
      <c r="J52" s="30">
        <f t="shared" si="59"/>
        <v>15</v>
      </c>
      <c r="K52" s="30">
        <f t="shared" si="59"/>
        <v>30</v>
      </c>
      <c r="L52" s="30">
        <f t="shared" si="59"/>
        <v>45</v>
      </c>
      <c r="M52" s="30">
        <f t="shared" si="59"/>
        <v>60</v>
      </c>
      <c r="N52" s="30">
        <f t="shared" si="59"/>
        <v>75</v>
      </c>
      <c r="O52" s="67">
        <f>(O51-I51)*15</f>
        <v>90</v>
      </c>
    </row>
    <row r="53" spans="2:15" ht="20.25" customHeight="1" thickBot="1">
      <c r="B53" s="142" t="s">
        <v>434</v>
      </c>
      <c r="C53" s="27">
        <f>RADIANS(C52)</f>
        <v>-1.5707963267948966</v>
      </c>
      <c r="D53" s="27">
        <f t="shared" ref="D53:J53" si="60">RADIANS(D52)</f>
        <v>-1.3089969389957472</v>
      </c>
      <c r="E53" s="27">
        <f t="shared" si="60"/>
        <v>-1.0471975511965976</v>
      </c>
      <c r="F53" s="27">
        <f t="shared" si="60"/>
        <v>-0.78539816339744828</v>
      </c>
      <c r="G53" s="27">
        <f t="shared" si="60"/>
        <v>-0.52359877559829882</v>
      </c>
      <c r="H53" s="27">
        <f t="shared" si="60"/>
        <v>-0.26179938779914941</v>
      </c>
      <c r="I53" s="27">
        <f t="shared" si="60"/>
        <v>0</v>
      </c>
      <c r="J53" s="27">
        <f t="shared" si="60"/>
        <v>0.26179938779914941</v>
      </c>
      <c r="K53" s="27">
        <f>RADIANS(K52)</f>
        <v>0.52359877559829882</v>
      </c>
      <c r="L53" s="27">
        <f t="shared" ref="L53:O53" si="61">RADIANS(L52)</f>
        <v>0.78539816339744828</v>
      </c>
      <c r="M53" s="27">
        <f t="shared" si="61"/>
        <v>1.0471975511965976</v>
      </c>
      <c r="N53" s="27">
        <f t="shared" si="61"/>
        <v>1.3089969389957472</v>
      </c>
      <c r="O53" s="28">
        <f t="shared" si="61"/>
        <v>1.5707963267948966</v>
      </c>
    </row>
    <row r="54" spans="2:15">
      <c r="B54" s="141" t="s">
        <v>436</v>
      </c>
      <c r="C54">
        <f t="shared" ref="C54:H54" si="62">C52+$D$7</f>
        <v>-91.1203</v>
      </c>
      <c r="D54">
        <f t="shared" si="62"/>
        <v>-76.1203</v>
      </c>
      <c r="E54">
        <f t="shared" si="62"/>
        <v>-61.1203</v>
      </c>
      <c r="F54">
        <f t="shared" si="62"/>
        <v>-46.1203</v>
      </c>
      <c r="G54">
        <f t="shared" si="62"/>
        <v>-31.1203</v>
      </c>
      <c r="H54">
        <f t="shared" si="62"/>
        <v>-16.1203</v>
      </c>
      <c r="I54">
        <f>I52+$D$7</f>
        <v>-1.1203000000000003</v>
      </c>
      <c r="J54">
        <f t="shared" ref="J54:O54" si="63">J52+$D$7</f>
        <v>13.8797</v>
      </c>
      <c r="K54">
        <f t="shared" si="63"/>
        <v>28.8797</v>
      </c>
      <c r="L54">
        <f t="shared" si="63"/>
        <v>43.8797</v>
      </c>
      <c r="M54">
        <f t="shared" si="63"/>
        <v>58.8797</v>
      </c>
      <c r="N54">
        <f t="shared" si="63"/>
        <v>73.8797</v>
      </c>
      <c r="O54" s="46">
        <f t="shared" si="63"/>
        <v>88.8797</v>
      </c>
    </row>
    <row r="55" spans="2:15" ht="15.75" thickBot="1">
      <c r="B55" s="142" t="s">
        <v>437</v>
      </c>
      <c r="C55" s="51">
        <f>RADIANS(C54)</f>
        <v>-1.590349250404989</v>
      </c>
      <c r="D55" s="4">
        <f t="shared" ref="D55:O55" si="64">RADIANS(D54)</f>
        <v>-1.3285498626058396</v>
      </c>
      <c r="E55" s="4">
        <f t="shared" si="64"/>
        <v>-1.0667504748066903</v>
      </c>
      <c r="F55" s="4">
        <f t="shared" si="64"/>
        <v>-0.80495108700754081</v>
      </c>
      <c r="G55" s="4">
        <f t="shared" si="64"/>
        <v>-0.54315169920839135</v>
      </c>
      <c r="H55" s="4">
        <f t="shared" si="64"/>
        <v>-0.28135231140924188</v>
      </c>
      <c r="I55" s="4">
        <f t="shared" si="64"/>
        <v>-1.955292361009248E-2</v>
      </c>
      <c r="J55" s="4">
        <f t="shared" si="64"/>
        <v>0.24224646418905696</v>
      </c>
      <c r="K55" s="4">
        <f t="shared" si="64"/>
        <v>0.50404585198820639</v>
      </c>
      <c r="L55" s="4">
        <f t="shared" si="64"/>
        <v>0.76584523978735586</v>
      </c>
      <c r="M55" s="4">
        <f t="shared" si="64"/>
        <v>1.0276446275865052</v>
      </c>
      <c r="N55" s="4">
        <f t="shared" si="64"/>
        <v>1.2894440153856548</v>
      </c>
      <c r="O55" s="24">
        <f t="shared" si="64"/>
        <v>1.5512434031848041</v>
      </c>
    </row>
    <row r="56" spans="2:15" ht="16.5" thickBot="1">
      <c r="B56" s="152" t="s">
        <v>461</v>
      </c>
      <c r="C56" s="91" t="s">
        <v>11</v>
      </c>
      <c r="D56" s="2">
        <f>$C$4</f>
        <v>35.7029</v>
      </c>
      <c r="E56">
        <f>RADIANS(D56)</f>
        <v>0.62313315751028353</v>
      </c>
      <c r="H56" s="41" t="s">
        <v>454</v>
      </c>
      <c r="I56" s="89">
        <v>45</v>
      </c>
      <c r="J56" s="2">
        <f>RADIANS(I56)</f>
        <v>0.78539816339744828</v>
      </c>
      <c r="O56" s="46"/>
    </row>
    <row r="57" spans="2:15">
      <c r="B57" s="148" t="s">
        <v>456</v>
      </c>
      <c r="C57" t="s">
        <v>390</v>
      </c>
      <c r="E57">
        <f>DEGREES(ATAN(SIN(J56)/TAN(E56)))</f>
        <v>44.536145820489104</v>
      </c>
      <c r="I57" s="101" t="s">
        <v>391</v>
      </c>
      <c r="J57" s="2">
        <f>DEGREES(ASIN(COS(E56)*COS(J56)))</f>
        <v>35.044248605738744</v>
      </c>
      <c r="O57" s="46"/>
    </row>
    <row r="58" spans="2:15">
      <c r="B58" s="149" t="s">
        <v>447</v>
      </c>
      <c r="C58" s="115">
        <f t="shared" ref="C58:O58" si="65">DEGREES(ATAN2((COS($J$56)*COS(C53)+SIN(C53)*SIN($E$56)*SIN($J$56)),(COS($E$56)*SIN(C53))))</f>
        <v>-116.93794876676635</v>
      </c>
      <c r="D58" s="103">
        <f t="shared" si="65"/>
        <v>-105.36782007532155</v>
      </c>
      <c r="E58" s="103">
        <f t="shared" si="65"/>
        <v>-90.310920261120629</v>
      </c>
      <c r="F58" s="103">
        <f t="shared" si="65"/>
        <v>-70.069293471576245</v>
      </c>
      <c r="G58" s="103">
        <f t="shared" si="65"/>
        <v>-44.998734605270464</v>
      </c>
      <c r="H58" s="103">
        <f t="shared" si="65"/>
        <v>-20.039664125398524</v>
      </c>
      <c r="I58" s="103">
        <f t="shared" si="65"/>
        <v>0</v>
      </c>
      <c r="J58" s="103">
        <f t="shared" si="65"/>
        <v>14.901445405928087</v>
      </c>
      <c r="K58" s="103">
        <f t="shared" si="65"/>
        <v>26.378705572959568</v>
      </c>
      <c r="L58" s="103">
        <f t="shared" si="65"/>
        <v>35.949714095771228</v>
      </c>
      <c r="M58" s="103">
        <f t="shared" si="65"/>
        <v>44.689506114878633</v>
      </c>
      <c r="N58" s="103">
        <f t="shared" si="65"/>
        <v>53.443717626832189</v>
      </c>
      <c r="O58" s="113">
        <f t="shared" si="65"/>
        <v>63.062051233233639</v>
      </c>
    </row>
    <row r="59" spans="2:15" ht="15.75" thickBot="1">
      <c r="B59" s="150" t="s">
        <v>448</v>
      </c>
      <c r="C59" s="116">
        <f t="shared" ref="C59:O59" si="66">DEGREES(ATAN2((COS($J$56)*COS(C55)+SIN(C55)*SIN($E$56)*SIN($J$56)),(COS($E$56)*SIN(C55))))</f>
        <v>-117.70801408902919</v>
      </c>
      <c r="D59" s="7">
        <f t="shared" si="66"/>
        <v>-106.33044185670786</v>
      </c>
      <c r="E59" s="7">
        <f t="shared" si="66"/>
        <v>-91.59684054016796</v>
      </c>
      <c r="F59" s="7">
        <f t="shared" si="66"/>
        <v>-71.77855032332323</v>
      </c>
      <c r="G59" s="7">
        <f t="shared" si="66"/>
        <v>-46.949536702899145</v>
      </c>
      <c r="H59" s="7">
        <f t="shared" si="66"/>
        <v>-21.764631189894789</v>
      </c>
      <c r="I59" s="7">
        <f t="shared" si="66"/>
        <v>-1.3013665794589893</v>
      </c>
      <c r="J59" s="7">
        <f t="shared" si="66"/>
        <v>13.928844254552923</v>
      </c>
      <c r="K59" s="7">
        <f t="shared" si="66"/>
        <v>25.603126950521158</v>
      </c>
      <c r="L59" s="7">
        <f t="shared" si="66"/>
        <v>35.274948575225324</v>
      </c>
      <c r="M59" s="7">
        <f t="shared" si="66"/>
        <v>44.046194883214916</v>
      </c>
      <c r="N59" s="7">
        <f t="shared" si="66"/>
        <v>52.771370074884835</v>
      </c>
      <c r="O59" s="114">
        <f t="shared" si="66"/>
        <v>62.291985910970816</v>
      </c>
    </row>
    <row r="60" spans="2:15" ht="15.75" thickBot="1">
      <c r="B60" s="151" t="s">
        <v>457</v>
      </c>
      <c r="C60" s="93">
        <f t="shared" ref="C60:O60" si="67">IF(ABS($I$56) = 90,_xlfn.COT(C53),0)</f>
        <v>0</v>
      </c>
      <c r="D60" s="27">
        <f t="shared" si="67"/>
        <v>0</v>
      </c>
      <c r="E60" s="27">
        <f t="shared" si="67"/>
        <v>0</v>
      </c>
      <c r="F60" s="27">
        <f t="shared" si="67"/>
        <v>0</v>
      </c>
      <c r="G60" s="27">
        <f t="shared" si="67"/>
        <v>0</v>
      </c>
      <c r="H60" s="27">
        <f t="shared" si="67"/>
        <v>0</v>
      </c>
      <c r="I60" s="27">
        <f t="shared" si="67"/>
        <v>0</v>
      </c>
      <c r="J60" s="27">
        <f t="shared" si="67"/>
        <v>0</v>
      </c>
      <c r="K60" s="27">
        <f t="shared" si="67"/>
        <v>0</v>
      </c>
      <c r="L60" s="27">
        <f t="shared" si="67"/>
        <v>0</v>
      </c>
      <c r="M60" s="27">
        <f t="shared" si="67"/>
        <v>0</v>
      </c>
      <c r="N60" s="27">
        <f t="shared" si="67"/>
        <v>0</v>
      </c>
      <c r="O60" s="28">
        <f t="shared" si="67"/>
        <v>0</v>
      </c>
    </row>
    <row r="61" spans="2:15" ht="15.75" thickBot="1">
      <c r="H61" s="6" t="s">
        <v>455</v>
      </c>
    </row>
    <row r="62" spans="2:15">
      <c r="B62" t="s">
        <v>458</v>
      </c>
      <c r="C62" s="85" t="s">
        <v>4</v>
      </c>
      <c r="D62" s="66">
        <v>90</v>
      </c>
      <c r="E62" s="66">
        <f>RADIANS(D62)</f>
        <v>1.5707963267948966</v>
      </c>
      <c r="F62" s="66"/>
      <c r="G62" s="66"/>
      <c r="H62" s="88" t="s">
        <v>7</v>
      </c>
      <c r="I62" s="66">
        <f>DEGREES(ATAN(SIN(E62)/TAN($E$4)))</f>
        <v>54.2971</v>
      </c>
      <c r="J62" s="3"/>
      <c r="K62" s="66"/>
      <c r="L62" s="88" t="s">
        <v>8</v>
      </c>
      <c r="M62" s="66">
        <f>DEGREES(ASIN(COS($E$4)*COS(E62)))</f>
        <v>2.8501404254544897E-15</v>
      </c>
      <c r="N62" s="3"/>
      <c r="O62" s="23"/>
    </row>
    <row r="63" spans="2:15">
      <c r="C63" s="14">
        <f t="shared" ref="C63:O63" si="68">DEGREES(ATAN2((COS(C53)*COS($E$62)+SIN(C53)*SIN($E$4)*SIN($E$62)),COS($E$4)*SIN(C53)))</f>
        <v>-125.70289999999999</v>
      </c>
      <c r="D63" s="2">
        <f t="shared" si="68"/>
        <v>-125.70290000000001</v>
      </c>
      <c r="E63" s="2">
        <f t="shared" si="68"/>
        <v>-125.70290000000001</v>
      </c>
      <c r="F63" s="2">
        <f t="shared" si="68"/>
        <v>-125.70289999999999</v>
      </c>
      <c r="G63" s="2">
        <f t="shared" si="68"/>
        <v>-125.70289999999999</v>
      </c>
      <c r="H63" s="2">
        <f t="shared" si="68"/>
        <v>-125.70289999999999</v>
      </c>
      <c r="I63" s="2">
        <f t="shared" si="68"/>
        <v>0</v>
      </c>
      <c r="J63" s="2">
        <f t="shared" si="68"/>
        <v>54.297099999999993</v>
      </c>
      <c r="K63" s="2">
        <f t="shared" si="68"/>
        <v>54.297099999999993</v>
      </c>
      <c r="L63" s="2">
        <f t="shared" si="68"/>
        <v>54.297099999999993</v>
      </c>
      <c r="M63" s="2">
        <f t="shared" si="68"/>
        <v>54.297099999999993</v>
      </c>
      <c r="N63" s="2">
        <f t="shared" si="68"/>
        <v>54.297099999999993</v>
      </c>
      <c r="O63" s="20">
        <f t="shared" si="68"/>
        <v>54.2971</v>
      </c>
    </row>
    <row r="64" spans="2:15">
      <c r="C64" s="14">
        <f t="shared" ref="C64:O64" si="69">DEGREES(ATAN2((COS(C55)*COS($E$62)+SIN(C55)*SIN($E$4)*SIN($E$62)),COS($E$4)*SIN(C55)))</f>
        <v>-125.70289999999999</v>
      </c>
      <c r="D64" s="2">
        <f t="shared" si="69"/>
        <v>-125.70289999999999</v>
      </c>
      <c r="E64" s="2">
        <f t="shared" si="69"/>
        <v>-125.70289999999999</v>
      </c>
      <c r="F64" s="2">
        <f t="shared" si="69"/>
        <v>-125.70289999999999</v>
      </c>
      <c r="G64" s="2">
        <f t="shared" si="69"/>
        <v>-125.70289999999999</v>
      </c>
      <c r="H64" s="2">
        <f t="shared" si="69"/>
        <v>-125.70289999999999</v>
      </c>
      <c r="I64" s="2">
        <f t="shared" si="69"/>
        <v>-125.70289999999986</v>
      </c>
      <c r="J64" s="2">
        <f t="shared" si="69"/>
        <v>54.297099999999993</v>
      </c>
      <c r="K64" s="2">
        <f t="shared" si="69"/>
        <v>54.297099999999993</v>
      </c>
      <c r="L64" s="2">
        <f t="shared" si="69"/>
        <v>54.297099999999993</v>
      </c>
      <c r="M64" s="2">
        <f t="shared" si="69"/>
        <v>54.297099999999993</v>
      </c>
      <c r="N64" s="2">
        <f t="shared" si="69"/>
        <v>54.2971</v>
      </c>
      <c r="O64" s="20">
        <f t="shared" si="69"/>
        <v>54.2971</v>
      </c>
    </row>
    <row r="65" spans="2:15" ht="15.75" thickBot="1">
      <c r="C65" s="86">
        <f t="shared" ref="C65:O65" si="70">IF(ABS($D$62) = 90,_xlfn.COT(C53),0)</f>
        <v>-6.1257422745431001E-17</v>
      </c>
      <c r="D65" s="27">
        <f t="shared" si="70"/>
        <v>-0.2679491924311227</v>
      </c>
      <c r="E65" s="27">
        <f t="shared" si="70"/>
        <v>-0.57735026918962595</v>
      </c>
      <c r="F65" s="27">
        <f t="shared" si="70"/>
        <v>-1</v>
      </c>
      <c r="G65" s="27">
        <f t="shared" si="70"/>
        <v>-1.7320508075688774</v>
      </c>
      <c r="H65" s="27">
        <f t="shared" si="70"/>
        <v>-3.7320508075688776</v>
      </c>
      <c r="I65" s="27" t="e">
        <f t="shared" si="70"/>
        <v>#DIV/0!</v>
      </c>
      <c r="J65" s="27">
        <f t="shared" si="70"/>
        <v>3.7320508075688776</v>
      </c>
      <c r="K65" s="27">
        <f t="shared" si="70"/>
        <v>1.7320508075688774</v>
      </c>
      <c r="L65" s="27">
        <f t="shared" si="70"/>
        <v>1</v>
      </c>
      <c r="M65" s="27">
        <f t="shared" si="70"/>
        <v>0.57735026918962595</v>
      </c>
      <c r="N65" s="27">
        <f t="shared" si="70"/>
        <v>0.2679491924311227</v>
      </c>
      <c r="O65" s="28">
        <f t="shared" si="70"/>
        <v>6.1257422745431001E-17</v>
      </c>
    </row>
    <row r="66" spans="2:15">
      <c r="C66"/>
    </row>
    <row r="67" spans="2:15">
      <c r="C67"/>
    </row>
    <row r="68" spans="2:15">
      <c r="C68" s="12" t="s">
        <v>468</v>
      </c>
      <c r="G68" s="2"/>
    </row>
    <row r="69" spans="2:15">
      <c r="C69" s="68" t="s">
        <v>466</v>
      </c>
      <c r="F69" s="2"/>
      <c r="I69" s="12" t="s">
        <v>467</v>
      </c>
    </row>
    <row r="70" spans="2:15" ht="15.75" thickBot="1">
      <c r="D70" s="6" t="s">
        <v>462</v>
      </c>
    </row>
    <row r="71" spans="2:15">
      <c r="B71" s="141" t="s">
        <v>433</v>
      </c>
      <c r="C71" s="39">
        <v>6</v>
      </c>
      <c r="D71" s="39">
        <f>C71+1</f>
        <v>7</v>
      </c>
      <c r="E71" s="39">
        <v>8</v>
      </c>
      <c r="F71" s="39">
        <f t="shared" ref="F71" si="71">E71+1</f>
        <v>9</v>
      </c>
      <c r="G71" s="39">
        <f t="shared" ref="G71" si="72">F71+1</f>
        <v>10</v>
      </c>
      <c r="H71" s="39">
        <f t="shared" ref="H71" si="73">G71+1</f>
        <v>11</v>
      </c>
      <c r="I71" s="39">
        <f t="shared" ref="I71" si="74">H71+1</f>
        <v>12</v>
      </c>
      <c r="J71" s="39">
        <f t="shared" ref="J71" si="75">I71+1</f>
        <v>13</v>
      </c>
      <c r="K71" s="39">
        <f t="shared" ref="K71" si="76">J71+1</f>
        <v>14</v>
      </c>
      <c r="L71" s="39">
        <f t="shared" ref="L71" si="77">K71+1</f>
        <v>15</v>
      </c>
      <c r="M71" s="39">
        <f t="shared" ref="M71" si="78">L71+1</f>
        <v>16</v>
      </c>
      <c r="N71" s="39">
        <f t="shared" ref="N71" si="79">M71+1</f>
        <v>17</v>
      </c>
      <c r="O71" s="29">
        <f t="shared" ref="O71" si="80">N71+1</f>
        <v>18</v>
      </c>
    </row>
    <row r="72" spans="2:15">
      <c r="B72" s="139" t="s">
        <v>435</v>
      </c>
      <c r="C72" s="25">
        <f t="shared" ref="C72:N72" si="81">(C71-$I$71)*15</f>
        <v>-90</v>
      </c>
      <c r="D72" s="25">
        <f t="shared" si="81"/>
        <v>-75</v>
      </c>
      <c r="E72" s="25">
        <f t="shared" si="81"/>
        <v>-60</v>
      </c>
      <c r="F72" s="25">
        <f t="shared" si="81"/>
        <v>-45</v>
      </c>
      <c r="G72" s="25">
        <f t="shared" si="81"/>
        <v>-30</v>
      </c>
      <c r="H72" s="25">
        <f t="shared" si="81"/>
        <v>-15</v>
      </c>
      <c r="I72" s="25">
        <f t="shared" si="81"/>
        <v>0</v>
      </c>
      <c r="J72" s="25">
        <f t="shared" si="81"/>
        <v>15</v>
      </c>
      <c r="K72" s="25">
        <f t="shared" si="81"/>
        <v>30</v>
      </c>
      <c r="L72" s="25">
        <f t="shared" si="81"/>
        <v>45</v>
      </c>
      <c r="M72" s="25">
        <f t="shared" si="81"/>
        <v>60</v>
      </c>
      <c r="N72" s="25">
        <f t="shared" si="81"/>
        <v>75</v>
      </c>
      <c r="O72" s="67">
        <f>(O71-I71)*15</f>
        <v>90</v>
      </c>
    </row>
    <row r="73" spans="2:15" ht="15.75" thickBot="1">
      <c r="B73" s="142" t="s">
        <v>434</v>
      </c>
      <c r="C73" s="2">
        <f>RADIANS(C72)</f>
        <v>-1.5707963267948966</v>
      </c>
      <c r="D73" s="2">
        <f t="shared" ref="D73:J73" si="82">RADIANS(D72)</f>
        <v>-1.3089969389957472</v>
      </c>
      <c r="E73" s="2">
        <f t="shared" si="82"/>
        <v>-1.0471975511965976</v>
      </c>
      <c r="F73" s="2">
        <f t="shared" si="82"/>
        <v>-0.78539816339744828</v>
      </c>
      <c r="G73" s="2">
        <f t="shared" si="82"/>
        <v>-0.52359877559829882</v>
      </c>
      <c r="H73" s="2">
        <f t="shared" si="82"/>
        <v>-0.26179938779914941</v>
      </c>
      <c r="I73" s="2">
        <f t="shared" si="82"/>
        <v>0</v>
      </c>
      <c r="J73" s="2">
        <f t="shared" si="82"/>
        <v>0.26179938779914941</v>
      </c>
      <c r="K73" s="2">
        <f>RADIANS(K72)</f>
        <v>0.52359877559829882</v>
      </c>
      <c r="L73" s="2">
        <f t="shared" ref="L73:O73" si="83">RADIANS(L72)</f>
        <v>0.78539816339744828</v>
      </c>
      <c r="M73" s="2">
        <f t="shared" si="83"/>
        <v>1.0471975511965976</v>
      </c>
      <c r="N73" s="2">
        <f t="shared" si="83"/>
        <v>1.3089969389957472</v>
      </c>
      <c r="O73" s="20">
        <f t="shared" si="83"/>
        <v>1.5707963267948966</v>
      </c>
    </row>
    <row r="74" spans="2:15">
      <c r="B74" s="139" t="s">
        <v>436</v>
      </c>
      <c r="C74" s="73">
        <f t="shared" ref="C74:H74" si="84">C72+$D$7</f>
        <v>-91.1203</v>
      </c>
      <c r="D74" s="74">
        <f t="shared" si="84"/>
        <v>-76.1203</v>
      </c>
      <c r="E74" s="74">
        <f t="shared" si="84"/>
        <v>-61.1203</v>
      </c>
      <c r="F74" s="74">
        <f t="shared" si="84"/>
        <v>-46.1203</v>
      </c>
      <c r="G74" s="74">
        <f t="shared" si="84"/>
        <v>-31.1203</v>
      </c>
      <c r="H74" s="74">
        <f t="shared" si="84"/>
        <v>-16.1203</v>
      </c>
      <c r="I74" s="74">
        <f>I72+$D$7</f>
        <v>-1.1203000000000003</v>
      </c>
      <c r="J74" s="74">
        <f t="shared" ref="J74:O74" si="85">J72+$D$7</f>
        <v>13.8797</v>
      </c>
      <c r="K74" s="74">
        <f t="shared" si="85"/>
        <v>28.8797</v>
      </c>
      <c r="L74" s="74">
        <f t="shared" si="85"/>
        <v>43.8797</v>
      </c>
      <c r="M74" s="74">
        <f t="shared" si="85"/>
        <v>58.8797</v>
      </c>
      <c r="N74" s="74">
        <f t="shared" si="85"/>
        <v>73.8797</v>
      </c>
      <c r="O74" s="75">
        <f t="shared" si="85"/>
        <v>88.8797</v>
      </c>
    </row>
    <row r="75" spans="2:15" ht="15.75" thickBot="1">
      <c r="B75" s="142" t="s">
        <v>437</v>
      </c>
      <c r="C75" s="51">
        <f>RADIANS(C74)</f>
        <v>-1.590349250404989</v>
      </c>
      <c r="D75">
        <f t="shared" ref="D75:O75" si="86">RADIANS(D74)</f>
        <v>-1.3285498626058396</v>
      </c>
      <c r="E75">
        <f t="shared" si="86"/>
        <v>-1.0667504748066903</v>
      </c>
      <c r="F75" s="79">
        <f t="shared" si="86"/>
        <v>-0.80495108700754081</v>
      </c>
      <c r="G75">
        <f t="shared" si="86"/>
        <v>-0.54315169920839135</v>
      </c>
      <c r="H75">
        <f t="shared" si="86"/>
        <v>-0.28135231140924188</v>
      </c>
      <c r="I75">
        <f t="shared" si="86"/>
        <v>-1.955292361009248E-2</v>
      </c>
      <c r="J75">
        <f t="shared" si="86"/>
        <v>0.24224646418905696</v>
      </c>
      <c r="K75">
        <f t="shared" si="86"/>
        <v>0.50404585198820639</v>
      </c>
      <c r="L75">
        <f t="shared" si="86"/>
        <v>0.76584523978735586</v>
      </c>
      <c r="M75">
        <f t="shared" si="86"/>
        <v>1.0276446275865052</v>
      </c>
      <c r="N75">
        <f t="shared" si="86"/>
        <v>1.2894440153856548</v>
      </c>
      <c r="O75" s="24">
        <f t="shared" si="86"/>
        <v>1.5512434031848041</v>
      </c>
    </row>
    <row r="76" spans="2:15" ht="15.75" thickBot="1">
      <c r="B76" s="152" t="s">
        <v>461</v>
      </c>
      <c r="C76" s="66" t="s">
        <v>4</v>
      </c>
      <c r="D76" s="87">
        <v>90</v>
      </c>
      <c r="E76" s="66">
        <f>RADIANS(D76)</f>
        <v>1.5707963267948966</v>
      </c>
      <c r="G76" s="66"/>
      <c r="H76" s="39" t="s">
        <v>463</v>
      </c>
      <c r="I76" s="66" t="s">
        <v>5</v>
      </c>
      <c r="J76" s="87">
        <v>45</v>
      </c>
      <c r="K76" s="66">
        <f>RADIANS(J76)</f>
        <v>0.78539816339744828</v>
      </c>
      <c r="L76" s="3"/>
      <c r="M76" s="3"/>
      <c r="N76" s="3"/>
      <c r="O76" s="23"/>
    </row>
    <row r="77" spans="2:15">
      <c r="B77" s="148" t="s">
        <v>456</v>
      </c>
      <c r="C77" s="64" t="s">
        <v>7</v>
      </c>
      <c r="D77" s="2">
        <f>DEGREES(ATAN(COS($E$4)*SIN($E$76)/ABS(COS($K$76)*SIN($E$4)-SIN($K$76)*COS($E$76)*COS($E$4))))</f>
        <v>63.062051233233653</v>
      </c>
      <c r="E77" s="2"/>
      <c r="F77" s="2"/>
      <c r="H77" s="9" t="s">
        <v>463</v>
      </c>
      <c r="I77" s="64" t="s">
        <v>8</v>
      </c>
      <c r="J77" s="2">
        <f>DEGREES(ASIN(SIN($E$4)* SIN(K76) + COS(K76)* COS($E$4) *COS(E76)))</f>
        <v>24.371727951580546</v>
      </c>
      <c r="K77" s="2"/>
      <c r="O77" s="46"/>
    </row>
    <row r="78" spans="2:15">
      <c r="B78" s="148" t="s">
        <v>447</v>
      </c>
      <c r="C78" s="76">
        <f t="shared" ref="C78:O78" si="87">DEGREES(ATAN((SIN($K$76) *COS($E$76)* SIN($E$4) + COS($K$76) *COS($E$4) - _xlfn.COT(C73)* SIN($K$76)* SIN($E$76))/(_xlfn.COT(C73)* COS($E$76) + SIN($E$4)* SIN($E$76))))</f>
        <v>44.536145820489111</v>
      </c>
      <c r="D78" s="76">
        <f t="shared" si="87"/>
        <v>52.613888940102029</v>
      </c>
      <c r="E78" s="76">
        <f t="shared" si="87"/>
        <v>59.28956953418588</v>
      </c>
      <c r="F78" s="76">
        <f t="shared" si="87"/>
        <v>65.512844906324176</v>
      </c>
      <c r="G78" s="76">
        <f t="shared" si="87"/>
        <v>72.026887673420973</v>
      </c>
      <c r="H78" s="76">
        <f t="shared" si="87"/>
        <v>79.706027019222503</v>
      </c>
      <c r="I78" s="76" t="e">
        <f t="shared" si="87"/>
        <v>#DIV/0!</v>
      </c>
      <c r="J78" s="76">
        <f t="shared" si="87"/>
        <v>-74.217547186140706</v>
      </c>
      <c r="K78" s="76">
        <f t="shared" si="87"/>
        <v>-48.105379708211558</v>
      </c>
      <c r="L78" s="76">
        <f t="shared" si="87"/>
        <v>-12.829055018172772</v>
      </c>
      <c r="M78" s="76">
        <f t="shared" si="87"/>
        <v>15.874823904331068</v>
      </c>
      <c r="N78" s="76">
        <f t="shared" si="87"/>
        <v>33.395795269065388</v>
      </c>
      <c r="O78" s="80">
        <f t="shared" si="87"/>
        <v>44.536145820489111</v>
      </c>
    </row>
    <row r="79" spans="2:15" ht="15.75" thickBot="1">
      <c r="B79" s="151" t="s">
        <v>448</v>
      </c>
      <c r="C79" s="77">
        <f t="shared" ref="C79:O79" si="88">DEGREES(ATAN((SIN($K$76) *COS($E$76)* SIN($E$4) + COS($K$76) *COS($E$4) - _xlfn.COT(C75)* SIN($K$76)* SIN($E$76))/(_xlfn.COT(C75)* COS($E$76) + SIN($E$4)* SIN($E$76))))</f>
        <v>43.83811977019225</v>
      </c>
      <c r="D79" s="77">
        <f t="shared" si="88"/>
        <v>52.073672491537643</v>
      </c>
      <c r="E79" s="77">
        <f t="shared" si="88"/>
        <v>58.816249665350689</v>
      </c>
      <c r="F79" s="77">
        <f t="shared" si="88"/>
        <v>65.047161697819064</v>
      </c>
      <c r="G79" s="77">
        <f t="shared" si="88"/>
        <v>71.512951010134202</v>
      </c>
      <c r="H79" s="77">
        <f t="shared" si="88"/>
        <v>79.06578545018364</v>
      </c>
      <c r="I79" s="77">
        <f t="shared" si="88"/>
        <v>89.089818845507779</v>
      </c>
      <c r="J79" s="77">
        <f t="shared" si="88"/>
        <v>-75.68764977479502</v>
      </c>
      <c r="K79" s="77">
        <f t="shared" si="88"/>
        <v>-50.49381113761536</v>
      </c>
      <c r="L79" s="77">
        <f t="shared" si="88"/>
        <v>-15.432818095102158</v>
      </c>
      <c r="M79" s="77">
        <f t="shared" si="88"/>
        <v>14.167147125277372</v>
      </c>
      <c r="N79" s="77">
        <f t="shared" si="88"/>
        <v>32.364218367881833</v>
      </c>
      <c r="O79" s="78">
        <f t="shared" si="88"/>
        <v>43.83811977019225</v>
      </c>
    </row>
    <row r="82" spans="2:17" ht="15.75" thickBot="1">
      <c r="C82"/>
      <c r="H82" s="41" t="s">
        <v>469</v>
      </c>
      <c r="I82" s="156">
        <v>1.7</v>
      </c>
    </row>
    <row r="83" spans="2:17">
      <c r="B83" s="141" t="s">
        <v>433</v>
      </c>
      <c r="C83" s="154">
        <v>5</v>
      </c>
      <c r="D83" s="39">
        <v>6</v>
      </c>
      <c r="E83" s="39">
        <f>D83+1</f>
        <v>7</v>
      </c>
      <c r="F83" s="39">
        <v>8</v>
      </c>
      <c r="G83" s="39">
        <f t="shared" ref="G83" si="89">F83+1</f>
        <v>9</v>
      </c>
      <c r="H83" s="39">
        <f t="shared" ref="H83" si="90">G83+1</f>
        <v>10</v>
      </c>
      <c r="I83" s="39">
        <f t="shared" ref="I83" si="91">H83+1</f>
        <v>11</v>
      </c>
      <c r="J83" s="39">
        <f t="shared" ref="J83" si="92">I83+1</f>
        <v>12</v>
      </c>
      <c r="K83" s="39">
        <f t="shared" ref="K83" si="93">J83+1</f>
        <v>13</v>
      </c>
      <c r="L83" s="39">
        <f t="shared" ref="L83" si="94">K83+1</f>
        <v>14</v>
      </c>
      <c r="M83" s="39">
        <f t="shared" ref="M83" si="95">L83+1</f>
        <v>15</v>
      </c>
      <c r="N83" s="39">
        <f t="shared" ref="N83" si="96">M83+1</f>
        <v>16</v>
      </c>
      <c r="O83" s="39">
        <f t="shared" ref="O83" si="97">N83+1</f>
        <v>17</v>
      </c>
      <c r="P83" s="39">
        <f t="shared" ref="P83:Q83" si="98">O83+1</f>
        <v>18</v>
      </c>
      <c r="Q83" s="29">
        <f t="shared" si="98"/>
        <v>19</v>
      </c>
    </row>
    <row r="84" spans="2:17">
      <c r="B84" s="153" t="s">
        <v>435</v>
      </c>
      <c r="C84" s="2">
        <f>(C83-$J$83)*15</f>
        <v>-105</v>
      </c>
      <c r="D84" s="2">
        <f t="shared" ref="D84:Q84" si="99">(D83-$J$83)*15</f>
        <v>-90</v>
      </c>
      <c r="E84" s="2">
        <f t="shared" si="99"/>
        <v>-75</v>
      </c>
      <c r="F84" s="2">
        <f t="shared" si="99"/>
        <v>-60</v>
      </c>
      <c r="G84" s="2">
        <f t="shared" si="99"/>
        <v>-45</v>
      </c>
      <c r="H84" s="2">
        <f t="shared" si="99"/>
        <v>-30</v>
      </c>
      <c r="I84" s="2">
        <f t="shared" si="99"/>
        <v>-15</v>
      </c>
      <c r="J84" s="2">
        <f t="shared" si="99"/>
        <v>0</v>
      </c>
      <c r="K84" s="2">
        <f t="shared" si="99"/>
        <v>15</v>
      </c>
      <c r="L84" s="2">
        <f t="shared" si="99"/>
        <v>30</v>
      </c>
      <c r="M84" s="2">
        <f t="shared" si="99"/>
        <v>45</v>
      </c>
      <c r="N84" s="2">
        <f t="shared" si="99"/>
        <v>60</v>
      </c>
      <c r="O84" s="2">
        <f t="shared" si="99"/>
        <v>75</v>
      </c>
      <c r="P84" s="2">
        <f t="shared" si="99"/>
        <v>90</v>
      </c>
      <c r="Q84" s="20">
        <f t="shared" si="99"/>
        <v>105</v>
      </c>
    </row>
    <row r="85" spans="2:17" ht="15.75" thickBot="1">
      <c r="B85" s="142" t="s">
        <v>434</v>
      </c>
      <c r="C85" s="27">
        <f>RADIANS(C84)</f>
        <v>-1.8325957145940461</v>
      </c>
      <c r="D85" s="27">
        <f>RADIANS(D84)</f>
        <v>-1.5707963267948966</v>
      </c>
      <c r="E85" s="27">
        <f t="shared" ref="E85:K85" si="100">RADIANS(E84)</f>
        <v>-1.3089969389957472</v>
      </c>
      <c r="F85" s="27">
        <f t="shared" si="100"/>
        <v>-1.0471975511965976</v>
      </c>
      <c r="G85" s="27">
        <f t="shared" si="100"/>
        <v>-0.78539816339744828</v>
      </c>
      <c r="H85" s="27">
        <f t="shared" si="100"/>
        <v>-0.52359877559829882</v>
      </c>
      <c r="I85" s="27">
        <f t="shared" si="100"/>
        <v>-0.26179938779914941</v>
      </c>
      <c r="J85" s="27">
        <f t="shared" si="100"/>
        <v>0</v>
      </c>
      <c r="K85" s="27">
        <f t="shared" si="100"/>
        <v>0.26179938779914941</v>
      </c>
      <c r="L85" s="27">
        <f>RADIANS(L84)</f>
        <v>0.52359877559829882</v>
      </c>
      <c r="M85" s="27">
        <f t="shared" ref="M85:P85" si="101">RADIANS(M84)</f>
        <v>0.78539816339744828</v>
      </c>
      <c r="N85" s="27">
        <f t="shared" si="101"/>
        <v>1.0471975511965976</v>
      </c>
      <c r="O85" s="27">
        <f t="shared" si="101"/>
        <v>1.3089969389957472</v>
      </c>
      <c r="P85" s="27">
        <f t="shared" si="101"/>
        <v>1.5707963267948966</v>
      </c>
      <c r="Q85" s="28">
        <f t="shared" ref="Q85" si="102">RADIANS(Q84)</f>
        <v>1.8325957145940461</v>
      </c>
    </row>
    <row r="86" spans="2:17">
      <c r="B86" s="157" t="s">
        <v>472</v>
      </c>
      <c r="C86" s="66">
        <f>TAN(RADIANS(0))</f>
        <v>0</v>
      </c>
      <c r="E86" s="155" t="s">
        <v>470</v>
      </c>
      <c r="F86" s="3">
        <f>I82/(F4*TAN(E8))</f>
        <v>2.0934568644012534</v>
      </c>
      <c r="G86" s="3"/>
      <c r="H86" s="3"/>
      <c r="I86" s="3"/>
      <c r="J86" s="3"/>
      <c r="K86" s="3"/>
      <c r="L86" s="3"/>
      <c r="M86" s="3"/>
      <c r="N86" s="3"/>
      <c r="O86" s="3"/>
      <c r="P86" s="3"/>
      <c r="Q86" s="23"/>
    </row>
    <row r="87" spans="2:17">
      <c r="B87" s="158" t="s">
        <v>13</v>
      </c>
      <c r="C87">
        <f t="shared" ref="C87:Q87" si="103">$F$86*SIN(C85)</f>
        <v>-2.0221240515473027</v>
      </c>
      <c r="D87">
        <f t="shared" si="103"/>
        <v>-2.0934568644012534</v>
      </c>
      <c r="E87">
        <f t="shared" si="103"/>
        <v>-2.0221240515473027</v>
      </c>
      <c r="F87">
        <f t="shared" si="103"/>
        <v>-1.8129868262984001</v>
      </c>
      <c r="G87">
        <f t="shared" si="103"/>
        <v>-1.4802975449396529</v>
      </c>
      <c r="H87">
        <f t="shared" si="103"/>
        <v>-1.0467284322006265</v>
      </c>
      <c r="I87">
        <f t="shared" si="103"/>
        <v>-0.54182650660764964</v>
      </c>
      <c r="J87">
        <f t="shared" si="103"/>
        <v>0</v>
      </c>
      <c r="K87">
        <f t="shared" si="103"/>
        <v>0.54182650660764964</v>
      </c>
      <c r="L87">
        <f t="shared" si="103"/>
        <v>1.0467284322006265</v>
      </c>
      <c r="M87">
        <f t="shared" si="103"/>
        <v>1.4802975449396529</v>
      </c>
      <c r="N87">
        <f t="shared" si="103"/>
        <v>1.8129868262984001</v>
      </c>
      <c r="O87">
        <f t="shared" si="103"/>
        <v>2.0221240515473027</v>
      </c>
      <c r="P87">
        <f t="shared" si="103"/>
        <v>2.0934568644012534</v>
      </c>
      <c r="Q87" s="46">
        <f t="shared" si="103"/>
        <v>2.0221240515473027</v>
      </c>
    </row>
    <row r="88" spans="2:17" ht="15.75" thickBot="1">
      <c r="B88" s="159" t="s">
        <v>12</v>
      </c>
      <c r="C88" s="4">
        <f>$F$86*COS(C85)*$F$4</f>
        <v>-0.31620036643110233</v>
      </c>
      <c r="D88" s="4">
        <f t="shared" ref="D88:Q88" si="104">$F$86*COS(D85)*$F$4</f>
        <v>7.4838462954137417E-17</v>
      </c>
      <c r="E88" s="4">
        <f t="shared" si="104"/>
        <v>0.31620036643110222</v>
      </c>
      <c r="F88" s="4">
        <f t="shared" si="104"/>
        <v>0.6108522004357374</v>
      </c>
      <c r="G88" s="4">
        <f t="shared" si="104"/>
        <v>0.86387546646166791</v>
      </c>
      <c r="H88" s="4">
        <f t="shared" si="104"/>
        <v>1.0580270470699444</v>
      </c>
      <c r="I88" s="4">
        <f t="shared" si="104"/>
        <v>1.1800758328927701</v>
      </c>
      <c r="J88" s="4">
        <f t="shared" si="104"/>
        <v>1.2217044008714746</v>
      </c>
      <c r="K88" s="4">
        <f t="shared" si="104"/>
        <v>1.1800758328927701</v>
      </c>
      <c r="L88" s="4">
        <f t="shared" si="104"/>
        <v>1.0580270470699444</v>
      </c>
      <c r="M88" s="4">
        <f t="shared" si="104"/>
        <v>0.86387546646166791</v>
      </c>
      <c r="N88" s="4">
        <f t="shared" si="104"/>
        <v>0.6108522004357374</v>
      </c>
      <c r="O88" s="4">
        <f t="shared" si="104"/>
        <v>0.31620036643110222</v>
      </c>
      <c r="P88" s="4">
        <f t="shared" si="104"/>
        <v>7.4838462954137417E-17</v>
      </c>
      <c r="Q88" s="24">
        <f t="shared" si="104"/>
        <v>-0.31620036643110233</v>
      </c>
    </row>
    <row r="89" spans="2:17">
      <c r="B89" s="157" t="s">
        <v>471</v>
      </c>
      <c r="C89" s="66">
        <v>23.44</v>
      </c>
      <c r="E89" s="155" t="s">
        <v>470</v>
      </c>
      <c r="F89" s="3">
        <f>I82/(F4*TAN(RADIANS(C8+23.44)))</f>
        <v>0.63317031216523856</v>
      </c>
      <c r="G89" s="3"/>
      <c r="H89" s="3"/>
      <c r="I89" s="3"/>
      <c r="J89" s="3"/>
      <c r="K89" s="3"/>
      <c r="L89" s="3"/>
      <c r="M89" s="3"/>
      <c r="N89" s="3"/>
      <c r="O89" s="3"/>
      <c r="P89" s="3"/>
      <c r="Q89" s="23"/>
    </row>
    <row r="90" spans="2:17">
      <c r="B90" s="158" t="s">
        <v>13</v>
      </c>
      <c r="C90">
        <f>$F$89*SIN(C85)</f>
        <v>-0.61159555695991541</v>
      </c>
      <c r="D90">
        <f>$F$89*SIN(D85)</f>
        <v>-0.63317031216523856</v>
      </c>
      <c r="E90">
        <f t="shared" ref="E90:Q90" si="105">$F$89*SIN(E85)</f>
        <v>-0.61159555695991541</v>
      </c>
      <c r="F90">
        <f t="shared" si="105"/>
        <v>-0.54834157525721972</v>
      </c>
      <c r="G90">
        <f t="shared" si="105"/>
        <v>-0.44771902137804331</v>
      </c>
      <c r="H90">
        <f t="shared" si="105"/>
        <v>-0.31658515608261922</v>
      </c>
      <c r="I90">
        <f t="shared" si="105"/>
        <v>-0.16387653558187201</v>
      </c>
      <c r="J90">
        <f t="shared" si="105"/>
        <v>0</v>
      </c>
      <c r="K90">
        <f t="shared" si="105"/>
        <v>0.16387653558187201</v>
      </c>
      <c r="L90">
        <f t="shared" si="105"/>
        <v>0.31658515608261922</v>
      </c>
      <c r="M90">
        <f t="shared" si="105"/>
        <v>0.44771902137804331</v>
      </c>
      <c r="N90">
        <f t="shared" si="105"/>
        <v>0.54834157525721972</v>
      </c>
      <c r="O90">
        <f t="shared" si="105"/>
        <v>0.61159555695991541</v>
      </c>
      <c r="P90">
        <f t="shared" si="105"/>
        <v>0.63317031216523856</v>
      </c>
      <c r="Q90" s="46">
        <f t="shared" si="105"/>
        <v>0.61159555695991541</v>
      </c>
    </row>
    <row r="91" spans="2:17" ht="15.75" thickBot="1">
      <c r="B91" s="159" t="s">
        <v>12</v>
      </c>
      <c r="C91" s="4">
        <f>$F$89*COS(C85)*$F$4</f>
        <v>-9.5635447820514474E-2</v>
      </c>
      <c r="D91" s="4">
        <f>$F$89*COS(D85)*$F$4</f>
        <v>2.2635046251211143E-17</v>
      </c>
      <c r="E91" s="4">
        <f t="shared" ref="E91:Q91" si="106">$F$89*COS(E85)*$F$4</f>
        <v>9.5635447820514419E-2</v>
      </c>
      <c r="F91" s="4">
        <f t="shared" si="106"/>
        <v>0.18475349791711099</v>
      </c>
      <c r="G91" s="4">
        <f t="shared" si="106"/>
        <v>0.26128090245024771</v>
      </c>
      <c r="H91" s="4">
        <f t="shared" si="106"/>
        <v>0.32000244526850696</v>
      </c>
      <c r="I91" s="4">
        <f t="shared" si="106"/>
        <v>0.35691635027076213</v>
      </c>
      <c r="J91" s="4">
        <f t="shared" si="106"/>
        <v>0.36950699583422192</v>
      </c>
      <c r="K91" s="4">
        <f t="shared" si="106"/>
        <v>0.35691635027076213</v>
      </c>
      <c r="L91" s="4">
        <f t="shared" si="106"/>
        <v>0.32000244526850696</v>
      </c>
      <c r="M91" s="4">
        <f t="shared" si="106"/>
        <v>0.26128090245024771</v>
      </c>
      <c r="N91" s="4">
        <f t="shared" si="106"/>
        <v>0.18475349791711099</v>
      </c>
      <c r="O91" s="4">
        <f t="shared" si="106"/>
        <v>9.5635447820514419E-2</v>
      </c>
      <c r="P91" s="4">
        <f t="shared" si="106"/>
        <v>2.2635046251211143E-17</v>
      </c>
      <c r="Q91" s="24">
        <f t="shared" si="106"/>
        <v>-9.5635447820514474E-2</v>
      </c>
    </row>
    <row r="92" spans="2:17">
      <c r="B92" s="157" t="s">
        <v>471</v>
      </c>
      <c r="C92" s="66">
        <v>-23.44</v>
      </c>
      <c r="E92" s="155" t="s">
        <v>470</v>
      </c>
      <c r="F92" s="3">
        <f>I82/(F4*TAN(RADIANS(C8-23.44)))</f>
        <v>4.875619945195826</v>
      </c>
      <c r="G92" s="3"/>
      <c r="H92" s="3"/>
      <c r="I92" s="3"/>
      <c r="J92" s="3"/>
      <c r="K92" s="3"/>
      <c r="L92" s="3"/>
      <c r="M92" s="3"/>
      <c r="N92" s="3"/>
      <c r="O92" s="3"/>
      <c r="P92" s="3"/>
      <c r="Q92" s="23"/>
    </row>
    <row r="93" spans="2:17">
      <c r="B93" s="158" t="s">
        <v>13</v>
      </c>
      <c r="C93">
        <f>$F$92*SIN(C85)</f>
        <v>-4.7094872242347403</v>
      </c>
      <c r="D93">
        <f t="shared" ref="D93:Q93" si="107">$F$92*SIN(D85)</f>
        <v>-4.875619945195826</v>
      </c>
      <c r="E93">
        <f t="shared" si="107"/>
        <v>-4.7094872242347403</v>
      </c>
      <c r="F93">
        <f t="shared" si="107"/>
        <v>-4.2224107317376776</v>
      </c>
      <c r="G93">
        <f t="shared" si="107"/>
        <v>-3.4475839257363514</v>
      </c>
      <c r="H93">
        <f t="shared" si="107"/>
        <v>-2.4378099725979125</v>
      </c>
      <c r="I93">
        <f t="shared" si="107"/>
        <v>-1.2619032984983882</v>
      </c>
      <c r="J93">
        <f t="shared" si="107"/>
        <v>0</v>
      </c>
      <c r="K93">
        <f t="shared" si="107"/>
        <v>1.2619032984983882</v>
      </c>
      <c r="L93">
        <f t="shared" si="107"/>
        <v>2.4378099725979125</v>
      </c>
      <c r="M93">
        <f t="shared" si="107"/>
        <v>3.4475839257363514</v>
      </c>
      <c r="N93">
        <f t="shared" si="107"/>
        <v>4.2224107317376776</v>
      </c>
      <c r="O93">
        <f t="shared" si="107"/>
        <v>4.7094872242347403</v>
      </c>
      <c r="P93">
        <f t="shared" si="107"/>
        <v>4.875619945195826</v>
      </c>
      <c r="Q93">
        <f t="shared" si="107"/>
        <v>4.7094872242347403</v>
      </c>
    </row>
    <row r="94" spans="2:17" ht="15.75" thickBot="1">
      <c r="B94" s="159" t="s">
        <v>12</v>
      </c>
      <c r="C94" s="4">
        <f>$F$92*COS(C85)*$F$4</f>
        <v>-0.73642444679204933</v>
      </c>
      <c r="D94" s="4">
        <f t="shared" ref="D94:Q94" si="108">$F$92*COS(D85)*$F$4</f>
        <v>1.7429731123280213E-16</v>
      </c>
      <c r="E94" s="4">
        <f t="shared" si="108"/>
        <v>0.7364244467920491</v>
      </c>
      <c r="F94" s="4">
        <f t="shared" si="108"/>
        <v>1.4226627845341604</v>
      </c>
      <c r="G94" s="4">
        <f t="shared" si="108"/>
        <v>2.0119490045716817</v>
      </c>
      <c r="H94" s="4">
        <f t="shared" si="108"/>
        <v>2.4641242248505799</v>
      </c>
      <c r="I94" s="4">
        <f t="shared" si="108"/>
        <v>2.7483734513637308</v>
      </c>
      <c r="J94" s="4">
        <f t="shared" si="108"/>
        <v>2.8453255690683203</v>
      </c>
      <c r="K94" s="4">
        <f t="shared" si="108"/>
        <v>2.7483734513637308</v>
      </c>
      <c r="L94" s="4">
        <f t="shared" si="108"/>
        <v>2.4641242248505799</v>
      </c>
      <c r="M94" s="4">
        <f t="shared" si="108"/>
        <v>2.0119490045716817</v>
      </c>
      <c r="N94" s="4">
        <f t="shared" si="108"/>
        <v>1.4226627845341604</v>
      </c>
      <c r="O94" s="4">
        <f t="shared" si="108"/>
        <v>0.7364244467920491</v>
      </c>
      <c r="P94" s="4">
        <f t="shared" si="108"/>
        <v>1.7429731123280213E-16</v>
      </c>
      <c r="Q94" s="4">
        <f t="shared" si="108"/>
        <v>-0.73642444679204933</v>
      </c>
    </row>
    <row r="96" spans="2:17" ht="15.75" thickBot="1"/>
    <row r="97" spans="2:14">
      <c r="B97" s="71" t="s">
        <v>0</v>
      </c>
      <c r="C97" s="167">
        <v>44641</v>
      </c>
      <c r="D97" s="167">
        <v>44672</v>
      </c>
      <c r="E97" s="167">
        <v>44703</v>
      </c>
      <c r="F97" s="167">
        <v>44734</v>
      </c>
      <c r="G97" s="167">
        <v>44765</v>
      </c>
      <c r="H97" s="167">
        <v>44795</v>
      </c>
      <c r="I97" s="39" t="s">
        <v>477</v>
      </c>
      <c r="J97" s="167">
        <v>44857</v>
      </c>
      <c r="K97" s="167">
        <v>44887</v>
      </c>
      <c r="L97" s="167">
        <v>44917</v>
      </c>
      <c r="M97" s="167">
        <v>44582</v>
      </c>
      <c r="N97" s="168">
        <v>44612</v>
      </c>
    </row>
    <row r="98" spans="2:14">
      <c r="B98" s="72" t="s">
        <v>475</v>
      </c>
      <c r="C98" s="69">
        <v>0.28170150180276854</v>
      </c>
      <c r="D98" s="69">
        <v>11.898965640373532</v>
      </c>
      <c r="E98" s="69">
        <v>20.407698698501797</v>
      </c>
      <c r="F98" s="69">
        <v>23.434056865079317</v>
      </c>
      <c r="G98" s="69">
        <v>20.042443791636288</v>
      </c>
      <c r="H98" s="69">
        <v>11.39552312772271</v>
      </c>
      <c r="I98" s="69">
        <v>-0.12089899723055911</v>
      </c>
      <c r="J98" s="69">
        <v>-11.440359231639574</v>
      </c>
      <c r="K98" s="69">
        <v>-20.152225831388552</v>
      </c>
      <c r="L98" s="69">
        <v>-23.439518779389406</v>
      </c>
      <c r="M98" s="69">
        <v>-19.928763823687323</v>
      </c>
      <c r="N98" s="70">
        <v>-10.962198698613246</v>
      </c>
    </row>
    <row r="99" spans="2:14" ht="15.75" thickBot="1">
      <c r="B99" s="160" t="s">
        <v>473</v>
      </c>
      <c r="C99" s="17">
        <f t="shared" ref="C99:N99" si="109">$F$86*$G$4*TAN(RADIANS(C98))</f>
        <v>8.3583191633079257E-3</v>
      </c>
      <c r="D99" s="17">
        <f t="shared" si="109"/>
        <v>0.35821413652379608</v>
      </c>
      <c r="E99" s="17">
        <f t="shared" si="109"/>
        <v>0.6324843635770796</v>
      </c>
      <c r="F99" s="17">
        <f t="shared" si="109"/>
        <v>0.73685571481824985</v>
      </c>
      <c r="G99" s="17">
        <f t="shared" si="109"/>
        <v>0.62017594504328033</v>
      </c>
      <c r="H99" s="17">
        <f t="shared" si="109"/>
        <v>0.3426418981290853</v>
      </c>
      <c r="I99" s="17">
        <f t="shared" si="109"/>
        <v>-3.5871507827403676E-3</v>
      </c>
      <c r="J99" s="17">
        <f t="shared" si="109"/>
        <v>-0.34402647350111276</v>
      </c>
      <c r="K99" s="17">
        <f t="shared" si="109"/>
        <v>-0.62386933038846659</v>
      </c>
      <c r="L99" s="17">
        <f t="shared" si="109"/>
        <v>-0.73704822759395749</v>
      </c>
      <c r="M99" s="17">
        <f t="shared" si="109"/>
        <v>-0.61635685942401752</v>
      </c>
      <c r="N99" s="18">
        <f t="shared" si="109"/>
        <v>-0.3292827097081153</v>
      </c>
    </row>
    <row r="100" spans="2:14" ht="15.75" thickBot="1">
      <c r="B100" s="162" t="s">
        <v>474</v>
      </c>
      <c r="C100" s="161">
        <f>$F$89*$G$4*TAN(RADIANS(C98))</f>
        <v>2.5279907333185009E-3</v>
      </c>
      <c r="D100" s="161">
        <f t="shared" ref="D100:N100" si="110">$F$89*$G$4*TAN(RADIANS(D98))</f>
        <v>0.10834259855153169</v>
      </c>
      <c r="E100" s="161">
        <f t="shared" si="110"/>
        <v>0.19129618992186384</v>
      </c>
      <c r="F100" s="161">
        <f t="shared" si="110"/>
        <v>0.22286351866421189</v>
      </c>
      <c r="G100" s="161">
        <f t="shared" si="110"/>
        <v>0.18757348355144382</v>
      </c>
      <c r="H100" s="161">
        <f t="shared" si="110"/>
        <v>0.10363274318591349</v>
      </c>
      <c r="I100" s="161">
        <f t="shared" si="110"/>
        <v>-1.0849410940889405E-3</v>
      </c>
      <c r="J100" s="161">
        <f t="shared" si="110"/>
        <v>-0.10405151084023229</v>
      </c>
      <c r="K100" s="161">
        <f t="shared" si="110"/>
        <v>-0.18869055550631636</v>
      </c>
      <c r="L100" s="161">
        <f t="shared" si="110"/>
        <v>-0.22292174454713473</v>
      </c>
      <c r="M100" s="161">
        <f t="shared" si="110"/>
        <v>-0.18641839329147517</v>
      </c>
      <c r="N100" s="163">
        <f t="shared" si="110"/>
        <v>-9.9592229313085701E-2</v>
      </c>
    </row>
    <row r="101" spans="2:14" ht="15.75" thickBot="1">
      <c r="B101" s="162" t="s">
        <v>476</v>
      </c>
      <c r="C101" s="164">
        <f>$F$92*$G$4*TAN(RADIANS(C98))</f>
        <v>1.9466361267774211E-2</v>
      </c>
      <c r="D101" s="165">
        <f t="shared" ref="D101:M101" si="111">$F$92*$G$4*TAN(RADIANS(D98))</f>
        <v>0.83427369265907436</v>
      </c>
      <c r="E101" s="165">
        <f t="shared" si="111"/>
        <v>1.4730436678774739</v>
      </c>
      <c r="F101" s="165">
        <f t="shared" si="111"/>
        <v>1.7161224962363433</v>
      </c>
      <c r="G101" s="165">
        <f t="shared" si="111"/>
        <v>1.444377602711439</v>
      </c>
      <c r="H101" s="165">
        <f t="shared" si="111"/>
        <v>0.7980062551017636</v>
      </c>
      <c r="I101" s="165">
        <f t="shared" si="111"/>
        <v>-8.3544037616251187E-3</v>
      </c>
      <c r="J101" s="165">
        <f t="shared" si="111"/>
        <v>-0.80123090396569641</v>
      </c>
      <c r="K101" s="165">
        <f t="shared" si="111"/>
        <v>-1.4529794246837462</v>
      </c>
      <c r="L101" s="165">
        <f t="shared" si="111"/>
        <v>-1.7165708547121763</v>
      </c>
      <c r="M101" s="165">
        <f t="shared" si="111"/>
        <v>-1.4354830272681498</v>
      </c>
      <c r="N101" s="166">
        <f>$F$92*$G$4*TAN(RADIANS(N98))</f>
        <v>-0.76689296749383407</v>
      </c>
    </row>
    <row r="128" spans="3:3">
      <c r="C128"/>
    </row>
    <row r="129" spans="1:17">
      <c r="C129"/>
    </row>
    <row r="130" spans="1:17">
      <c r="C130"/>
    </row>
    <row r="134" spans="1:17">
      <c r="C134"/>
    </row>
    <row r="135" spans="1:17">
      <c r="C135"/>
    </row>
    <row r="136" spans="1:17">
      <c r="C136"/>
      <c r="Q136" s="2"/>
    </row>
    <row r="137" spans="1:17">
      <c r="C137"/>
      <c r="Q137" s="2"/>
    </row>
    <row r="138" spans="1:17">
      <c r="C138"/>
      <c r="Q138">
        <f>$D137*SIN(Q85)</f>
        <v>0</v>
      </c>
    </row>
    <row r="139" spans="1:17">
      <c r="C139"/>
      <c r="Q139">
        <f>$D$137*COS(Q85)</f>
        <v>0</v>
      </c>
    </row>
    <row r="140" spans="1:17">
      <c r="C140"/>
      <c r="Q140">
        <f t="shared" ref="Q140" si="112">Q139*$F$4</f>
        <v>0</v>
      </c>
    </row>
    <row r="143" spans="1:17" s="2" customFormat="1">
      <c r="A143"/>
      <c r="O143"/>
      <c r="P143"/>
      <c r="Q143"/>
    </row>
    <row r="144" spans="1:17" s="2" customFormat="1">
      <c r="A144"/>
      <c r="B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63" spans="3:17">
      <c r="O163" s="9"/>
      <c r="P163" s="9"/>
      <c r="Q163" s="9"/>
    </row>
    <row r="164" spans="3:17">
      <c r="C164"/>
    </row>
    <row r="165" spans="3:17">
      <c r="C165"/>
    </row>
    <row r="166" spans="3:17">
      <c r="C166"/>
    </row>
    <row r="167" spans="3:17">
      <c r="C167"/>
    </row>
    <row r="168" spans="3:17">
      <c r="C168"/>
    </row>
    <row r="169" spans="3:17">
      <c r="C169"/>
    </row>
    <row r="170" spans="3:17">
      <c r="C170"/>
    </row>
    <row r="171" spans="3:17"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spans="3:17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spans="3:17">
      <c r="O173" s="2"/>
      <c r="P173" s="2"/>
      <c r="Q173" s="2"/>
    </row>
    <row r="174" spans="3:17">
      <c r="O174" s="2"/>
      <c r="P174" s="2"/>
      <c r="Q174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37F7-DB26-458A-8E21-7A8575F66279}">
  <sheetPr codeName="Sheet15"/>
  <dimension ref="A1:P36"/>
  <sheetViews>
    <sheetView workbookViewId="0">
      <selection activeCell="K3" sqref="K3"/>
    </sheetView>
  </sheetViews>
  <sheetFormatPr defaultRowHeight="15"/>
  <cols>
    <col min="1" max="1" width="33.5703125" customWidth="1"/>
  </cols>
  <sheetData>
    <row r="1" spans="1:16" ht="18.75" customHeight="1">
      <c r="I1" s="130" t="s">
        <v>431</v>
      </c>
      <c r="J1" s="129" t="s">
        <v>432</v>
      </c>
    </row>
    <row r="2" spans="1:16" ht="18.75">
      <c r="A2" s="125" t="str" cm="1">
        <f t="array" ref="A2:A9">Enter!A2:A9</f>
        <v>Location</v>
      </c>
      <c r="B2" t="str">
        <f>Enter!B2</f>
        <v>Tehran</v>
      </c>
      <c r="I2">
        <v>1399</v>
      </c>
      <c r="J2">
        <v>1403</v>
      </c>
      <c r="K2">
        <f>J2-I2</f>
        <v>4</v>
      </c>
    </row>
    <row r="3" spans="1:16" ht="18.75">
      <c r="A3" s="125" t="str">
        <v>Longitude</v>
      </c>
      <c r="B3">
        <f>Enter!B3</f>
        <v>51.3797</v>
      </c>
      <c r="I3" s="41" t="s">
        <v>392</v>
      </c>
      <c r="K3" s="41"/>
    </row>
    <row r="4" spans="1:16" ht="23.25" thickBot="1">
      <c r="A4" s="125" t="str">
        <v>Latitude</v>
      </c>
      <c r="B4">
        <f>Enter!B4</f>
        <v>35.7029</v>
      </c>
      <c r="J4" s="82" t="s">
        <v>404</v>
      </c>
    </row>
    <row r="5" spans="1:16" ht="22.5">
      <c r="A5" s="125" t="str">
        <v>Elevation</v>
      </c>
      <c r="B5">
        <f>Enter!B5</f>
        <v>1210</v>
      </c>
      <c r="D5" s="81" t="s">
        <v>0</v>
      </c>
      <c r="E5" s="131">
        <v>1</v>
      </c>
      <c r="F5" s="131">
        <f>E5+1</f>
        <v>2</v>
      </c>
      <c r="G5" s="131">
        <f t="shared" ref="G5:P5" si="0">F5+1</f>
        <v>3</v>
      </c>
      <c r="H5" s="131">
        <f t="shared" si="0"/>
        <v>4</v>
      </c>
      <c r="I5" s="131">
        <f t="shared" si="0"/>
        <v>5</v>
      </c>
      <c r="J5" s="131">
        <f t="shared" si="0"/>
        <v>6</v>
      </c>
      <c r="K5" s="131">
        <f t="shared" si="0"/>
        <v>7</v>
      </c>
      <c r="L5" s="131">
        <f t="shared" si="0"/>
        <v>8</v>
      </c>
      <c r="M5" s="131">
        <f t="shared" si="0"/>
        <v>9</v>
      </c>
      <c r="N5" s="131">
        <f t="shared" si="0"/>
        <v>10</v>
      </c>
      <c r="O5" s="131">
        <f t="shared" si="0"/>
        <v>11</v>
      </c>
      <c r="P5" s="132">
        <f t="shared" si="0"/>
        <v>12</v>
      </c>
    </row>
    <row r="6" spans="1:16" ht="18.75">
      <c r="A6" s="125" t="str">
        <v>Time Zone</v>
      </c>
      <c r="B6">
        <f>Enter!B6</f>
        <v>3.5</v>
      </c>
      <c r="D6" s="133">
        <v>1</v>
      </c>
      <c r="E6" s="15" t="s">
        <v>19</v>
      </c>
      <c r="F6" s="15" t="s">
        <v>50</v>
      </c>
      <c r="G6" s="15" t="s">
        <v>80</v>
      </c>
      <c r="H6" s="15" t="s">
        <v>111</v>
      </c>
      <c r="I6" s="15" t="s">
        <v>142</v>
      </c>
      <c r="J6" s="15" t="s">
        <v>171</v>
      </c>
      <c r="K6" s="15" t="s">
        <v>202</v>
      </c>
      <c r="L6" s="15" t="s">
        <v>231</v>
      </c>
      <c r="M6" s="15" t="s">
        <v>261</v>
      </c>
      <c r="N6" s="15" t="s">
        <v>291</v>
      </c>
      <c r="O6" s="15" t="s">
        <v>321</v>
      </c>
      <c r="P6" s="16" t="s">
        <v>351</v>
      </c>
    </row>
    <row r="7" spans="1:16" ht="18.75">
      <c r="A7" s="125" t="str">
        <v>Local and Civil Time Difference</v>
      </c>
      <c r="B7">
        <f>Enter!B7</f>
        <v>0</v>
      </c>
      <c r="D7" s="133">
        <f>D6+1</f>
        <v>2</v>
      </c>
      <c r="E7" s="15" t="s">
        <v>20</v>
      </c>
      <c r="F7" s="15" t="s">
        <v>18</v>
      </c>
      <c r="G7" s="15" t="s">
        <v>81</v>
      </c>
      <c r="H7" s="15" t="s">
        <v>112</v>
      </c>
      <c r="I7" s="15" t="s">
        <v>143</v>
      </c>
      <c r="J7" s="15" t="s">
        <v>172</v>
      </c>
      <c r="K7" s="15" t="s">
        <v>203</v>
      </c>
      <c r="L7" s="15" t="s">
        <v>232</v>
      </c>
      <c r="M7" s="15" t="s">
        <v>262</v>
      </c>
      <c r="N7" s="15" t="s">
        <v>292</v>
      </c>
      <c r="O7" s="15" t="s">
        <v>322</v>
      </c>
      <c r="P7" s="16" t="s">
        <v>352</v>
      </c>
    </row>
    <row r="8" spans="1:16" ht="18.75">
      <c r="A8" s="125" t="str">
        <v>Atmospheric Pressure</v>
      </c>
      <c r="B8">
        <f>Enter!B8</f>
        <v>876.11192927573188</v>
      </c>
      <c r="D8" s="133">
        <f t="shared" ref="D8:D36" si="1">D7+1</f>
        <v>3</v>
      </c>
      <c r="E8" s="15" t="s">
        <v>21</v>
      </c>
      <c r="F8" s="15" t="s">
        <v>51</v>
      </c>
      <c r="G8" s="15" t="s">
        <v>82</v>
      </c>
      <c r="H8" s="15" t="s">
        <v>113</v>
      </c>
      <c r="I8" s="15" t="s">
        <v>144</v>
      </c>
      <c r="J8" s="15" t="s">
        <v>173</v>
      </c>
      <c r="K8" s="15" t="s">
        <v>204</v>
      </c>
      <c r="L8" s="15" t="s">
        <v>233</v>
      </c>
      <c r="M8" s="15" t="s">
        <v>263</v>
      </c>
      <c r="N8" s="15" t="s">
        <v>293</v>
      </c>
      <c r="O8" s="15" t="s">
        <v>323</v>
      </c>
      <c r="P8" s="16" t="s">
        <v>353</v>
      </c>
    </row>
    <row r="9" spans="1:16" ht="18.75">
      <c r="A9" s="125" t="str">
        <v>Amospheric Temperature</v>
      </c>
      <c r="B9">
        <f>Enter!B9</f>
        <v>7.1364968049580559</v>
      </c>
      <c r="D9" s="133">
        <f t="shared" si="1"/>
        <v>4</v>
      </c>
      <c r="E9" s="15" t="s">
        <v>22</v>
      </c>
      <c r="F9" s="15" t="s">
        <v>52</v>
      </c>
      <c r="G9" s="15" t="s">
        <v>83</v>
      </c>
      <c r="H9" s="15" t="s">
        <v>114</v>
      </c>
      <c r="I9" s="15" t="s">
        <v>145</v>
      </c>
      <c r="J9" s="15" t="s">
        <v>174</v>
      </c>
      <c r="K9" s="15" t="s">
        <v>205</v>
      </c>
      <c r="L9" s="15" t="s">
        <v>234</v>
      </c>
      <c r="M9" s="15" t="s">
        <v>264</v>
      </c>
      <c r="N9" s="15" t="s">
        <v>294</v>
      </c>
      <c r="O9" s="15" t="s">
        <v>324</v>
      </c>
      <c r="P9" s="16" t="s">
        <v>354</v>
      </c>
    </row>
    <row r="10" spans="1:16" ht="15.75">
      <c r="D10" s="133">
        <f t="shared" si="1"/>
        <v>5</v>
      </c>
      <c r="E10" s="15" t="s">
        <v>23</v>
      </c>
      <c r="F10" s="15" t="s">
        <v>53</v>
      </c>
      <c r="G10" s="15" t="s">
        <v>84</v>
      </c>
      <c r="H10" s="15" t="s">
        <v>115</v>
      </c>
      <c r="I10" s="15" t="s">
        <v>146</v>
      </c>
      <c r="J10" s="15" t="s">
        <v>175</v>
      </c>
      <c r="K10" s="15" t="s">
        <v>206</v>
      </c>
      <c r="L10" s="15" t="s">
        <v>235</v>
      </c>
      <c r="M10" s="15" t="s">
        <v>265</v>
      </c>
      <c r="N10" s="15" t="s">
        <v>295</v>
      </c>
      <c r="O10" s="15" t="s">
        <v>325</v>
      </c>
      <c r="P10" s="16" t="s">
        <v>355</v>
      </c>
    </row>
    <row r="11" spans="1:16" ht="15.75">
      <c r="D11" s="133">
        <f t="shared" si="1"/>
        <v>6</v>
      </c>
      <c r="E11" s="15" t="s">
        <v>24</v>
      </c>
      <c r="F11" s="15" t="s">
        <v>54</v>
      </c>
      <c r="G11" s="15" t="s">
        <v>85</v>
      </c>
      <c r="H11" s="15" t="s">
        <v>116</v>
      </c>
      <c r="I11" s="15" t="s">
        <v>147</v>
      </c>
      <c r="J11" s="15" t="s">
        <v>176</v>
      </c>
      <c r="K11" s="15" t="s">
        <v>207</v>
      </c>
      <c r="L11" s="15" t="s">
        <v>236</v>
      </c>
      <c r="M11" s="15" t="s">
        <v>266</v>
      </c>
      <c r="N11" s="15" t="s">
        <v>296</v>
      </c>
      <c r="O11" s="15" t="s">
        <v>326</v>
      </c>
      <c r="P11" s="16" t="s">
        <v>356</v>
      </c>
    </row>
    <row r="12" spans="1:16" ht="15.75">
      <c r="D12" s="133">
        <f t="shared" si="1"/>
        <v>7</v>
      </c>
      <c r="E12" s="15" t="s">
        <v>25</v>
      </c>
      <c r="F12" s="15" t="s">
        <v>55</v>
      </c>
      <c r="G12" s="15" t="s">
        <v>86</v>
      </c>
      <c r="H12" s="15" t="s">
        <v>117</v>
      </c>
      <c r="I12" s="15" t="s">
        <v>148</v>
      </c>
      <c r="J12" s="15" t="s">
        <v>177</v>
      </c>
      <c r="K12" s="15" t="s">
        <v>208</v>
      </c>
      <c r="L12" s="15" t="s">
        <v>237</v>
      </c>
      <c r="M12" s="15" t="s">
        <v>267</v>
      </c>
      <c r="N12" s="15" t="s">
        <v>297</v>
      </c>
      <c r="O12" s="15" t="s">
        <v>327</v>
      </c>
      <c r="P12" s="16" t="s">
        <v>357</v>
      </c>
    </row>
    <row r="13" spans="1:16" ht="15.75">
      <c r="D13" s="133">
        <f t="shared" si="1"/>
        <v>8</v>
      </c>
      <c r="E13" s="15" t="s">
        <v>26</v>
      </c>
      <c r="F13" s="15" t="s">
        <v>56</v>
      </c>
      <c r="G13" s="15" t="s">
        <v>87</v>
      </c>
      <c r="H13" s="15" t="s">
        <v>118</v>
      </c>
      <c r="I13" s="15" t="s">
        <v>149</v>
      </c>
      <c r="J13" s="15" t="s">
        <v>178</v>
      </c>
      <c r="K13" s="15" t="s">
        <v>209</v>
      </c>
      <c r="L13" s="15" t="s">
        <v>238</v>
      </c>
      <c r="M13" s="15" t="s">
        <v>268</v>
      </c>
      <c r="N13" s="15" t="s">
        <v>298</v>
      </c>
      <c r="O13" s="15" t="s">
        <v>328</v>
      </c>
      <c r="P13" s="16" t="s">
        <v>358</v>
      </c>
    </row>
    <row r="14" spans="1:16" ht="15.75">
      <c r="D14" s="133">
        <f t="shared" si="1"/>
        <v>9</v>
      </c>
      <c r="E14" s="15" t="s">
        <v>27</v>
      </c>
      <c r="F14" s="15" t="s">
        <v>57</v>
      </c>
      <c r="G14" s="15" t="s">
        <v>88</v>
      </c>
      <c r="H14" s="15" t="s">
        <v>119</v>
      </c>
      <c r="I14" s="15" t="s">
        <v>150</v>
      </c>
      <c r="J14" s="15" t="s">
        <v>179</v>
      </c>
      <c r="K14" s="15" t="s">
        <v>210</v>
      </c>
      <c r="L14" s="15" t="s">
        <v>239</v>
      </c>
      <c r="M14" s="15" t="s">
        <v>269</v>
      </c>
      <c r="N14" s="15" t="s">
        <v>299</v>
      </c>
      <c r="O14" s="15" t="s">
        <v>329</v>
      </c>
      <c r="P14" s="16" t="s">
        <v>359</v>
      </c>
    </row>
    <row r="15" spans="1:16" ht="15.75">
      <c r="D15" s="133">
        <f t="shared" si="1"/>
        <v>10</v>
      </c>
      <c r="E15" s="15" t="s">
        <v>28</v>
      </c>
      <c r="F15" s="15" t="s">
        <v>58</v>
      </c>
      <c r="G15" s="15" t="s">
        <v>89</v>
      </c>
      <c r="H15" s="15" t="s">
        <v>120</v>
      </c>
      <c r="I15" s="15" t="s">
        <v>151</v>
      </c>
      <c r="J15" s="15" t="s">
        <v>180</v>
      </c>
      <c r="K15" s="15" t="s">
        <v>211</v>
      </c>
      <c r="L15" s="15" t="s">
        <v>240</v>
      </c>
      <c r="M15" s="15" t="s">
        <v>270</v>
      </c>
      <c r="N15" s="15" t="s">
        <v>300</v>
      </c>
      <c r="O15" s="15" t="s">
        <v>330</v>
      </c>
      <c r="P15" s="16" t="s">
        <v>360</v>
      </c>
    </row>
    <row r="16" spans="1:16" ht="15.75">
      <c r="D16" s="133">
        <f t="shared" si="1"/>
        <v>11</v>
      </c>
      <c r="E16" s="15" t="s">
        <v>29</v>
      </c>
      <c r="F16" s="15" t="s">
        <v>59</v>
      </c>
      <c r="G16" s="15" t="s">
        <v>90</v>
      </c>
      <c r="H16" s="15" t="s">
        <v>121</v>
      </c>
      <c r="I16" s="15" t="s">
        <v>152</v>
      </c>
      <c r="J16" s="15" t="s">
        <v>181</v>
      </c>
      <c r="K16" s="15" t="s">
        <v>212</v>
      </c>
      <c r="L16" s="15" t="s">
        <v>241</v>
      </c>
      <c r="M16" s="15" t="s">
        <v>271</v>
      </c>
      <c r="N16" s="15" t="s">
        <v>301</v>
      </c>
      <c r="O16" s="15" t="s">
        <v>331</v>
      </c>
      <c r="P16" s="16" t="s">
        <v>361</v>
      </c>
    </row>
    <row r="17" spans="4:16" ht="15.75">
      <c r="D17" s="133">
        <f t="shared" si="1"/>
        <v>12</v>
      </c>
      <c r="E17" s="15" t="s">
        <v>30</v>
      </c>
      <c r="F17" s="15" t="s">
        <v>60</v>
      </c>
      <c r="G17" s="15" t="s">
        <v>91</v>
      </c>
      <c r="H17" s="15" t="s">
        <v>122</v>
      </c>
      <c r="I17" s="15" t="s">
        <v>153</v>
      </c>
      <c r="J17" s="15" t="s">
        <v>182</v>
      </c>
      <c r="K17" s="15" t="s">
        <v>213</v>
      </c>
      <c r="L17" s="15" t="s">
        <v>242</v>
      </c>
      <c r="M17" s="15" t="s">
        <v>272</v>
      </c>
      <c r="N17" s="15" t="s">
        <v>302</v>
      </c>
      <c r="O17" s="15" t="s">
        <v>332</v>
      </c>
      <c r="P17" s="16" t="s">
        <v>362</v>
      </c>
    </row>
    <row r="18" spans="4:16" ht="15.75">
      <c r="D18" s="133">
        <f t="shared" si="1"/>
        <v>13</v>
      </c>
      <c r="E18" s="15" t="s">
        <v>31</v>
      </c>
      <c r="F18" s="15" t="s">
        <v>61</v>
      </c>
      <c r="G18" s="15" t="s">
        <v>92</v>
      </c>
      <c r="H18" s="15" t="s">
        <v>123</v>
      </c>
      <c r="I18" s="15" t="s">
        <v>154</v>
      </c>
      <c r="J18" s="15" t="s">
        <v>183</v>
      </c>
      <c r="K18" s="15" t="s">
        <v>214</v>
      </c>
      <c r="L18" s="15" t="s">
        <v>243</v>
      </c>
      <c r="M18" s="15" t="s">
        <v>273</v>
      </c>
      <c r="N18" s="15" t="s">
        <v>303</v>
      </c>
      <c r="O18" s="15" t="s">
        <v>333</v>
      </c>
      <c r="P18" s="16" t="s">
        <v>363</v>
      </c>
    </row>
    <row r="19" spans="4:16" ht="15.75">
      <c r="D19" s="133">
        <f t="shared" si="1"/>
        <v>14</v>
      </c>
      <c r="E19" s="15" t="s">
        <v>32</v>
      </c>
      <c r="F19" s="15" t="s">
        <v>62</v>
      </c>
      <c r="G19" s="15" t="s">
        <v>93</v>
      </c>
      <c r="H19" s="15" t="s">
        <v>124</v>
      </c>
      <c r="I19" s="15" t="s">
        <v>155</v>
      </c>
      <c r="J19" s="15" t="s">
        <v>184</v>
      </c>
      <c r="K19" s="15" t="s">
        <v>215</v>
      </c>
      <c r="L19" s="15" t="s">
        <v>244</v>
      </c>
      <c r="M19" s="15" t="s">
        <v>274</v>
      </c>
      <c r="N19" s="15" t="s">
        <v>304</v>
      </c>
      <c r="O19" s="15" t="s">
        <v>334</v>
      </c>
      <c r="P19" s="16" t="s">
        <v>364</v>
      </c>
    </row>
    <row r="20" spans="4:16" ht="15.75">
      <c r="D20" s="133">
        <f t="shared" si="1"/>
        <v>15</v>
      </c>
      <c r="E20" s="15" t="s">
        <v>33</v>
      </c>
      <c r="F20" s="15" t="s">
        <v>63</v>
      </c>
      <c r="G20" s="15" t="s">
        <v>94</v>
      </c>
      <c r="H20" s="15" t="s">
        <v>125</v>
      </c>
      <c r="I20" s="15" t="s">
        <v>156</v>
      </c>
      <c r="J20" s="15" t="s">
        <v>185</v>
      </c>
      <c r="K20" s="15" t="s">
        <v>216</v>
      </c>
      <c r="L20" s="15" t="s">
        <v>245</v>
      </c>
      <c r="M20" s="15" t="s">
        <v>275</v>
      </c>
      <c r="N20" s="15" t="s">
        <v>305</v>
      </c>
      <c r="O20" s="15" t="s">
        <v>335</v>
      </c>
      <c r="P20" s="16" t="s">
        <v>365</v>
      </c>
    </row>
    <row r="21" spans="4:16" ht="15.75">
      <c r="D21" s="133">
        <f t="shared" si="1"/>
        <v>16</v>
      </c>
      <c r="E21" s="15" t="s">
        <v>34</v>
      </c>
      <c r="F21" s="15" t="s">
        <v>64</v>
      </c>
      <c r="G21" s="15" t="s">
        <v>95</v>
      </c>
      <c r="H21" s="15" t="s">
        <v>126</v>
      </c>
      <c r="I21" s="15" t="s">
        <v>157</v>
      </c>
      <c r="J21" s="15" t="s">
        <v>186</v>
      </c>
      <c r="K21" s="15" t="s">
        <v>217</v>
      </c>
      <c r="L21" s="15" t="s">
        <v>246</v>
      </c>
      <c r="M21" s="15" t="s">
        <v>276</v>
      </c>
      <c r="N21" s="15" t="s">
        <v>306</v>
      </c>
      <c r="O21" s="15" t="s">
        <v>336</v>
      </c>
      <c r="P21" s="16" t="s">
        <v>366</v>
      </c>
    </row>
    <row r="22" spans="4:16" ht="15.75">
      <c r="D22" s="133">
        <f t="shared" si="1"/>
        <v>17</v>
      </c>
      <c r="E22" s="15" t="s">
        <v>35</v>
      </c>
      <c r="F22" s="15" t="s">
        <v>65</v>
      </c>
      <c r="G22" s="15" t="s">
        <v>96</v>
      </c>
      <c r="H22" s="15" t="s">
        <v>127</v>
      </c>
      <c r="I22" s="15" t="s">
        <v>158</v>
      </c>
      <c r="J22" s="15" t="s">
        <v>187</v>
      </c>
      <c r="K22" s="15" t="s">
        <v>218</v>
      </c>
      <c r="L22" s="15" t="s">
        <v>247</v>
      </c>
      <c r="M22" s="15" t="s">
        <v>277</v>
      </c>
      <c r="N22" s="15" t="s">
        <v>307</v>
      </c>
      <c r="O22" s="15" t="s">
        <v>337</v>
      </c>
      <c r="P22" s="16" t="s">
        <v>367</v>
      </c>
    </row>
    <row r="23" spans="4:16" ht="15.75">
      <c r="D23" s="133">
        <f t="shared" si="1"/>
        <v>18</v>
      </c>
      <c r="E23" s="15" t="s">
        <v>36</v>
      </c>
      <c r="F23" s="15" t="s">
        <v>66</v>
      </c>
      <c r="G23" s="15" t="s">
        <v>97</v>
      </c>
      <c r="H23" s="15" t="s">
        <v>128</v>
      </c>
      <c r="I23" s="15" t="s">
        <v>159</v>
      </c>
      <c r="J23" s="15" t="s">
        <v>188</v>
      </c>
      <c r="K23" s="15" t="s">
        <v>219</v>
      </c>
      <c r="L23" s="15" t="s">
        <v>248</v>
      </c>
      <c r="M23" s="15" t="s">
        <v>278</v>
      </c>
      <c r="N23" s="15" t="s">
        <v>308</v>
      </c>
      <c r="O23" s="15" t="s">
        <v>338</v>
      </c>
      <c r="P23" s="16" t="s">
        <v>368</v>
      </c>
    </row>
    <row r="24" spans="4:16" ht="15.75">
      <c r="D24" s="133">
        <f t="shared" si="1"/>
        <v>19</v>
      </c>
      <c r="E24" s="15" t="s">
        <v>37</v>
      </c>
      <c r="F24" s="15" t="s">
        <v>67</v>
      </c>
      <c r="G24" s="15" t="s">
        <v>98</v>
      </c>
      <c r="H24" s="15" t="s">
        <v>129</v>
      </c>
      <c r="I24" s="15" t="s">
        <v>160</v>
      </c>
      <c r="J24" s="15" t="s">
        <v>189</v>
      </c>
      <c r="K24" s="15" t="s">
        <v>220</v>
      </c>
      <c r="L24" s="15" t="s">
        <v>249</v>
      </c>
      <c r="M24" s="15" t="s">
        <v>279</v>
      </c>
      <c r="N24" s="15" t="s">
        <v>309</v>
      </c>
      <c r="O24" s="15" t="s">
        <v>339</v>
      </c>
      <c r="P24" s="16" t="s">
        <v>369</v>
      </c>
    </row>
    <row r="25" spans="4:16" ht="15.75">
      <c r="D25" s="133">
        <f t="shared" si="1"/>
        <v>20</v>
      </c>
      <c r="E25" s="15" t="s">
        <v>38</v>
      </c>
      <c r="F25" s="15" t="s">
        <v>68</v>
      </c>
      <c r="G25" s="15" t="s">
        <v>99</v>
      </c>
      <c r="H25" s="15" t="s">
        <v>130</v>
      </c>
      <c r="I25" s="15" t="s">
        <v>161</v>
      </c>
      <c r="J25" s="15" t="s">
        <v>190</v>
      </c>
      <c r="K25" s="15" t="s">
        <v>221</v>
      </c>
      <c r="L25" s="15" t="s">
        <v>250</v>
      </c>
      <c r="M25" s="15" t="s">
        <v>280</v>
      </c>
      <c r="N25" s="15" t="s">
        <v>310</v>
      </c>
      <c r="O25" s="15" t="s">
        <v>340</v>
      </c>
      <c r="P25" s="16" t="s">
        <v>370</v>
      </c>
    </row>
    <row r="26" spans="4:16" ht="15.75">
      <c r="D26" s="133">
        <f>D25+1</f>
        <v>21</v>
      </c>
      <c r="E26" s="15" t="s">
        <v>39</v>
      </c>
      <c r="F26" s="15" t="s">
        <v>69</v>
      </c>
      <c r="G26" s="15" t="s">
        <v>100</v>
      </c>
      <c r="H26" s="15" t="s">
        <v>131</v>
      </c>
      <c r="I26" s="15" t="s">
        <v>162</v>
      </c>
      <c r="J26" s="15" t="s">
        <v>191</v>
      </c>
      <c r="K26" s="15" t="s">
        <v>222</v>
      </c>
      <c r="L26" s="15" t="s">
        <v>251</v>
      </c>
      <c r="M26" s="15" t="s">
        <v>281</v>
      </c>
      <c r="N26" s="15" t="s">
        <v>311</v>
      </c>
      <c r="O26" s="15" t="s">
        <v>341</v>
      </c>
      <c r="P26" s="16" t="s">
        <v>371</v>
      </c>
    </row>
    <row r="27" spans="4:16" ht="15.75">
      <c r="D27" s="133">
        <f t="shared" si="1"/>
        <v>22</v>
      </c>
      <c r="E27" s="15" t="s">
        <v>40</v>
      </c>
      <c r="F27" s="15" t="s">
        <v>70</v>
      </c>
      <c r="G27" s="15" t="s">
        <v>101</v>
      </c>
      <c r="H27" s="15" t="s">
        <v>132</v>
      </c>
      <c r="I27" s="15" t="s">
        <v>163</v>
      </c>
      <c r="J27" s="15" t="s">
        <v>192</v>
      </c>
      <c r="K27" s="15" t="s">
        <v>223</v>
      </c>
      <c r="L27" s="15" t="s">
        <v>252</v>
      </c>
      <c r="M27" s="15" t="s">
        <v>282</v>
      </c>
      <c r="N27" s="15" t="s">
        <v>312</v>
      </c>
      <c r="O27" s="15" t="s">
        <v>342</v>
      </c>
      <c r="P27" s="16" t="s">
        <v>372</v>
      </c>
    </row>
    <row r="28" spans="4:16" ht="15.75">
      <c r="D28" s="133">
        <f t="shared" si="1"/>
        <v>23</v>
      </c>
      <c r="E28" s="15" t="s">
        <v>41</v>
      </c>
      <c r="F28" s="15" t="s">
        <v>71</v>
      </c>
      <c r="G28" s="15" t="s">
        <v>102</v>
      </c>
      <c r="H28" s="15" t="s">
        <v>133</v>
      </c>
      <c r="I28" s="15" t="s">
        <v>164</v>
      </c>
      <c r="J28" s="15" t="s">
        <v>193</v>
      </c>
      <c r="K28" s="15" t="s">
        <v>224</v>
      </c>
      <c r="L28" s="15" t="s">
        <v>253</v>
      </c>
      <c r="M28" s="15" t="s">
        <v>283</v>
      </c>
      <c r="N28" s="15" t="s">
        <v>313</v>
      </c>
      <c r="O28" s="15" t="s">
        <v>343</v>
      </c>
      <c r="P28" s="16" t="s">
        <v>373</v>
      </c>
    </row>
    <row r="29" spans="4:16" ht="15.75">
      <c r="D29" s="133">
        <f>D28+1</f>
        <v>24</v>
      </c>
      <c r="E29" s="15" t="s">
        <v>42</v>
      </c>
      <c r="F29" s="15" t="s">
        <v>72</v>
      </c>
      <c r="G29" s="15" t="s">
        <v>103</v>
      </c>
      <c r="H29" s="15" t="s">
        <v>134</v>
      </c>
      <c r="I29" s="15" t="s">
        <v>165</v>
      </c>
      <c r="J29" s="15" t="s">
        <v>194</v>
      </c>
      <c r="K29" s="15" t="s">
        <v>225</v>
      </c>
      <c r="L29" s="15" t="s">
        <v>254</v>
      </c>
      <c r="M29" s="15" t="s">
        <v>284</v>
      </c>
      <c r="N29" s="15" t="s">
        <v>314</v>
      </c>
      <c r="O29" s="15" t="s">
        <v>344</v>
      </c>
      <c r="P29" s="16" t="s">
        <v>374</v>
      </c>
    </row>
    <row r="30" spans="4:16" ht="15.75">
      <c r="D30" s="133">
        <f t="shared" si="1"/>
        <v>25</v>
      </c>
      <c r="E30" s="15" t="s">
        <v>43</v>
      </c>
      <c r="F30" s="15" t="s">
        <v>73</v>
      </c>
      <c r="G30" s="15" t="s">
        <v>104</v>
      </c>
      <c r="H30" s="15" t="s">
        <v>135</v>
      </c>
      <c r="I30" s="15" t="s">
        <v>166</v>
      </c>
      <c r="J30" s="15" t="s">
        <v>195</v>
      </c>
      <c r="K30" s="15" t="s">
        <v>226</v>
      </c>
      <c r="L30" s="15" t="s">
        <v>255</v>
      </c>
      <c r="M30" s="15" t="s">
        <v>285</v>
      </c>
      <c r="N30" s="15" t="s">
        <v>315</v>
      </c>
      <c r="O30" s="15" t="s">
        <v>345</v>
      </c>
      <c r="P30" s="16" t="s">
        <v>375</v>
      </c>
    </row>
    <row r="31" spans="4:16" ht="15.75">
      <c r="D31" s="133">
        <f t="shared" si="1"/>
        <v>26</v>
      </c>
      <c r="E31" s="15" t="s">
        <v>44</v>
      </c>
      <c r="F31" s="15" t="s">
        <v>74</v>
      </c>
      <c r="G31" s="15" t="s">
        <v>105</v>
      </c>
      <c r="H31" s="15" t="s">
        <v>136</v>
      </c>
      <c r="I31" s="15" t="s">
        <v>167</v>
      </c>
      <c r="J31" s="15" t="s">
        <v>196</v>
      </c>
      <c r="K31" s="15" t="s">
        <v>227</v>
      </c>
      <c r="L31" s="15" t="s">
        <v>256</v>
      </c>
      <c r="M31" s="15" t="s">
        <v>286</v>
      </c>
      <c r="N31" s="15" t="s">
        <v>316</v>
      </c>
      <c r="O31" s="15" t="s">
        <v>346</v>
      </c>
      <c r="P31" s="16" t="s">
        <v>376</v>
      </c>
    </row>
    <row r="32" spans="4:16" ht="15.75">
      <c r="D32" s="133">
        <f t="shared" si="1"/>
        <v>27</v>
      </c>
      <c r="E32" s="15" t="s">
        <v>45</v>
      </c>
      <c r="F32" s="15" t="s">
        <v>75</v>
      </c>
      <c r="G32" s="15" t="s">
        <v>106</v>
      </c>
      <c r="H32" s="15" t="s">
        <v>137</v>
      </c>
      <c r="I32" s="15" t="s">
        <v>168</v>
      </c>
      <c r="J32" s="15" t="s">
        <v>197</v>
      </c>
      <c r="K32" s="15" t="s">
        <v>228</v>
      </c>
      <c r="L32" s="15" t="s">
        <v>257</v>
      </c>
      <c r="M32" s="15" t="s">
        <v>287</v>
      </c>
      <c r="N32" s="15" t="s">
        <v>317</v>
      </c>
      <c r="O32" s="15" t="s">
        <v>347</v>
      </c>
      <c r="P32" s="16" t="s">
        <v>377</v>
      </c>
    </row>
    <row r="33" spans="4:16" ht="15.75">
      <c r="D33" s="133">
        <f t="shared" si="1"/>
        <v>28</v>
      </c>
      <c r="E33" s="15" t="s">
        <v>46</v>
      </c>
      <c r="F33" s="15" t="s">
        <v>76</v>
      </c>
      <c r="G33" s="15" t="s">
        <v>107</v>
      </c>
      <c r="H33" s="15" t="s">
        <v>138</v>
      </c>
      <c r="I33" s="15" t="s">
        <v>169</v>
      </c>
      <c r="J33" s="15" t="s">
        <v>198</v>
      </c>
      <c r="K33" s="15" t="s">
        <v>229</v>
      </c>
      <c r="L33" s="15" t="s">
        <v>258</v>
      </c>
      <c r="M33" s="15" t="s">
        <v>288</v>
      </c>
      <c r="N33" s="15" t="s">
        <v>318</v>
      </c>
      <c r="O33" s="15" t="s">
        <v>348</v>
      </c>
      <c r="P33" s="16" t="s">
        <v>378</v>
      </c>
    </row>
    <row r="34" spans="4:16" ht="15.75">
      <c r="D34" s="133">
        <f t="shared" si="1"/>
        <v>29</v>
      </c>
      <c r="E34" s="15" t="s">
        <v>47</v>
      </c>
      <c r="F34" s="15" t="s">
        <v>77</v>
      </c>
      <c r="G34" s="15" t="s">
        <v>108</v>
      </c>
      <c r="H34" s="15" t="s">
        <v>139</v>
      </c>
      <c r="I34" s="15" t="s">
        <v>170</v>
      </c>
      <c r="J34" s="15" t="s">
        <v>199</v>
      </c>
      <c r="K34" s="15" t="s">
        <v>14</v>
      </c>
      <c r="L34" s="15" t="s">
        <v>259</v>
      </c>
      <c r="M34" s="15" t="s">
        <v>289</v>
      </c>
      <c r="N34" s="15" t="s">
        <v>319</v>
      </c>
      <c r="O34" s="15" t="s">
        <v>349</v>
      </c>
      <c r="P34" s="16" t="s">
        <v>379</v>
      </c>
    </row>
    <row r="35" spans="4:16" ht="15.75">
      <c r="D35" s="133">
        <f>D34+1</f>
        <v>30</v>
      </c>
      <c r="E35" s="15" t="s">
        <v>48</v>
      </c>
      <c r="F35" s="15" t="s">
        <v>78</v>
      </c>
      <c r="G35" s="15" t="s">
        <v>109</v>
      </c>
      <c r="H35" s="15" t="s">
        <v>140</v>
      </c>
      <c r="I35" s="15" t="s">
        <v>16</v>
      </c>
      <c r="J35" s="15" t="s">
        <v>200</v>
      </c>
      <c r="K35" s="15" t="s">
        <v>230</v>
      </c>
      <c r="L35" s="15" t="s">
        <v>260</v>
      </c>
      <c r="M35" s="15" t="s">
        <v>290</v>
      </c>
      <c r="N35" s="15" t="s">
        <v>320</v>
      </c>
      <c r="O35" s="15" t="s">
        <v>350</v>
      </c>
      <c r="P35" s="16" t="s">
        <v>380</v>
      </c>
    </row>
    <row r="36" spans="4:16" ht="16.5" thickBot="1">
      <c r="D36" s="134">
        <f t="shared" si="1"/>
        <v>31</v>
      </c>
      <c r="E36" s="17" t="s">
        <v>49</v>
      </c>
      <c r="F36" s="17" t="s">
        <v>79</v>
      </c>
      <c r="G36" s="17" t="s">
        <v>110</v>
      </c>
      <c r="H36" s="17" t="s">
        <v>141</v>
      </c>
      <c r="I36" s="17" t="s">
        <v>17</v>
      </c>
      <c r="J36" s="17" t="s">
        <v>201</v>
      </c>
      <c r="K36" s="17" t="s">
        <v>15</v>
      </c>
      <c r="L36" s="17" t="s">
        <v>15</v>
      </c>
      <c r="M36" s="17" t="s">
        <v>15</v>
      </c>
      <c r="N36" s="17" t="s">
        <v>15</v>
      </c>
      <c r="O36" s="17" t="s">
        <v>15</v>
      </c>
      <c r="P36" s="18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Average_Click">
                <anchor moveWithCells="1">
                  <from>
                    <xdr:col>4</xdr:col>
                    <xdr:colOff>38100</xdr:colOff>
                    <xdr:row>1</xdr:row>
                    <xdr:rowOff>0</xdr:rowOff>
                  </from>
                  <to>
                    <xdr:col>5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5E36-57DF-41D1-AF55-92A923B87373}">
  <sheetPr codeName="Sheet6"/>
  <dimension ref="A1:Z22"/>
  <sheetViews>
    <sheetView zoomScaleNormal="100" workbookViewId="0">
      <selection activeCell="G1" sqref="G1"/>
    </sheetView>
  </sheetViews>
  <sheetFormatPr defaultRowHeight="15"/>
  <cols>
    <col min="1" max="1" width="14" bestFit="1" customWidth="1"/>
    <col min="2" max="2" width="12.28515625" bestFit="1" customWidth="1"/>
    <col min="3" max="3" width="12.28515625" customWidth="1"/>
    <col min="4" max="4" width="11.28515625" bestFit="1" customWidth="1"/>
    <col min="5" max="5" width="12.28515625" bestFit="1" customWidth="1"/>
    <col min="6" max="6" width="11.5703125" bestFit="1" customWidth="1"/>
    <col min="7" max="9" width="11.28515625" bestFit="1" customWidth="1"/>
    <col min="10" max="10" width="12.28515625" bestFit="1" customWidth="1"/>
    <col min="11" max="11" width="11.28515625" bestFit="1" customWidth="1"/>
    <col min="12" max="12" width="12.28515625" customWidth="1"/>
    <col min="13" max="13" width="11.28515625" customWidth="1"/>
    <col min="14" max="14" width="12.28515625" bestFit="1" customWidth="1"/>
    <col min="15" max="15" width="11.28515625" bestFit="1" customWidth="1"/>
    <col min="16" max="16" width="12.28515625" bestFit="1" customWidth="1"/>
    <col min="17" max="17" width="11.28515625" bestFit="1" customWidth="1"/>
    <col min="18" max="18" width="12.28515625" bestFit="1" customWidth="1"/>
    <col min="19" max="20" width="11.28515625" bestFit="1" customWidth="1"/>
    <col min="21" max="21" width="12.28515625" bestFit="1" customWidth="1"/>
    <col min="22" max="22" width="11.28515625" bestFit="1" customWidth="1"/>
    <col min="23" max="23" width="12.28515625" bestFit="1" customWidth="1"/>
    <col min="24" max="24" width="11.28515625" bestFit="1" customWidth="1"/>
    <col min="25" max="25" width="12.28515625" bestFit="1" customWidth="1"/>
    <col min="26" max="26" width="11.42578125" customWidth="1"/>
  </cols>
  <sheetData>
    <row r="1" spans="1:18" s="9" customFormat="1" ht="25.5">
      <c r="A1" s="135" t="s">
        <v>393</v>
      </c>
      <c r="B1" s="135" t="s">
        <v>394</v>
      </c>
      <c r="C1" s="135" t="s">
        <v>389</v>
      </c>
      <c r="D1" s="135" t="s">
        <v>395</v>
      </c>
      <c r="E1" s="135" t="s">
        <v>396</v>
      </c>
      <c r="G1" s="135" t="s">
        <v>493</v>
      </c>
      <c r="K1" s="174" t="s">
        <v>407</v>
      </c>
      <c r="L1" s="174" t="s">
        <v>408</v>
      </c>
      <c r="M1" s="174" t="s">
        <v>405</v>
      </c>
      <c r="N1" s="174" t="s">
        <v>478</v>
      </c>
      <c r="O1" s="171" t="s">
        <v>479</v>
      </c>
      <c r="P1" s="171" t="s">
        <v>480</v>
      </c>
      <c r="Q1" s="174" t="s">
        <v>481</v>
      </c>
      <c r="R1" s="174" t="s">
        <v>482</v>
      </c>
    </row>
    <row r="2" spans="1:18" s="2" customFormat="1">
      <c r="A2" s="2" t="str">
        <f>Enter!B2</f>
        <v>Tehran</v>
      </c>
      <c r="B2" s="2">
        <v>51.3797</v>
      </c>
      <c r="C2" s="2">
        <v>35.7029</v>
      </c>
      <c r="D2" s="2">
        <v>1210</v>
      </c>
      <c r="E2" s="2">
        <v>3.5</v>
      </c>
      <c r="K2" s="2">
        <v>125.7029</v>
      </c>
      <c r="L2" s="2">
        <v>0</v>
      </c>
      <c r="M2" s="2">
        <v>10</v>
      </c>
      <c r="O2" s="2">
        <v>90</v>
      </c>
      <c r="P2" s="2">
        <v>0</v>
      </c>
      <c r="Q2" s="2">
        <v>0</v>
      </c>
    </row>
    <row r="3" spans="1:18">
      <c r="K3">
        <v>54.2971</v>
      </c>
      <c r="L3">
        <v>180</v>
      </c>
    </row>
    <row r="5" spans="1:18">
      <c r="A5" s="1">
        <v>-49.274220590023887</v>
      </c>
      <c r="B5" s="1">
        <v>0.96357788172681613</v>
      </c>
      <c r="C5" s="1">
        <v>-23.060036796920489</v>
      </c>
      <c r="D5" s="1">
        <v>0.45094861254523416</v>
      </c>
      <c r="E5" s="1">
        <v>49.274220590023887</v>
      </c>
      <c r="F5" s="1">
        <v>-0.96357788172681613</v>
      </c>
      <c r="G5" s="1">
        <v>23.060036796920489</v>
      </c>
      <c r="H5" s="1">
        <v>-0.45094861254523416</v>
      </c>
    </row>
    <row r="6" spans="1:18">
      <c r="A6" s="1">
        <v>-47.844634543024561</v>
      </c>
      <c r="B6" s="1">
        <v>-11.822361969289727</v>
      </c>
      <c r="C6" s="1">
        <v>-22.390999185499744</v>
      </c>
      <c r="D6" s="1">
        <v>-5.5327937971185337</v>
      </c>
      <c r="E6" s="1">
        <v>47.844634543024561</v>
      </c>
      <c r="F6" s="1">
        <v>11.822361969289727</v>
      </c>
      <c r="G6" s="1">
        <v>22.390999185499744</v>
      </c>
      <c r="H6" s="1">
        <v>5.5327937971185337</v>
      </c>
    </row>
    <row r="7" spans="1:18">
      <c r="A7" s="1">
        <v>-43.154515713940803</v>
      </c>
      <c r="B7" s="1">
        <v>-23.802627388246943</v>
      </c>
      <c r="C7" s="1">
        <v>-20.196051980134953</v>
      </c>
      <c r="D7" s="1">
        <v>-11.139485452307504</v>
      </c>
      <c r="E7" s="1">
        <v>43.154515713940803</v>
      </c>
      <c r="F7" s="1">
        <v>23.802627388246943</v>
      </c>
      <c r="G7" s="1">
        <v>20.196051980134953</v>
      </c>
      <c r="H7" s="1">
        <v>11.139485452307504</v>
      </c>
    </row>
    <row r="8" spans="1:18">
      <c r="A8" s="1">
        <v>-35.523487950674458</v>
      </c>
      <c r="B8" s="1">
        <v>-34.160783083922034</v>
      </c>
      <c r="C8" s="1">
        <v>-16.624777205778173</v>
      </c>
      <c r="D8" s="1">
        <v>-15.987039581633681</v>
      </c>
      <c r="E8" s="1">
        <v>35.523487950674458</v>
      </c>
      <c r="F8" s="1">
        <v>34.160783083922034</v>
      </c>
      <c r="G8" s="1">
        <v>16.624777205778173</v>
      </c>
      <c r="H8" s="1">
        <v>15.987039581633681</v>
      </c>
    </row>
    <row r="9" spans="1:18">
      <c r="A9" s="1">
        <v>-25.471593227406807</v>
      </c>
      <c r="B9" s="1">
        <v>-42.190937836767873</v>
      </c>
      <c r="C9" s="1">
        <v>-11.920551356607607</v>
      </c>
      <c r="D9" s="1">
        <v>-19.745103369720912</v>
      </c>
      <c r="E9" s="1">
        <v>25.471593227406807</v>
      </c>
      <c r="F9" s="1">
        <v>42.190937836767873</v>
      </c>
      <c r="G9" s="1">
        <v>11.920551356607607</v>
      </c>
      <c r="H9" s="1">
        <v>19.745103369720912</v>
      </c>
    </row>
    <row r="10" spans="1:18">
      <c r="A10" s="1">
        <v>-13.683851482680442</v>
      </c>
      <c r="B10" s="1">
        <v>-47.345849930996394</v>
      </c>
      <c r="C10" s="1">
        <v>-6.4039596149003852</v>
      </c>
      <c r="D10" s="1">
        <v>-22.157571008059715</v>
      </c>
      <c r="E10" s="1">
        <v>13.683851482680442</v>
      </c>
      <c r="F10" s="1">
        <v>47.345849930996394</v>
      </c>
      <c r="G10" s="1">
        <v>6.4039596149003852</v>
      </c>
      <c r="H10" s="1">
        <v>22.157571008059715</v>
      </c>
    </row>
    <row r="11" spans="1:18">
      <c r="A11" s="1">
        <v>-0.96357787162050645</v>
      </c>
      <c r="B11" s="1">
        <v>-49.274220590221518</v>
      </c>
      <c r="C11" s="1">
        <v>-0.45094860781554241</v>
      </c>
      <c r="D11" s="1">
        <v>-23.06003679701298</v>
      </c>
      <c r="E11" s="1">
        <v>0.96357787162050645</v>
      </c>
      <c r="F11" s="1">
        <v>49.274220590221518</v>
      </c>
      <c r="G11" s="1">
        <v>0.45094860781554241</v>
      </c>
      <c r="H11" s="1">
        <v>23.06003679701298</v>
      </c>
    </row>
    <row r="12" spans="1:18">
      <c r="A12" s="1">
        <v>11.822361979102824</v>
      </c>
      <c r="B12" s="1">
        <v>-47.844634540599749</v>
      </c>
      <c r="C12" s="1">
        <v>5.5327938017110041</v>
      </c>
      <c r="D12" s="1">
        <v>-22.390999184364947</v>
      </c>
      <c r="E12" s="1">
        <v>-11.822361979102824</v>
      </c>
      <c r="F12" s="1">
        <v>47.844634540599749</v>
      </c>
      <c r="G12" s="1">
        <v>-5.5327938017110041</v>
      </c>
      <c r="H12" s="1">
        <v>22.390999184364947</v>
      </c>
    </row>
    <row r="13" spans="1:18">
      <c r="A13" s="1">
        <v>23.802627397098082</v>
      </c>
      <c r="B13" s="1">
        <v>-43.154515709058799</v>
      </c>
      <c r="C13" s="1">
        <v>11.139485456449783</v>
      </c>
      <c r="D13" s="1">
        <v>-20.196051977850207</v>
      </c>
      <c r="E13" s="1">
        <v>-23.802627397098082</v>
      </c>
      <c r="F13" s="1">
        <v>43.154515709058799</v>
      </c>
      <c r="G13" s="1">
        <v>-11.139485456449783</v>
      </c>
      <c r="H13" s="1">
        <v>20.196051977850207</v>
      </c>
    </row>
    <row r="14" spans="1:18">
      <c r="A14" s="1">
        <v>34.160783055684533</v>
      </c>
      <c r="B14" s="1">
        <v>-35.523487977828751</v>
      </c>
      <c r="C14" s="1">
        <v>15.987039568418702</v>
      </c>
      <c r="D14" s="1">
        <v>-16.624777218486216</v>
      </c>
      <c r="E14" s="1">
        <v>-34.160783055684533</v>
      </c>
      <c r="F14" s="1">
        <v>35.523487977828751</v>
      </c>
      <c r="G14" s="1">
        <v>-15.987039568418702</v>
      </c>
      <c r="H14" s="1">
        <v>16.624777218486216</v>
      </c>
    </row>
    <row r="15" spans="1:18">
      <c r="A15" s="1">
        <v>42.190937841992181</v>
      </c>
      <c r="B15" s="1">
        <v>-25.471593218753302</v>
      </c>
      <c r="C15" s="1">
        <v>19.745103372165858</v>
      </c>
      <c r="D15" s="1">
        <v>-11.920551352557819</v>
      </c>
      <c r="E15" s="1">
        <v>-42.190937841992181</v>
      </c>
      <c r="F15" s="1">
        <v>25.471593218753302</v>
      </c>
      <c r="G15" s="1">
        <v>-19.745103372165858</v>
      </c>
      <c r="H15" s="1">
        <v>11.920551352557819</v>
      </c>
    </row>
    <row r="16" spans="1:18">
      <c r="A16" s="1">
        <v>47.345849933803002</v>
      </c>
      <c r="B16" s="1">
        <v>-13.683851472969645</v>
      </c>
      <c r="C16" s="1">
        <v>22.157571009373189</v>
      </c>
      <c r="D16" s="1">
        <v>-6.4039596103557912</v>
      </c>
      <c r="E16" s="1">
        <v>-47.345849933803002</v>
      </c>
      <c r="F16" s="1">
        <v>13.683851472969645</v>
      </c>
      <c r="G16" s="1">
        <v>-22.157571009373189</v>
      </c>
      <c r="H16" s="1">
        <v>6.4039596103557912</v>
      </c>
    </row>
    <row r="17" spans="1:26">
      <c r="A17" s="1">
        <v>49.274220590419155</v>
      </c>
      <c r="B17" s="1">
        <v>-0.963577861514193</v>
      </c>
      <c r="C17" s="1">
        <v>23.060036797105472</v>
      </c>
      <c r="D17" s="1">
        <v>-0.45094860308584894</v>
      </c>
      <c r="E17" s="1">
        <v>-49.274220590419155</v>
      </c>
      <c r="F17" s="1">
        <v>0.963577861514193</v>
      </c>
      <c r="G17" s="1">
        <v>-23.060036797105472</v>
      </c>
      <c r="H17" s="1">
        <v>0.45094860308584894</v>
      </c>
    </row>
    <row r="19" spans="1:26">
      <c r="A19" s="1">
        <v>-49.274220590023887</v>
      </c>
      <c r="B19" s="1">
        <v>0.96357788172681613</v>
      </c>
      <c r="C19" s="1">
        <v>-47.844634543024561</v>
      </c>
      <c r="D19" s="1">
        <v>-11.822361969289727</v>
      </c>
      <c r="E19" s="1">
        <v>-43.154515713940803</v>
      </c>
      <c r="F19" s="1">
        <v>-23.802627388246943</v>
      </c>
      <c r="G19" s="1">
        <v>-35.523487950674458</v>
      </c>
      <c r="H19" s="1">
        <v>-34.160783083922034</v>
      </c>
      <c r="I19" s="1">
        <v>-25.471593227406807</v>
      </c>
      <c r="J19" s="1">
        <v>-42.190937836767873</v>
      </c>
      <c r="K19" s="1">
        <v>-13.683851482680442</v>
      </c>
      <c r="L19" s="1">
        <v>-47.345849930996394</v>
      </c>
      <c r="M19" s="1">
        <v>-0.96357787162050645</v>
      </c>
      <c r="N19" s="1">
        <v>-49.274220590221518</v>
      </c>
      <c r="O19" s="1">
        <v>11.822361979102824</v>
      </c>
      <c r="P19" s="1">
        <v>-47.844634540599749</v>
      </c>
      <c r="Q19" s="1">
        <v>23.802627397098082</v>
      </c>
      <c r="R19" s="1">
        <v>-43.154515709058799</v>
      </c>
      <c r="S19" s="1">
        <v>34.160783055684533</v>
      </c>
      <c r="T19" s="1">
        <v>-35.523487977828751</v>
      </c>
      <c r="U19" s="1">
        <v>42.190937841992181</v>
      </c>
      <c r="V19" s="1">
        <v>-25.471593218753302</v>
      </c>
      <c r="W19" s="1">
        <v>47.345849933803002</v>
      </c>
      <c r="X19" s="1">
        <v>-13.683851472969645</v>
      </c>
      <c r="Y19" s="1">
        <v>49.274220590419155</v>
      </c>
      <c r="Z19" s="1">
        <v>-0.963577861514193</v>
      </c>
    </row>
    <row r="20" spans="1:26">
      <c r="A20" s="1">
        <v>-23.060036796920489</v>
      </c>
      <c r="B20" s="1">
        <v>0.45094861254523416</v>
      </c>
      <c r="C20" s="1">
        <v>-22.390999185499744</v>
      </c>
      <c r="D20" s="1">
        <v>-5.5327937971185337</v>
      </c>
      <c r="E20" s="1">
        <v>-20.196051980134953</v>
      </c>
      <c r="F20" s="1">
        <v>-11.139485452307504</v>
      </c>
      <c r="G20" s="1">
        <v>-16.624777205778173</v>
      </c>
      <c r="H20" s="1">
        <v>-15.987039581633681</v>
      </c>
      <c r="I20" s="1">
        <v>-11.920551356607607</v>
      </c>
      <c r="J20" s="1">
        <v>-19.745103369720912</v>
      </c>
      <c r="K20" s="1">
        <v>-6.4039596149003852</v>
      </c>
      <c r="L20" s="1">
        <v>-22.157571008059715</v>
      </c>
      <c r="M20" s="1">
        <v>-0.45094860781554241</v>
      </c>
      <c r="N20" s="1">
        <v>-23.06003679701298</v>
      </c>
      <c r="O20" s="1">
        <v>5.5327938017110041</v>
      </c>
      <c r="P20" s="1">
        <v>-22.390999184364947</v>
      </c>
      <c r="Q20" s="1">
        <v>11.139485456449783</v>
      </c>
      <c r="R20" s="1">
        <v>-20.196051977850207</v>
      </c>
      <c r="S20" s="1">
        <v>15.987039568418702</v>
      </c>
      <c r="T20" s="1">
        <v>-16.624777218486216</v>
      </c>
      <c r="U20" s="1">
        <v>19.745103372165858</v>
      </c>
      <c r="V20" s="1">
        <v>-11.920551352557819</v>
      </c>
      <c r="W20" s="1">
        <v>22.157571009373189</v>
      </c>
      <c r="X20" s="1">
        <v>-6.4039596103557912</v>
      </c>
      <c r="Y20" s="1">
        <v>23.060036797105472</v>
      </c>
      <c r="Z20" s="1">
        <v>-0.45094860308584894</v>
      </c>
    </row>
    <row r="21" spans="1:26">
      <c r="A21" s="1">
        <v>49.274220590023887</v>
      </c>
      <c r="B21" s="1">
        <v>-0.96357788172681613</v>
      </c>
      <c r="C21" s="1">
        <v>47.844634543024561</v>
      </c>
      <c r="D21" s="1">
        <v>11.822361969289727</v>
      </c>
      <c r="E21" s="1">
        <v>43.154515713940803</v>
      </c>
      <c r="F21" s="1">
        <v>23.802627388246943</v>
      </c>
      <c r="G21" s="1">
        <v>35.523487950674458</v>
      </c>
      <c r="H21" s="1">
        <v>34.160783083922034</v>
      </c>
      <c r="I21" s="1">
        <v>25.471593227406807</v>
      </c>
      <c r="J21" s="1">
        <v>42.190937836767873</v>
      </c>
      <c r="K21" s="1">
        <v>13.683851482680442</v>
      </c>
      <c r="L21" s="1">
        <v>47.345849930996394</v>
      </c>
      <c r="M21" s="1">
        <v>0.96357787162050645</v>
      </c>
      <c r="N21" s="1">
        <v>49.274220590221518</v>
      </c>
      <c r="O21" s="1">
        <v>-11.822361979102824</v>
      </c>
      <c r="P21" s="1">
        <v>47.844634540599749</v>
      </c>
      <c r="Q21" s="1">
        <v>-23.802627397098082</v>
      </c>
      <c r="R21" s="1">
        <v>43.154515709058799</v>
      </c>
      <c r="S21" s="1">
        <v>-34.160783055684533</v>
      </c>
      <c r="T21" s="1">
        <v>35.523487977828751</v>
      </c>
      <c r="U21" s="1">
        <v>-42.190937841992181</v>
      </c>
      <c r="V21" s="1">
        <v>25.471593218753302</v>
      </c>
      <c r="W21" s="1">
        <v>-47.345849933803002</v>
      </c>
      <c r="X21" s="1">
        <v>13.683851472969645</v>
      </c>
      <c r="Y21" s="1">
        <v>-49.274220590419155</v>
      </c>
      <c r="Z21" s="1">
        <v>0.963577861514193</v>
      </c>
    </row>
    <row r="22" spans="1:26">
      <c r="A22" s="1">
        <v>23.060036796920489</v>
      </c>
      <c r="B22" s="1">
        <v>-0.45094861254523416</v>
      </c>
      <c r="C22" s="1">
        <v>22.390999185499744</v>
      </c>
      <c r="D22" s="1">
        <v>5.5327937971185337</v>
      </c>
      <c r="E22" s="1">
        <v>20.196051980134953</v>
      </c>
      <c r="F22" s="1">
        <v>11.139485452307504</v>
      </c>
      <c r="G22" s="1">
        <v>16.624777205778173</v>
      </c>
      <c r="H22" s="1">
        <v>15.987039581633681</v>
      </c>
      <c r="I22" s="1">
        <v>11.920551356607607</v>
      </c>
      <c r="J22" s="1">
        <v>19.745103369720912</v>
      </c>
      <c r="K22" s="1">
        <v>6.4039596149003852</v>
      </c>
      <c r="L22" s="1">
        <v>22.157571008059715</v>
      </c>
      <c r="M22" s="1">
        <v>0.45094860781554241</v>
      </c>
      <c r="N22" s="1">
        <v>23.06003679701298</v>
      </c>
      <c r="O22" s="1">
        <v>-5.5327938017110041</v>
      </c>
      <c r="P22" s="1">
        <v>22.390999184364947</v>
      </c>
      <c r="Q22" s="1">
        <v>-11.139485456449783</v>
      </c>
      <c r="R22" s="1">
        <v>20.196051977850207</v>
      </c>
      <c r="S22" s="1">
        <v>-15.987039568418702</v>
      </c>
      <c r="T22" s="1">
        <v>16.624777218486216</v>
      </c>
      <c r="U22" s="1">
        <v>-19.745103372165858</v>
      </c>
      <c r="V22" s="1">
        <v>11.920551352557819</v>
      </c>
      <c r="W22" s="1">
        <v>-22.157571009373189</v>
      </c>
      <c r="X22" s="1">
        <v>6.4039596103557912</v>
      </c>
      <c r="Y22" s="1">
        <v>-23.060036797105472</v>
      </c>
      <c r="Z22" s="1">
        <v>0.45094860308584894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6B84-38A6-4D8A-9526-A26937F053BE}">
  <sheetPr codeName="Sheet18"/>
  <dimension ref="A1:Z30"/>
  <sheetViews>
    <sheetView workbookViewId="0">
      <selection activeCell="G1" sqref="G1"/>
    </sheetView>
  </sheetViews>
  <sheetFormatPr defaultRowHeight="15"/>
  <cols>
    <col min="1" max="1" width="10.5703125" customWidth="1"/>
    <col min="2" max="2" width="10" customWidth="1"/>
    <col min="6" max="6" width="10.28515625" customWidth="1"/>
    <col min="10" max="10" width="9.85546875" customWidth="1"/>
    <col min="12" max="12" width="10.5703125" customWidth="1"/>
    <col min="14" max="14" width="10.42578125" customWidth="1"/>
    <col min="16" max="16" width="11.140625" customWidth="1"/>
    <col min="18" max="18" width="9.85546875" customWidth="1"/>
    <col min="20" max="20" width="10.7109375" customWidth="1"/>
    <col min="22" max="22" width="10.85546875" customWidth="1"/>
  </cols>
  <sheetData>
    <row r="1" spans="1:22" ht="27.75" customHeight="1">
      <c r="A1" s="135" t="s">
        <v>393</v>
      </c>
      <c r="B1" s="135" t="s">
        <v>394</v>
      </c>
      <c r="C1" s="135" t="s">
        <v>389</v>
      </c>
      <c r="D1" s="135" t="s">
        <v>395</v>
      </c>
      <c r="E1" s="135" t="s">
        <v>396</v>
      </c>
      <c r="G1" s="179" t="s">
        <v>494</v>
      </c>
      <c r="H1" s="178"/>
      <c r="K1" s="174" t="s">
        <v>407</v>
      </c>
      <c r="L1" s="174" t="s">
        <v>408</v>
      </c>
      <c r="M1" s="174" t="s">
        <v>405</v>
      </c>
      <c r="N1" s="174" t="s">
        <v>478</v>
      </c>
      <c r="O1" s="171" t="s">
        <v>479</v>
      </c>
      <c r="P1" s="171" t="s">
        <v>480</v>
      </c>
      <c r="Q1" s="174" t="s">
        <v>481</v>
      </c>
      <c r="R1" s="174" t="s">
        <v>482</v>
      </c>
    </row>
    <row r="2" spans="1:22">
      <c r="A2" s="124" t="str">
        <f>Enter!B2</f>
        <v>Tehran</v>
      </c>
      <c r="B2" s="124">
        <v>51.3797</v>
      </c>
      <c r="C2" s="124">
        <v>35.7029</v>
      </c>
      <c r="D2" s="124">
        <v>1210</v>
      </c>
      <c r="E2" s="124">
        <v>3.5</v>
      </c>
      <c r="K2">
        <v>0</v>
      </c>
      <c r="L2">
        <v>0</v>
      </c>
      <c r="M2">
        <v>10</v>
      </c>
      <c r="N2">
        <v>10</v>
      </c>
      <c r="O2">
        <v>90</v>
      </c>
      <c r="P2">
        <v>0</v>
      </c>
      <c r="Q2">
        <v>0</v>
      </c>
      <c r="R2">
        <v>0</v>
      </c>
    </row>
    <row r="5" spans="1:22">
      <c r="B5" s="117">
        <v>44733</v>
      </c>
      <c r="D5" s="117">
        <v>44655</v>
      </c>
      <c r="F5" s="117">
        <v>44671</v>
      </c>
      <c r="H5" s="117">
        <v>44686</v>
      </c>
      <c r="J5" s="117">
        <v>44702</v>
      </c>
      <c r="L5" s="117">
        <v>44827</v>
      </c>
      <c r="N5" s="117">
        <v>44841</v>
      </c>
      <c r="P5" s="117">
        <v>44857</v>
      </c>
      <c r="R5" s="117">
        <v>44872</v>
      </c>
      <c r="T5" s="117">
        <v>44887</v>
      </c>
      <c r="V5" s="117">
        <v>44916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  <c r="K6">
        <v>99999</v>
      </c>
      <c r="L6">
        <v>99999</v>
      </c>
      <c r="M6">
        <v>99999</v>
      </c>
      <c r="N6">
        <v>99999</v>
      </c>
      <c r="O6">
        <v>99999</v>
      </c>
      <c r="P6">
        <v>99999</v>
      </c>
      <c r="Q6">
        <v>99999</v>
      </c>
      <c r="R6">
        <v>99999</v>
      </c>
      <c r="S6">
        <v>99999</v>
      </c>
      <c r="T6">
        <v>99999</v>
      </c>
      <c r="U6">
        <v>99999</v>
      </c>
      <c r="V6">
        <v>99999</v>
      </c>
    </row>
    <row r="7" spans="1:22">
      <c r="A7">
        <v>-40.469607230186178</v>
      </c>
      <c r="B7">
        <v>-18.071702375931391</v>
      </c>
      <c r="C7">
        <v>-40.469607230186178</v>
      </c>
      <c r="D7">
        <v>-4.1882333682271131</v>
      </c>
      <c r="E7">
        <v>-40.469607230186178</v>
      </c>
      <c r="F7">
        <v>-8.5253510020094776</v>
      </c>
      <c r="G7">
        <v>-40.469607230186178</v>
      </c>
      <c r="H7">
        <v>-12.179765307023183</v>
      </c>
      <c r="I7">
        <v>-40.469607230186178</v>
      </c>
      <c r="J7">
        <v>-15.344714883378145</v>
      </c>
      <c r="K7">
        <v>-40.469607230186178</v>
      </c>
      <c r="L7">
        <v>8.7957835981724977E-2</v>
      </c>
      <c r="M7">
        <v>-40.469607230186178</v>
      </c>
      <c r="N7">
        <v>4.0465018946513727</v>
      </c>
      <c r="O7">
        <v>-40.469607230186178</v>
      </c>
      <c r="P7">
        <v>8.4360906962682023</v>
      </c>
      <c r="Q7">
        <v>-40.469607230186178</v>
      </c>
      <c r="R7">
        <v>12.196054179295206</v>
      </c>
      <c r="S7">
        <v>-40.469607230186178</v>
      </c>
      <c r="T7">
        <v>15.298299361132798</v>
      </c>
      <c r="U7">
        <v>-40.469607230186178</v>
      </c>
      <c r="V7">
        <v>18.073297175610278</v>
      </c>
    </row>
    <row r="8" spans="1:22">
      <c r="A8">
        <v>-18.130147991666362</v>
      </c>
      <c r="B8">
        <v>-8.9759085585244431</v>
      </c>
      <c r="C8">
        <v>-18.130147991666362</v>
      </c>
      <c r="D8">
        <v>-2.0802245938398984</v>
      </c>
      <c r="E8">
        <v>-18.130147991666362</v>
      </c>
      <c r="F8">
        <v>-4.2343974812952805</v>
      </c>
      <c r="G8">
        <v>-18.130147991666362</v>
      </c>
      <c r="H8">
        <v>-6.0494831856976106</v>
      </c>
      <c r="I8">
        <v>-18.130147991666362</v>
      </c>
      <c r="J8">
        <v>-7.6214600475752228</v>
      </c>
      <c r="K8">
        <v>-18.130147991666362</v>
      </c>
      <c r="L8">
        <v>4.3687167725224602E-2</v>
      </c>
      <c r="M8">
        <v>-18.130147991666362</v>
      </c>
      <c r="N8">
        <v>2.0098289708810402</v>
      </c>
      <c r="O8">
        <v>-18.130147991666362</v>
      </c>
      <c r="P8">
        <v>4.1900633988954574</v>
      </c>
      <c r="Q8">
        <v>-18.130147991666362</v>
      </c>
      <c r="R8">
        <v>6.0575735927325276</v>
      </c>
      <c r="S8">
        <v>-18.130147991666362</v>
      </c>
      <c r="T8">
        <v>7.5984062436388946</v>
      </c>
      <c r="U8">
        <v>-18.130147991666362</v>
      </c>
      <c r="V8">
        <v>8.9767006685199</v>
      </c>
    </row>
    <row r="9" spans="1:22">
      <c r="A9">
        <v>-10.398909141925902</v>
      </c>
      <c r="B9">
        <v>-6.2542537846589861</v>
      </c>
      <c r="C9">
        <v>-10.398909141925902</v>
      </c>
      <c r="D9">
        <v>-1.4494635784371954</v>
      </c>
      <c r="E9">
        <v>-10.398909141925902</v>
      </c>
      <c r="F9">
        <v>-2.9504530154766915</v>
      </c>
      <c r="G9">
        <v>-10.398909141925902</v>
      </c>
      <c r="H9">
        <v>-4.2151725212762088</v>
      </c>
      <c r="I9">
        <v>-10.398909141925902</v>
      </c>
      <c r="J9">
        <v>-5.3104981001511593</v>
      </c>
      <c r="K9">
        <v>-10.398909141925902</v>
      </c>
      <c r="L9">
        <v>3.0440443137873772E-2</v>
      </c>
      <c r="M9">
        <v>-10.398909141925902</v>
      </c>
      <c r="N9">
        <v>1.4004131576978107</v>
      </c>
      <c r="O9">
        <v>-10.398909141925902</v>
      </c>
      <c r="P9">
        <v>2.9195618136746018</v>
      </c>
      <c r="Q9">
        <v>-10.398909141925902</v>
      </c>
      <c r="R9">
        <v>4.2208097733145555</v>
      </c>
      <c r="S9">
        <v>-10.398909141925902</v>
      </c>
      <c r="T9">
        <v>5.2944346187131011</v>
      </c>
      <c r="U9">
        <v>-10.398909141925902</v>
      </c>
      <c r="V9">
        <v>6.2548057128459371</v>
      </c>
    </row>
    <row r="10" spans="1:22">
      <c r="A10">
        <v>-6.0372190174946141</v>
      </c>
      <c r="B10">
        <v>-5.0638885467804338</v>
      </c>
      <c r="C10">
        <v>-6.0372190174946141</v>
      </c>
      <c r="D10">
        <v>-1.1735887711860267</v>
      </c>
      <c r="E10">
        <v>-6.0372190174946141</v>
      </c>
      <c r="F10">
        <v>-2.3888965410284926</v>
      </c>
      <c r="G10">
        <v>-6.0372190174946141</v>
      </c>
      <c r="H10">
        <v>-3.4129033755476303</v>
      </c>
      <c r="I10">
        <v>-6.0372190174946141</v>
      </c>
      <c r="J10">
        <v>-4.2997568427775246</v>
      </c>
      <c r="K10">
        <v>-6.0372190174946141</v>
      </c>
      <c r="L10">
        <v>2.4646747105610923E-2</v>
      </c>
      <c r="M10">
        <v>-6.0372190174946141</v>
      </c>
      <c r="N10">
        <v>1.1338740630291246</v>
      </c>
      <c r="O10">
        <v>-6.0372190174946141</v>
      </c>
      <c r="P10">
        <v>2.3638848276590112</v>
      </c>
      <c r="Q10">
        <v>-6.0372190174946141</v>
      </c>
      <c r="R10">
        <v>3.417467695611252</v>
      </c>
      <c r="S10">
        <v>-6.0372190174946141</v>
      </c>
      <c r="T10">
        <v>4.2867507060781902</v>
      </c>
      <c r="U10">
        <v>-6.0372190174946141</v>
      </c>
      <c r="V10">
        <v>5.0643354270831491</v>
      </c>
    </row>
    <row r="11" spans="1:22">
      <c r="A11">
        <v>-2.8901902706623277</v>
      </c>
      <c r="B11">
        <v>-4.5125434901034795</v>
      </c>
      <c r="C11">
        <v>-2.8901902706623277</v>
      </c>
      <c r="D11">
        <v>-1.045811004833648</v>
      </c>
      <c r="E11">
        <v>-2.8901902706623277</v>
      </c>
      <c r="F11">
        <v>-2.1287987354308289</v>
      </c>
      <c r="G11">
        <v>-2.8901902706623277</v>
      </c>
      <c r="H11">
        <v>-3.0413139561437155</v>
      </c>
      <c r="I11">
        <v>-2.8901902706623277</v>
      </c>
      <c r="J11">
        <v>-3.8316087667924146</v>
      </c>
      <c r="K11">
        <v>-2.8901902706623277</v>
      </c>
      <c r="L11">
        <v>2.1963263443932537E-2</v>
      </c>
      <c r="M11">
        <v>-2.8901902706623277</v>
      </c>
      <c r="N11">
        <v>1.0104203468246502</v>
      </c>
      <c r="O11">
        <v>-2.8901902706623277</v>
      </c>
      <c r="P11">
        <v>2.1065102424477939</v>
      </c>
      <c r="Q11">
        <v>-2.8901902706623277</v>
      </c>
      <c r="R11">
        <v>3.0453813230692655</v>
      </c>
      <c r="S11">
        <v>-2.8901902706623277</v>
      </c>
      <c r="T11">
        <v>3.8200187096748874</v>
      </c>
      <c r="U11">
        <v>-2.8901902706623277</v>
      </c>
      <c r="V11">
        <v>4.5129417150608901</v>
      </c>
    </row>
    <row r="12" spans="1:22">
      <c r="A12">
        <v>-0.19555415795084716</v>
      </c>
      <c r="B12">
        <v>-4.3359428993572555</v>
      </c>
      <c r="C12">
        <v>-0.19555415795084716</v>
      </c>
      <c r="D12">
        <v>-1.0048826810030693</v>
      </c>
      <c r="E12">
        <v>-0.19555415795084716</v>
      </c>
      <c r="F12">
        <v>-2.0454871584717602</v>
      </c>
      <c r="G12">
        <v>-0.19555415795084716</v>
      </c>
      <c r="H12">
        <v>-2.9222906508885678</v>
      </c>
      <c r="I12">
        <v>-0.19555415795084716</v>
      </c>
      <c r="J12">
        <v>-3.6816568886093117</v>
      </c>
      <c r="K12">
        <v>-0.19555415795084716</v>
      </c>
      <c r="L12">
        <v>2.1103720415168399E-2</v>
      </c>
      <c r="M12">
        <v>-0.19555415795084716</v>
      </c>
      <c r="N12">
        <v>0.97087705365914845</v>
      </c>
      <c r="O12">
        <v>-0.19555415795084716</v>
      </c>
      <c r="P12">
        <v>2.0240709365341525</v>
      </c>
      <c r="Q12">
        <v>-0.19555415795084716</v>
      </c>
      <c r="R12">
        <v>2.9261988394253864</v>
      </c>
      <c r="S12">
        <v>-0.19555415795084716</v>
      </c>
      <c r="T12">
        <v>3.6705204140308174</v>
      </c>
      <c r="U12">
        <v>-0.19555415795084716</v>
      </c>
      <c r="V12">
        <v>4.3363255395867002</v>
      </c>
    </row>
    <row r="13" spans="1:22">
      <c r="A13">
        <v>2.4709901314160243</v>
      </c>
      <c r="B13">
        <v>-4.4654998191748305</v>
      </c>
      <c r="C13">
        <v>2.4709901314160243</v>
      </c>
      <c r="D13">
        <v>-1.0349083312366285</v>
      </c>
      <c r="E13">
        <v>2.4709901314160243</v>
      </c>
      <c r="F13">
        <v>-2.106605817533735</v>
      </c>
      <c r="G13">
        <v>2.4709901314160243</v>
      </c>
      <c r="H13">
        <v>-3.0096079851636439</v>
      </c>
      <c r="I13">
        <v>2.4709901314160243</v>
      </c>
      <c r="J13">
        <v>-3.7916639014747457</v>
      </c>
      <c r="K13">
        <v>2.4709901314160243</v>
      </c>
      <c r="L13">
        <v>2.1734294451114723E-2</v>
      </c>
      <c r="M13">
        <v>2.4709901314160243</v>
      </c>
      <c r="N13">
        <v>0.9998866240140275</v>
      </c>
      <c r="O13">
        <v>2.4709901314160243</v>
      </c>
      <c r="P13">
        <v>2.0845496840906557</v>
      </c>
      <c r="Q13">
        <v>2.4709901314160243</v>
      </c>
      <c r="R13">
        <v>3.0136329494239096</v>
      </c>
      <c r="S13">
        <v>2.4709901314160243</v>
      </c>
      <c r="T13">
        <v>3.7801946717429882</v>
      </c>
      <c r="U13">
        <v>2.4709901314160243</v>
      </c>
      <c r="V13">
        <v>4.4658938926013159</v>
      </c>
    </row>
    <row r="14" spans="1:22">
      <c r="A14">
        <v>5.5156747807278812</v>
      </c>
      <c r="B14">
        <v>-4.9508192451962936</v>
      </c>
      <c r="C14">
        <v>5.5156747807278812</v>
      </c>
      <c r="D14">
        <v>-1.1473842326226018</v>
      </c>
      <c r="E14">
        <v>5.5156747807278812</v>
      </c>
      <c r="F14">
        <v>-2.3355559390473148</v>
      </c>
      <c r="G14">
        <v>5.5156747807278812</v>
      </c>
      <c r="H14">
        <v>-3.3366981831381977</v>
      </c>
      <c r="I14">
        <v>5.5156747807278812</v>
      </c>
      <c r="J14">
        <v>-4.2037494961103894</v>
      </c>
      <c r="K14">
        <v>5.5156747807278812</v>
      </c>
      <c r="L14">
        <v>2.4096420917384651E-2</v>
      </c>
      <c r="M14">
        <v>5.5156747807278812</v>
      </c>
      <c r="N14">
        <v>1.1085562964142597</v>
      </c>
      <c r="O14">
        <v>5.5156747807278812</v>
      </c>
      <c r="P14">
        <v>2.311102701034466</v>
      </c>
      <c r="Q14">
        <v>5.5156747807278812</v>
      </c>
      <c r="R14">
        <v>3.3411605885413698</v>
      </c>
      <c r="S14">
        <v>5.5156747807278812</v>
      </c>
      <c r="T14">
        <v>4.1910337676179736</v>
      </c>
      <c r="U14">
        <v>5.5156747807278812</v>
      </c>
      <c r="V14">
        <v>4.9512561473086807</v>
      </c>
    </row>
    <row r="15" spans="1:22">
      <c r="A15">
        <v>9.6163932654938851</v>
      </c>
      <c r="B15">
        <v>-6.0143364025199171</v>
      </c>
      <c r="C15">
        <v>9.6163932654938851</v>
      </c>
      <c r="D15">
        <v>-1.3938611805783849</v>
      </c>
      <c r="E15">
        <v>9.6163932654938851</v>
      </c>
      <c r="F15">
        <v>-2.8372716531639233</v>
      </c>
      <c r="G15">
        <v>9.6163932654938851</v>
      </c>
      <c r="H15">
        <v>-4.0534756680001678</v>
      </c>
      <c r="I15">
        <v>9.6163932654938851</v>
      </c>
      <c r="J15">
        <v>-5.1067838208924652</v>
      </c>
      <c r="K15">
        <v>9.6163932654938851</v>
      </c>
      <c r="L15">
        <v>2.9272727263166893E-2</v>
      </c>
      <c r="M15">
        <v>9.6163932654938851</v>
      </c>
      <c r="N15">
        <v>1.346692366972609</v>
      </c>
      <c r="O15">
        <v>9.6163932654938851</v>
      </c>
      <c r="P15">
        <v>2.8075654586421055</v>
      </c>
      <c r="Q15">
        <v>9.6163932654938851</v>
      </c>
      <c r="R15">
        <v>4.0588966712583945</v>
      </c>
      <c r="S15">
        <v>9.6163932654938851</v>
      </c>
      <c r="T15">
        <v>5.0913365454075628</v>
      </c>
      <c r="U15">
        <v>9.6163932654938851</v>
      </c>
      <c r="V15">
        <v>6.0148671583703592</v>
      </c>
    </row>
    <row r="16" spans="1:22">
      <c r="A16">
        <v>16.563917882815971</v>
      </c>
      <c r="B16">
        <v>-8.3877834046217199</v>
      </c>
      <c r="C16">
        <v>16.563917882815971</v>
      </c>
      <c r="D16">
        <v>-1.9439228031713176</v>
      </c>
      <c r="E16">
        <v>16.563917882815971</v>
      </c>
      <c r="F16">
        <v>-3.9569486131239358</v>
      </c>
      <c r="G16">
        <v>16.563917882815971</v>
      </c>
      <c r="H16">
        <v>-5.6531051247556405</v>
      </c>
      <c r="I16">
        <v>16.563917882815971</v>
      </c>
      <c r="J16">
        <v>-7.1220819251024032</v>
      </c>
      <c r="K16">
        <v>16.563917882815971</v>
      </c>
      <c r="L16">
        <v>4.0824669508532023E-2</v>
      </c>
      <c r="M16">
        <v>16.563917882815971</v>
      </c>
      <c r="N16">
        <v>1.8781396867143707</v>
      </c>
      <c r="O16">
        <v>16.563917882815971</v>
      </c>
      <c r="P16">
        <v>3.9155194164930038</v>
      </c>
      <c r="Q16">
        <v>16.563917882815971</v>
      </c>
      <c r="R16">
        <v>5.6606654270271761</v>
      </c>
      <c r="S16">
        <v>16.563917882815971</v>
      </c>
      <c r="T16">
        <v>7.100538667079026</v>
      </c>
      <c r="U16">
        <v>16.563917882815971</v>
      </c>
      <c r="V16">
        <v>8.3885236134853898</v>
      </c>
    </row>
    <row r="17" spans="1:26">
      <c r="A17">
        <v>34.599798183521273</v>
      </c>
      <c r="B17">
        <v>-15.613309404268774</v>
      </c>
      <c r="C17">
        <v>34.599798183521273</v>
      </c>
      <c r="D17">
        <v>-3.6184849703204818</v>
      </c>
      <c r="E17">
        <v>34.599798183521273</v>
      </c>
      <c r="F17">
        <v>-7.3656006614875738</v>
      </c>
      <c r="G17">
        <v>34.599798183521273</v>
      </c>
      <c r="H17">
        <v>-10.522884908906137</v>
      </c>
      <c r="I17">
        <v>34.599798183521273</v>
      </c>
      <c r="J17">
        <v>-13.257289004136961</v>
      </c>
      <c r="K17">
        <v>34.599798183521273</v>
      </c>
      <c r="L17">
        <v>7.599244825665287E-2</v>
      </c>
      <c r="M17">
        <v>34.599798183521273</v>
      </c>
      <c r="N17">
        <v>3.4960340078584058</v>
      </c>
      <c r="O17">
        <v>34.599798183521273</v>
      </c>
      <c r="P17">
        <v>7.2884829255893608</v>
      </c>
      <c r="Q17">
        <v>34.599798183521273</v>
      </c>
      <c r="R17">
        <v>10.536957916381539</v>
      </c>
      <c r="S17">
        <v>34.599798183521273</v>
      </c>
      <c r="T17">
        <v>13.217187640419146</v>
      </c>
      <c r="U17">
        <v>34.599798183521273</v>
      </c>
      <c r="V17">
        <v>15.614687254584497</v>
      </c>
    </row>
    <row r="18" spans="1:26">
      <c r="A18">
        <v>511.36729639043671</v>
      </c>
      <c r="B18">
        <v>-221.72593977387379</v>
      </c>
      <c r="C18">
        <v>511.36729639043671</v>
      </c>
      <c r="D18">
        <v>-51.386413977205223</v>
      </c>
      <c r="E18">
        <v>511.36729639043671</v>
      </c>
      <c r="F18">
        <v>-104.59952380248656</v>
      </c>
      <c r="G18">
        <v>511.36729639043671</v>
      </c>
      <c r="H18">
        <v>-149.43638694059428</v>
      </c>
      <c r="I18">
        <v>511.36729639043671</v>
      </c>
      <c r="J18">
        <v>-188.26789293578196</v>
      </c>
      <c r="K18">
        <v>511.36729639043671</v>
      </c>
      <c r="L18">
        <v>1.0791752452441046</v>
      </c>
      <c r="M18">
        <v>511.36729639043671</v>
      </c>
      <c r="N18">
        <v>49.647477405520043</v>
      </c>
      <c r="O18">
        <v>511.36729639043671</v>
      </c>
      <c r="P18">
        <v>103.50436825137773</v>
      </c>
      <c r="Q18">
        <v>511.36729639043671</v>
      </c>
      <c r="R18">
        <v>149.63623892117917</v>
      </c>
      <c r="S18">
        <v>511.36729639043671</v>
      </c>
      <c r="T18">
        <v>187.69841004613173</v>
      </c>
      <c r="U18">
        <v>511.36729639043671</v>
      </c>
      <c r="V18">
        <v>221.74550674383585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99999</v>
      </c>
      <c r="B20">
        <v>99999</v>
      </c>
      <c r="C20">
        <v>-40.469607230186178</v>
      </c>
      <c r="D20">
        <v>-18.071702375931391</v>
      </c>
      <c r="E20">
        <v>-18.130147991666362</v>
      </c>
      <c r="F20">
        <v>-8.9759085585244431</v>
      </c>
      <c r="G20">
        <v>-10.398909141925902</v>
      </c>
      <c r="H20">
        <v>-6.2542537846589861</v>
      </c>
      <c r="I20">
        <v>-6.0372190174946141</v>
      </c>
      <c r="J20">
        <v>-5.0638885467804338</v>
      </c>
      <c r="K20">
        <v>-2.8901902706623277</v>
      </c>
      <c r="L20">
        <v>-4.5125434901034795</v>
      </c>
      <c r="M20">
        <v>-0.19555415795084716</v>
      </c>
      <c r="N20">
        <v>-4.3359428993572555</v>
      </c>
      <c r="O20">
        <v>2.4709901314160243</v>
      </c>
      <c r="P20">
        <v>-4.4654998191748305</v>
      </c>
      <c r="Q20">
        <v>5.5156747807278812</v>
      </c>
      <c r="R20">
        <v>-4.9508192451962936</v>
      </c>
      <c r="S20">
        <v>9.6163932654938851</v>
      </c>
      <c r="T20">
        <v>-6.0143364025199171</v>
      </c>
      <c r="U20">
        <v>16.563917882815971</v>
      </c>
      <c r="V20">
        <v>-8.3877834046217199</v>
      </c>
      <c r="W20">
        <v>34.599798183521273</v>
      </c>
      <c r="X20">
        <v>-15.613309404268774</v>
      </c>
      <c r="Y20">
        <v>511.36729639043671</v>
      </c>
      <c r="Z20">
        <v>-221.72593977387379</v>
      </c>
    </row>
    <row r="21" spans="1:26">
      <c r="A21">
        <v>99999</v>
      </c>
      <c r="B21">
        <v>99999</v>
      </c>
      <c r="C21">
        <v>-40.469607230186178</v>
      </c>
      <c r="D21">
        <v>-4.1882333682271131</v>
      </c>
      <c r="E21">
        <v>-18.130147991666362</v>
      </c>
      <c r="F21">
        <v>-2.0802245938398984</v>
      </c>
      <c r="G21">
        <v>-10.398909141925902</v>
      </c>
      <c r="H21">
        <v>-1.4494635784371954</v>
      </c>
      <c r="I21">
        <v>-6.0372190174946141</v>
      </c>
      <c r="J21">
        <v>-1.1735887711860267</v>
      </c>
      <c r="K21">
        <v>-2.8901902706623277</v>
      </c>
      <c r="L21">
        <v>-1.045811004833648</v>
      </c>
      <c r="M21">
        <v>-0.19555415795084716</v>
      </c>
      <c r="N21">
        <v>-1.0048826810030693</v>
      </c>
      <c r="O21">
        <v>2.4709901314160243</v>
      </c>
      <c r="P21">
        <v>-1.0349083312366285</v>
      </c>
      <c r="Q21">
        <v>5.5156747807278812</v>
      </c>
      <c r="R21">
        <v>-1.1473842326226018</v>
      </c>
      <c r="S21">
        <v>9.6163932654938851</v>
      </c>
      <c r="T21">
        <v>-1.3938611805783849</v>
      </c>
      <c r="U21">
        <v>16.563917882815971</v>
      </c>
      <c r="V21">
        <v>-1.9439228031713176</v>
      </c>
      <c r="W21">
        <v>34.599798183521273</v>
      </c>
      <c r="X21">
        <v>-3.6184849703204818</v>
      </c>
      <c r="Y21">
        <v>511.36729639043671</v>
      </c>
      <c r="Z21">
        <v>-51.386413977205223</v>
      </c>
    </row>
    <row r="22" spans="1:26">
      <c r="A22">
        <v>99999</v>
      </c>
      <c r="B22">
        <v>99999</v>
      </c>
      <c r="C22">
        <v>-40.469607230186178</v>
      </c>
      <c r="D22">
        <v>-8.5253510020094776</v>
      </c>
      <c r="E22">
        <v>-18.130147991666362</v>
      </c>
      <c r="F22">
        <v>-4.2343974812952805</v>
      </c>
      <c r="G22">
        <v>-10.398909141925902</v>
      </c>
      <c r="H22">
        <v>-2.9504530154766915</v>
      </c>
      <c r="I22">
        <v>-6.0372190174946141</v>
      </c>
      <c r="J22">
        <v>-2.3888965410284926</v>
      </c>
      <c r="K22">
        <v>-2.8901902706623277</v>
      </c>
      <c r="L22">
        <v>-2.1287987354308289</v>
      </c>
      <c r="M22">
        <v>-0.19555415795084716</v>
      </c>
      <c r="N22">
        <v>-2.0454871584717602</v>
      </c>
      <c r="O22">
        <v>2.4709901314160243</v>
      </c>
      <c r="P22">
        <v>-2.106605817533735</v>
      </c>
      <c r="Q22">
        <v>5.5156747807278812</v>
      </c>
      <c r="R22">
        <v>-2.3355559390473148</v>
      </c>
      <c r="S22">
        <v>9.6163932654938851</v>
      </c>
      <c r="T22">
        <v>-2.8372716531639233</v>
      </c>
      <c r="U22">
        <v>16.563917882815971</v>
      </c>
      <c r="V22">
        <v>-3.9569486131239358</v>
      </c>
      <c r="W22">
        <v>34.599798183521273</v>
      </c>
      <c r="X22">
        <v>-7.3656006614875738</v>
      </c>
      <c r="Y22">
        <v>511.36729639043671</v>
      </c>
      <c r="Z22">
        <v>-104.59952380248656</v>
      </c>
    </row>
    <row r="23" spans="1:26">
      <c r="A23">
        <v>99999</v>
      </c>
      <c r="B23">
        <v>99999</v>
      </c>
      <c r="C23">
        <v>-40.469607230186178</v>
      </c>
      <c r="D23">
        <v>-12.179765307023183</v>
      </c>
      <c r="E23">
        <v>-18.130147991666362</v>
      </c>
      <c r="F23">
        <v>-6.0494831856976106</v>
      </c>
      <c r="G23">
        <v>-10.398909141925902</v>
      </c>
      <c r="H23">
        <v>-4.2151725212762088</v>
      </c>
      <c r="I23">
        <v>-6.0372190174946141</v>
      </c>
      <c r="J23">
        <v>-3.4129033755476303</v>
      </c>
      <c r="K23">
        <v>-2.8901902706623277</v>
      </c>
      <c r="L23">
        <v>-3.0413139561437155</v>
      </c>
      <c r="M23">
        <v>-0.19555415795084716</v>
      </c>
      <c r="N23">
        <v>-2.9222906508885678</v>
      </c>
      <c r="O23">
        <v>2.4709901314160243</v>
      </c>
      <c r="P23">
        <v>-3.0096079851636439</v>
      </c>
      <c r="Q23">
        <v>5.5156747807278812</v>
      </c>
      <c r="R23">
        <v>-3.3366981831381977</v>
      </c>
      <c r="S23">
        <v>9.6163932654938851</v>
      </c>
      <c r="T23">
        <v>-4.0534756680001678</v>
      </c>
      <c r="U23">
        <v>16.563917882815971</v>
      </c>
      <c r="V23">
        <v>-5.6531051247556405</v>
      </c>
      <c r="W23">
        <v>34.599798183521273</v>
      </c>
      <c r="X23">
        <v>-10.522884908906137</v>
      </c>
      <c r="Y23">
        <v>511.36729639043671</v>
      </c>
      <c r="Z23">
        <v>-149.43638694059428</v>
      </c>
    </row>
    <row r="24" spans="1:26">
      <c r="A24">
        <v>99999</v>
      </c>
      <c r="B24">
        <v>99999</v>
      </c>
      <c r="C24">
        <v>-40.469607230186178</v>
      </c>
      <c r="D24">
        <v>-15.344714883378145</v>
      </c>
      <c r="E24">
        <v>-18.130147991666362</v>
      </c>
      <c r="F24">
        <v>-7.6214600475752228</v>
      </c>
      <c r="G24">
        <v>-10.398909141925902</v>
      </c>
      <c r="H24">
        <v>-5.3104981001511593</v>
      </c>
      <c r="I24">
        <v>-6.0372190174946141</v>
      </c>
      <c r="J24">
        <v>-4.2997568427775246</v>
      </c>
      <c r="K24">
        <v>-2.8901902706623277</v>
      </c>
      <c r="L24">
        <v>-3.8316087667924146</v>
      </c>
      <c r="M24">
        <v>-0.19555415795084716</v>
      </c>
      <c r="N24">
        <v>-3.6816568886093117</v>
      </c>
      <c r="O24">
        <v>2.4709901314160243</v>
      </c>
      <c r="P24">
        <v>-3.7916639014747457</v>
      </c>
      <c r="Q24">
        <v>5.5156747807278812</v>
      </c>
      <c r="R24">
        <v>-4.2037494961103894</v>
      </c>
      <c r="S24">
        <v>9.6163932654938851</v>
      </c>
      <c r="T24">
        <v>-5.1067838208924652</v>
      </c>
      <c r="U24">
        <v>16.563917882815971</v>
      </c>
      <c r="V24">
        <v>-7.1220819251024032</v>
      </c>
      <c r="W24">
        <v>34.599798183521273</v>
      </c>
      <c r="X24">
        <v>-13.257289004136961</v>
      </c>
      <c r="Y24">
        <v>511.36729639043671</v>
      </c>
      <c r="Z24">
        <v>-188.26789293578196</v>
      </c>
    </row>
    <row r="25" spans="1:26">
      <c r="A25">
        <v>99999</v>
      </c>
      <c r="B25">
        <v>99999</v>
      </c>
      <c r="C25">
        <v>-40.469607230186178</v>
      </c>
      <c r="D25">
        <v>8.7957835981724977E-2</v>
      </c>
      <c r="E25">
        <v>-18.130147991666362</v>
      </c>
      <c r="F25">
        <v>4.3687167725224602E-2</v>
      </c>
      <c r="G25">
        <v>-10.398909141925902</v>
      </c>
      <c r="H25">
        <v>3.0440443137873772E-2</v>
      </c>
      <c r="I25">
        <v>-6.0372190174946141</v>
      </c>
      <c r="J25">
        <v>2.4646747105610923E-2</v>
      </c>
      <c r="K25">
        <v>-2.8901902706623277</v>
      </c>
      <c r="L25">
        <v>2.1963263443932537E-2</v>
      </c>
      <c r="M25">
        <v>-0.19555415795084716</v>
      </c>
      <c r="N25">
        <v>2.1103720415168399E-2</v>
      </c>
      <c r="O25">
        <v>2.4709901314160243</v>
      </c>
      <c r="P25">
        <v>2.1734294451114723E-2</v>
      </c>
      <c r="Q25">
        <v>5.5156747807278812</v>
      </c>
      <c r="R25">
        <v>2.4096420917384651E-2</v>
      </c>
      <c r="S25">
        <v>9.6163932654938851</v>
      </c>
      <c r="T25">
        <v>2.9272727263166893E-2</v>
      </c>
      <c r="U25">
        <v>16.563917882815971</v>
      </c>
      <c r="V25">
        <v>4.0824669508532023E-2</v>
      </c>
      <c r="W25">
        <v>34.599798183521273</v>
      </c>
      <c r="X25">
        <v>7.599244825665287E-2</v>
      </c>
      <c r="Y25">
        <v>511.36729639043671</v>
      </c>
      <c r="Z25">
        <v>1.0791752452441046</v>
      </c>
    </row>
    <row r="26" spans="1:26">
      <c r="A26">
        <v>99999</v>
      </c>
      <c r="B26">
        <v>99999</v>
      </c>
      <c r="C26">
        <v>-40.469607230186178</v>
      </c>
      <c r="D26">
        <v>4.0465018946513727</v>
      </c>
      <c r="E26">
        <v>-18.130147991666362</v>
      </c>
      <c r="F26">
        <v>2.0098289708810402</v>
      </c>
      <c r="G26">
        <v>-10.398909141925902</v>
      </c>
      <c r="H26">
        <v>1.4004131576978107</v>
      </c>
      <c r="I26">
        <v>-6.0372190174946141</v>
      </c>
      <c r="J26">
        <v>1.1338740630291246</v>
      </c>
      <c r="K26">
        <v>-2.8901902706623277</v>
      </c>
      <c r="L26">
        <v>1.0104203468246502</v>
      </c>
      <c r="M26">
        <v>-0.19555415795084716</v>
      </c>
      <c r="N26">
        <v>0.97087705365914845</v>
      </c>
      <c r="O26">
        <v>2.4709901314160243</v>
      </c>
      <c r="P26">
        <v>0.9998866240140275</v>
      </c>
      <c r="Q26">
        <v>5.5156747807278812</v>
      </c>
      <c r="R26">
        <v>1.1085562964142597</v>
      </c>
      <c r="S26">
        <v>9.6163932654938851</v>
      </c>
      <c r="T26">
        <v>1.346692366972609</v>
      </c>
      <c r="U26">
        <v>16.563917882815971</v>
      </c>
      <c r="V26">
        <v>1.8781396867143707</v>
      </c>
      <c r="W26">
        <v>34.599798183521273</v>
      </c>
      <c r="X26">
        <v>3.4960340078584058</v>
      </c>
      <c r="Y26">
        <v>511.36729639043671</v>
      </c>
      <c r="Z26">
        <v>49.647477405520043</v>
      </c>
    </row>
    <row r="27" spans="1:26">
      <c r="A27">
        <v>99999</v>
      </c>
      <c r="B27">
        <v>99999</v>
      </c>
      <c r="C27">
        <v>-40.469607230186178</v>
      </c>
      <c r="D27">
        <v>8.4360906962682023</v>
      </c>
      <c r="E27">
        <v>-18.130147991666362</v>
      </c>
      <c r="F27">
        <v>4.1900633988954574</v>
      </c>
      <c r="G27">
        <v>-10.398909141925902</v>
      </c>
      <c r="H27">
        <v>2.9195618136746018</v>
      </c>
      <c r="I27">
        <v>-6.0372190174946141</v>
      </c>
      <c r="J27">
        <v>2.3638848276590112</v>
      </c>
      <c r="K27">
        <v>-2.8901902706623277</v>
      </c>
      <c r="L27">
        <v>2.1065102424477939</v>
      </c>
      <c r="M27">
        <v>-0.19555415795084716</v>
      </c>
      <c r="N27">
        <v>2.0240709365341525</v>
      </c>
      <c r="O27">
        <v>2.4709901314160243</v>
      </c>
      <c r="P27">
        <v>2.0845496840906557</v>
      </c>
      <c r="Q27">
        <v>5.5156747807278812</v>
      </c>
      <c r="R27">
        <v>2.311102701034466</v>
      </c>
      <c r="S27">
        <v>9.6163932654938851</v>
      </c>
      <c r="T27">
        <v>2.8075654586421055</v>
      </c>
      <c r="U27">
        <v>16.563917882815971</v>
      </c>
      <c r="V27">
        <v>3.9155194164930038</v>
      </c>
      <c r="W27">
        <v>34.599798183521273</v>
      </c>
      <c r="X27">
        <v>7.2884829255893608</v>
      </c>
      <c r="Y27">
        <v>511.36729639043671</v>
      </c>
      <c r="Z27">
        <v>103.50436825137773</v>
      </c>
    </row>
    <row r="28" spans="1:26">
      <c r="A28">
        <v>99999</v>
      </c>
      <c r="B28">
        <v>99999</v>
      </c>
      <c r="C28">
        <v>-40.469607230186178</v>
      </c>
      <c r="D28">
        <v>12.196054179295206</v>
      </c>
      <c r="E28">
        <v>-18.130147991666362</v>
      </c>
      <c r="F28">
        <v>6.0575735927325276</v>
      </c>
      <c r="G28">
        <v>-10.398909141925902</v>
      </c>
      <c r="H28">
        <v>4.2208097733145555</v>
      </c>
      <c r="I28">
        <v>-6.0372190174946141</v>
      </c>
      <c r="J28">
        <v>3.417467695611252</v>
      </c>
      <c r="K28">
        <v>-2.8901902706623277</v>
      </c>
      <c r="L28">
        <v>3.0453813230692655</v>
      </c>
      <c r="M28">
        <v>-0.19555415795084716</v>
      </c>
      <c r="N28">
        <v>2.9261988394253864</v>
      </c>
      <c r="O28">
        <v>2.4709901314160243</v>
      </c>
      <c r="P28">
        <v>3.0136329494239096</v>
      </c>
      <c r="Q28">
        <v>5.5156747807278812</v>
      </c>
      <c r="R28">
        <v>3.3411605885413698</v>
      </c>
      <c r="S28">
        <v>9.6163932654938851</v>
      </c>
      <c r="T28">
        <v>4.0588966712583945</v>
      </c>
      <c r="U28">
        <v>16.563917882815971</v>
      </c>
      <c r="V28">
        <v>5.6606654270271761</v>
      </c>
      <c r="W28">
        <v>34.599798183521273</v>
      </c>
      <c r="X28">
        <v>10.536957916381539</v>
      </c>
      <c r="Y28">
        <v>511.36729639043671</v>
      </c>
      <c r="Z28">
        <v>149.63623892117917</v>
      </c>
    </row>
    <row r="29" spans="1:26">
      <c r="A29">
        <v>99999</v>
      </c>
      <c r="B29">
        <v>99999</v>
      </c>
      <c r="C29">
        <v>-40.469607230186178</v>
      </c>
      <c r="D29">
        <v>15.298299361132798</v>
      </c>
      <c r="E29">
        <v>-18.130147991666362</v>
      </c>
      <c r="F29">
        <v>7.5984062436388946</v>
      </c>
      <c r="G29">
        <v>-10.398909141925902</v>
      </c>
      <c r="H29">
        <v>5.2944346187131011</v>
      </c>
      <c r="I29">
        <v>-6.0372190174946141</v>
      </c>
      <c r="J29">
        <v>4.2867507060781902</v>
      </c>
      <c r="K29">
        <v>-2.8901902706623277</v>
      </c>
      <c r="L29">
        <v>3.8200187096748874</v>
      </c>
      <c r="M29">
        <v>-0.19555415795084716</v>
      </c>
      <c r="N29">
        <v>3.6705204140308174</v>
      </c>
      <c r="O29">
        <v>2.4709901314160243</v>
      </c>
      <c r="P29">
        <v>3.7801946717429882</v>
      </c>
      <c r="Q29">
        <v>5.5156747807278812</v>
      </c>
      <c r="R29">
        <v>4.1910337676179736</v>
      </c>
      <c r="S29">
        <v>9.6163932654938851</v>
      </c>
      <c r="T29">
        <v>5.0913365454075628</v>
      </c>
      <c r="U29">
        <v>16.563917882815971</v>
      </c>
      <c r="V29">
        <v>7.100538667079026</v>
      </c>
      <c r="W29">
        <v>34.599798183521273</v>
      </c>
      <c r="X29">
        <v>13.217187640419146</v>
      </c>
      <c r="Y29">
        <v>511.36729639043671</v>
      </c>
      <c r="Z29">
        <v>187.69841004613173</v>
      </c>
    </row>
    <row r="30" spans="1:26">
      <c r="A30">
        <v>99999</v>
      </c>
      <c r="B30">
        <v>99999</v>
      </c>
      <c r="C30">
        <v>-40.469607230186178</v>
      </c>
      <c r="D30">
        <v>18.073297175610278</v>
      </c>
      <c r="E30">
        <v>-18.130147991666362</v>
      </c>
      <c r="F30">
        <v>8.9767006685199</v>
      </c>
      <c r="G30">
        <v>-10.398909141925902</v>
      </c>
      <c r="H30">
        <v>6.2548057128459371</v>
      </c>
      <c r="I30">
        <v>-6.0372190174946141</v>
      </c>
      <c r="J30">
        <v>5.0643354270831491</v>
      </c>
      <c r="K30">
        <v>-2.8901902706623277</v>
      </c>
      <c r="L30">
        <v>4.5129417150608901</v>
      </c>
      <c r="M30">
        <v>-0.19555415795084716</v>
      </c>
      <c r="N30">
        <v>4.3363255395867002</v>
      </c>
      <c r="O30">
        <v>2.4709901314160243</v>
      </c>
      <c r="P30">
        <v>4.4658938926013159</v>
      </c>
      <c r="Q30">
        <v>5.5156747807278812</v>
      </c>
      <c r="R30">
        <v>4.9512561473086807</v>
      </c>
      <c r="S30">
        <v>9.6163932654938851</v>
      </c>
      <c r="T30">
        <v>6.0148671583703592</v>
      </c>
      <c r="U30">
        <v>16.563917882815971</v>
      </c>
      <c r="V30">
        <v>8.3885236134853898</v>
      </c>
      <c r="W30">
        <v>34.599798183521273</v>
      </c>
      <c r="X30">
        <v>15.614687254584497</v>
      </c>
      <c r="Y30">
        <v>511.36729639043671</v>
      </c>
      <c r="Z30">
        <v>221.74550674383585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0779-9D3F-4AAB-A818-F5D0CDDAA628}">
  <sheetPr codeName="Sheet7"/>
  <dimension ref="A1:Z30"/>
  <sheetViews>
    <sheetView zoomScaleNormal="100" workbookViewId="0">
      <selection activeCell="G1" sqref="G1"/>
    </sheetView>
  </sheetViews>
  <sheetFormatPr defaultRowHeight="15"/>
  <cols>
    <col min="2" max="2" width="9.7109375" customWidth="1"/>
    <col min="4" max="4" width="10" customWidth="1"/>
    <col min="5" max="5" width="10.85546875" customWidth="1"/>
    <col min="6" max="6" width="9.5703125" customWidth="1"/>
    <col min="10" max="10" width="9.5703125" customWidth="1"/>
    <col min="11" max="11" width="10" customWidth="1"/>
    <col min="12" max="12" width="10.42578125" customWidth="1"/>
    <col min="13" max="13" width="11.5703125" customWidth="1"/>
    <col min="14" max="14" width="12.140625" customWidth="1"/>
    <col min="15" max="15" width="13.140625" customWidth="1"/>
    <col min="16" max="16" width="11" customWidth="1"/>
    <col min="17" max="17" width="10" customWidth="1"/>
    <col min="18" max="18" width="9.7109375" customWidth="1"/>
    <col min="20" max="20" width="10.5703125" customWidth="1"/>
    <col min="22" max="22" width="10.85546875" customWidth="1"/>
  </cols>
  <sheetData>
    <row r="1" spans="1:24" s="26" customFormat="1" ht="24" customHeight="1">
      <c r="A1" s="9" t="s">
        <v>393</v>
      </c>
      <c r="B1" s="9" t="s">
        <v>394</v>
      </c>
      <c r="C1" s="9" t="s">
        <v>389</v>
      </c>
      <c r="D1" s="9" t="s">
        <v>395</v>
      </c>
      <c r="E1" s="9" t="s">
        <v>396</v>
      </c>
      <c r="G1" s="177" t="s">
        <v>492</v>
      </c>
      <c r="K1" s="9" t="s">
        <v>407</v>
      </c>
      <c r="L1" s="9" t="s">
        <v>408</v>
      </c>
      <c r="M1" s="9" t="s">
        <v>405</v>
      </c>
      <c r="N1" s="9" t="s">
        <v>478</v>
      </c>
      <c r="O1" s="171" t="s">
        <v>479</v>
      </c>
      <c r="P1" s="171" t="s">
        <v>480</v>
      </c>
      <c r="Q1" s="9" t="s">
        <v>481</v>
      </c>
      <c r="R1" s="9" t="s">
        <v>482</v>
      </c>
    </row>
    <row r="2" spans="1:24" s="2" customFormat="1">
      <c r="A2" s="11" t="str">
        <f>Enter!B2</f>
        <v>Tehran</v>
      </c>
      <c r="B2" s="2">
        <v>51.3797</v>
      </c>
      <c r="C2" s="2">
        <v>35.7029</v>
      </c>
      <c r="D2" s="2">
        <v>1210</v>
      </c>
      <c r="E2" s="2">
        <v>3.5</v>
      </c>
      <c r="K2" s="2">
        <v>0</v>
      </c>
      <c r="L2" s="2">
        <v>0</v>
      </c>
      <c r="M2" s="2">
        <v>10</v>
      </c>
      <c r="N2" s="2">
        <v>17.135543286149552</v>
      </c>
      <c r="O2" s="2">
        <v>35.7029</v>
      </c>
      <c r="P2" s="2">
        <v>90</v>
      </c>
      <c r="Q2" s="2">
        <v>0</v>
      </c>
      <c r="R2" s="2">
        <v>-13.914986299364614</v>
      </c>
    </row>
    <row r="4" spans="1:24" ht="15.75" thickBot="1"/>
    <row r="5" spans="1:24" s="41" customFormat="1">
      <c r="A5" s="54"/>
      <c r="B5" s="118">
        <v>44733</v>
      </c>
      <c r="C5" s="55"/>
      <c r="D5" s="118">
        <v>44655</v>
      </c>
      <c r="E5" s="55"/>
      <c r="F5" s="118">
        <v>44671</v>
      </c>
      <c r="G5" s="55"/>
      <c r="H5" s="118">
        <v>44686</v>
      </c>
      <c r="I5" s="55"/>
      <c r="J5" s="118">
        <v>44702</v>
      </c>
      <c r="K5" s="55"/>
      <c r="L5" s="118">
        <v>44827</v>
      </c>
      <c r="M5" s="55"/>
      <c r="N5" s="118">
        <v>44841</v>
      </c>
      <c r="O5" s="55"/>
      <c r="P5" s="118">
        <v>44857</v>
      </c>
      <c r="Q5" s="55"/>
      <c r="R5" s="118">
        <v>44872</v>
      </c>
      <c r="S5" s="55"/>
      <c r="T5" s="118">
        <v>44887</v>
      </c>
      <c r="U5" s="55"/>
      <c r="V5" s="118">
        <v>44916</v>
      </c>
      <c r="W5" s="55"/>
      <c r="X5" s="118"/>
    </row>
    <row r="6" spans="1:24">
      <c r="A6" s="45">
        <v>-42.165998991636251</v>
      </c>
      <c r="B6" s="31">
        <v>-15.327938048894277</v>
      </c>
      <c r="C6" s="32">
        <v>-233.84634783447333</v>
      </c>
      <c r="D6" s="31">
        <v>-21.751006177830657</v>
      </c>
      <c r="E6" s="32">
        <v>-96.626797818227828</v>
      </c>
      <c r="F6" s="31">
        <v>-17.152879537843198</v>
      </c>
      <c r="G6" s="32">
        <v>-64.658101375588217</v>
      </c>
      <c r="H6" s="31">
        <v>-16.081631929603919</v>
      </c>
      <c r="I6" s="32">
        <v>-50.257587476254457</v>
      </c>
      <c r="J6" s="31">
        <v>-15.599081253827784</v>
      </c>
      <c r="K6" s="32">
        <v>99999</v>
      </c>
      <c r="L6" s="31">
        <v>99999</v>
      </c>
      <c r="M6" s="32">
        <v>99999</v>
      </c>
      <c r="N6" s="31">
        <v>99999</v>
      </c>
      <c r="O6" s="32">
        <v>99999</v>
      </c>
      <c r="P6" s="31">
        <v>99999</v>
      </c>
      <c r="Q6" s="32">
        <v>99999</v>
      </c>
      <c r="R6" s="31">
        <v>99999</v>
      </c>
      <c r="S6" s="32">
        <v>99999</v>
      </c>
      <c r="T6" s="31">
        <v>99999</v>
      </c>
      <c r="U6" s="32">
        <v>99999</v>
      </c>
      <c r="V6" s="31">
        <v>99999</v>
      </c>
      <c r="W6" s="32"/>
      <c r="X6" s="31"/>
    </row>
    <row r="7" spans="1:24">
      <c r="A7" s="45">
        <v>-21.679915464394615</v>
      </c>
      <c r="B7" s="31">
        <v>-4.7353288896159418</v>
      </c>
      <c r="C7" s="32">
        <v>-38.306374180929225</v>
      </c>
      <c r="D7" s="31">
        <v>2.3046060771867167</v>
      </c>
      <c r="E7" s="32">
        <v>-30.902775531090732</v>
      </c>
      <c r="F7" s="31">
        <v>-0.83020777005412949</v>
      </c>
      <c r="G7" s="32">
        <v>-26.575026155702901</v>
      </c>
      <c r="H7" s="31">
        <v>-2.662652951243099</v>
      </c>
      <c r="I7" s="32">
        <v>-23.70047124320363</v>
      </c>
      <c r="J7" s="31">
        <v>-3.8797900450472702</v>
      </c>
      <c r="K7" s="32">
        <v>-50.153126414890117</v>
      </c>
      <c r="L7" s="31">
        <v>7.3207292767691481</v>
      </c>
      <c r="M7" s="32">
        <v>-70.271044471136989</v>
      </c>
      <c r="N7" s="31">
        <v>15.839009519007167</v>
      </c>
      <c r="O7" s="32">
        <v>-126.57089251242718</v>
      </c>
      <c r="P7" s="31">
        <v>39.67735511074747</v>
      </c>
      <c r="Q7" s="32">
        <v>-403.42995419640209</v>
      </c>
      <c r="R7" s="31">
        <v>156.90434989388106</v>
      </c>
      <c r="S7" s="32">
        <v>99999</v>
      </c>
      <c r="T7" s="31">
        <v>99999</v>
      </c>
      <c r="U7" s="32">
        <v>99999</v>
      </c>
      <c r="V7" s="31">
        <v>99999</v>
      </c>
      <c r="W7" s="32"/>
      <c r="X7" s="31"/>
    </row>
    <row r="8" spans="1:24">
      <c r="A8" s="45">
        <v>-13.571768933639035</v>
      </c>
      <c r="B8" s="31">
        <v>-1.0877532211300112</v>
      </c>
      <c r="C8" s="32">
        <v>-19.422684562882683</v>
      </c>
      <c r="D8" s="31">
        <v>4.4421860862930727</v>
      </c>
      <c r="E8" s="32">
        <v>-17.117382025198463</v>
      </c>
      <c r="F8" s="31">
        <v>2.2633505114088535</v>
      </c>
      <c r="G8" s="32">
        <v>-15.561141553395402</v>
      </c>
      <c r="H8" s="31">
        <v>0.79248408602187459</v>
      </c>
      <c r="I8" s="32">
        <v>-14.425310967779048</v>
      </c>
      <c r="J8" s="31">
        <v>-0.28103578676172947</v>
      </c>
      <c r="K8" s="32">
        <v>-22.396599824372725</v>
      </c>
      <c r="L8" s="31">
        <v>7.2529548519990801</v>
      </c>
      <c r="M8" s="32">
        <v>-26.095407823986143</v>
      </c>
      <c r="N8" s="31">
        <v>10.748849348484466</v>
      </c>
      <c r="O8" s="32">
        <v>-31.945747938064237</v>
      </c>
      <c r="P8" s="31">
        <v>16.278244713021049</v>
      </c>
      <c r="Q8" s="32">
        <v>-39.538452070014571</v>
      </c>
      <c r="R8" s="31">
        <v>23.454419467455772</v>
      </c>
      <c r="S8" s="32">
        <v>-49.183249947712874</v>
      </c>
      <c r="T8" s="31">
        <v>32.570111826692418</v>
      </c>
      <c r="U8" s="32">
        <v>-62.910483297085996</v>
      </c>
      <c r="V8" s="31">
        <v>45.544280673266691</v>
      </c>
      <c r="W8" s="32"/>
      <c r="X8" s="31"/>
    </row>
    <row r="9" spans="1:24">
      <c r="A9" s="45">
        <v>-8.8347878744006643</v>
      </c>
      <c r="B9" s="31">
        <v>0.64316475086219871</v>
      </c>
      <c r="C9" s="32">
        <v>-11.597613917023715</v>
      </c>
      <c r="D9" s="31">
        <v>5.1958081675254739</v>
      </c>
      <c r="E9" s="32">
        <v>-10.565450113914464</v>
      </c>
      <c r="F9" s="31">
        <v>3.4949867366249183</v>
      </c>
      <c r="G9" s="32">
        <v>-9.828427841864281</v>
      </c>
      <c r="H9" s="31">
        <v>2.2805057874016987</v>
      </c>
      <c r="I9" s="32">
        <v>-9.2684768834586873</v>
      </c>
      <c r="J9" s="31">
        <v>1.3578067085920749</v>
      </c>
      <c r="K9" s="32">
        <v>-12.833762052814645</v>
      </c>
      <c r="L9" s="31">
        <v>7.2327593130583798</v>
      </c>
      <c r="M9" s="32">
        <v>-14.238676438505713</v>
      </c>
      <c r="N9" s="31">
        <v>9.5478070686237277</v>
      </c>
      <c r="O9" s="32">
        <v>-16.205918922194776</v>
      </c>
      <c r="P9" s="31">
        <v>12.789471004093325</v>
      </c>
      <c r="Q9" s="32">
        <v>-18.381237153189367</v>
      </c>
      <c r="R9" s="31">
        <v>16.374006574086255</v>
      </c>
      <c r="S9" s="32">
        <v>-20.670481928685618</v>
      </c>
      <c r="T9" s="31">
        <v>20.146272723133762</v>
      </c>
      <c r="U9" s="32">
        <v>-23.261978711547584</v>
      </c>
      <c r="V9" s="31">
        <v>24.41659614769484</v>
      </c>
      <c r="W9" s="32"/>
      <c r="X9" s="31"/>
    </row>
    <row r="10" spans="1:24">
      <c r="A10" s="45">
        <v>-5.4508514672700414</v>
      </c>
      <c r="B10" s="31">
        <v>1.5562598146349114</v>
      </c>
      <c r="C10" s="32">
        <v>-6.8562490041989683</v>
      </c>
      <c r="D10" s="31">
        <v>5.5452239814985296</v>
      </c>
      <c r="E10" s="32">
        <v>-6.3451773307609152</v>
      </c>
      <c r="F10" s="31">
        <v>4.0946404003587267</v>
      </c>
      <c r="G10" s="32">
        <v>-5.9702035125502455</v>
      </c>
      <c r="H10" s="31">
        <v>3.030345718568606</v>
      </c>
      <c r="I10" s="32">
        <v>-5.6795216377713844</v>
      </c>
      <c r="J10" s="31">
        <v>2.2052983195363045</v>
      </c>
      <c r="K10" s="32">
        <v>-7.4476961065663678</v>
      </c>
      <c r="L10" s="31">
        <v>7.2239385344600562</v>
      </c>
      <c r="M10" s="32">
        <v>-8.0940551877905236</v>
      </c>
      <c r="N10" s="31">
        <v>9.0585107079421245</v>
      </c>
      <c r="O10" s="32">
        <v>-8.9559448556180783</v>
      </c>
      <c r="P10" s="31">
        <v>11.504827077804931</v>
      </c>
      <c r="Q10" s="32">
        <v>-9.8548077604983284</v>
      </c>
      <c r="R10" s="31">
        <v>14.056085226673867</v>
      </c>
      <c r="S10" s="32">
        <v>-10.744546786368474</v>
      </c>
      <c r="T10" s="31">
        <v>16.581446911746777</v>
      </c>
      <c r="U10" s="32">
        <v>-11.688522041495604</v>
      </c>
      <c r="V10" s="31">
        <v>19.260748225548987</v>
      </c>
      <c r="W10" s="32"/>
      <c r="X10" s="31"/>
    </row>
    <row r="11" spans="1:24">
      <c r="A11" s="45">
        <v>-2.6875539507442641</v>
      </c>
      <c r="B11" s="31">
        <v>2.0191539281183868</v>
      </c>
      <c r="C11" s="32">
        <v>-3.3103169223638247</v>
      </c>
      <c r="D11" s="31">
        <v>5.7114305112627228</v>
      </c>
      <c r="E11" s="32">
        <v>-3.0868638778650923</v>
      </c>
      <c r="F11" s="31">
        <v>4.3866079363280752</v>
      </c>
      <c r="G11" s="32">
        <v>-2.9207421278149508</v>
      </c>
      <c r="H11" s="31">
        <v>3.4016947741566526</v>
      </c>
      <c r="I11" s="32">
        <v>-2.7906750733602603</v>
      </c>
      <c r="J11" s="31">
        <v>2.6305449767422515</v>
      </c>
      <c r="K11" s="32">
        <v>-3.5647375204154481</v>
      </c>
      <c r="L11" s="31">
        <v>7.2198554807380306</v>
      </c>
      <c r="M11" s="32">
        <v>-3.8377873901597401</v>
      </c>
      <c r="N11" s="31">
        <v>8.8387308571362038</v>
      </c>
      <c r="O11" s="32">
        <v>-4.1940196388960214</v>
      </c>
      <c r="P11" s="31">
        <v>10.9507831950413</v>
      </c>
      <c r="Q11" s="32">
        <v>-4.5562815388551519</v>
      </c>
      <c r="R11" s="31">
        <v>13.098584511336616</v>
      </c>
      <c r="S11" s="32">
        <v>-4.9059078246792822</v>
      </c>
      <c r="T11" s="31">
        <v>15.171470997575517</v>
      </c>
      <c r="U11" s="32">
        <v>-5.2674692237497194</v>
      </c>
      <c r="V11" s="31">
        <v>17.315119139797126</v>
      </c>
      <c r="W11" s="32"/>
      <c r="X11" s="31"/>
    </row>
    <row r="12" spans="1:24">
      <c r="A12" s="45">
        <v>-0.18360307586903224</v>
      </c>
      <c r="B12" s="31">
        <v>2.1733366848737927</v>
      </c>
      <c r="C12" s="32">
        <v>-0.22459491720487534</v>
      </c>
      <c r="D12" s="31">
        <v>5.7652698810263745</v>
      </c>
      <c r="E12" s="32">
        <v>-0.20995158741409442</v>
      </c>
      <c r="F12" s="31">
        <v>4.482139856522581</v>
      </c>
      <c r="G12" s="32">
        <v>-0.19901832987921955</v>
      </c>
      <c r="H12" s="31">
        <v>3.5241070040860749</v>
      </c>
      <c r="I12" s="32">
        <v>-0.19042988498189198</v>
      </c>
      <c r="J12" s="31">
        <v>2.7715396803278254</v>
      </c>
      <c r="K12" s="32">
        <v>-0.24118000992971111</v>
      </c>
      <c r="L12" s="31">
        <v>7.2185479768194618</v>
      </c>
      <c r="M12" s="32">
        <v>-0.25887658043870587</v>
      </c>
      <c r="N12" s="31">
        <v>8.7692199397725439</v>
      </c>
      <c r="O12" s="32">
        <v>-0.28180561681801652</v>
      </c>
      <c r="P12" s="31">
        <v>10.77838967313169</v>
      </c>
      <c r="Q12" s="32">
        <v>-0.30494053602996879</v>
      </c>
      <c r="R12" s="31">
        <v>12.805600005717016</v>
      </c>
      <c r="S12" s="32">
        <v>-0.32709628553212594</v>
      </c>
      <c r="T12" s="31">
        <v>14.74701004071472</v>
      </c>
      <c r="U12" s="32">
        <v>-0.34983248936263195</v>
      </c>
      <c r="V12" s="31">
        <v>16.73928271332279</v>
      </c>
      <c r="W12" s="32"/>
      <c r="X12" s="31"/>
    </row>
    <row r="13" spans="1:24">
      <c r="A13" s="45">
        <v>2.3036255996417698</v>
      </c>
      <c r="B13" s="31">
        <v>2.0599363342287762</v>
      </c>
      <c r="C13" s="32">
        <v>2.8322446012333384</v>
      </c>
      <c r="D13" s="31">
        <v>5.7257436834724658</v>
      </c>
      <c r="E13" s="32">
        <v>2.6427934282429275</v>
      </c>
      <c r="F13" s="31">
        <v>4.4119590859076636</v>
      </c>
      <c r="G13" s="32">
        <v>2.5017886777489657</v>
      </c>
      <c r="H13" s="31">
        <v>3.4341352674623109</v>
      </c>
      <c r="I13" s="32">
        <v>2.3912912875254348</v>
      </c>
      <c r="J13" s="31">
        <v>2.6678704454750126</v>
      </c>
      <c r="K13" s="32">
        <v>3.0476491998815702</v>
      </c>
      <c r="L13" s="31">
        <v>7.2195071660717414</v>
      </c>
      <c r="M13" s="32">
        <v>3.2784693437047179</v>
      </c>
      <c r="N13" s="31">
        <v>8.8201726302960868</v>
      </c>
      <c r="O13" s="32">
        <v>3.5790528898875413</v>
      </c>
      <c r="P13" s="31">
        <v>10.904625458024896</v>
      </c>
      <c r="Q13" s="32">
        <v>3.8840827370078745</v>
      </c>
      <c r="R13" s="31">
        <v>13.01991199132349</v>
      </c>
      <c r="S13" s="32">
        <v>4.1778617570319172</v>
      </c>
      <c r="T13" s="31">
        <v>15.057177559559396</v>
      </c>
      <c r="U13" s="32">
        <v>4.4810397161764488</v>
      </c>
      <c r="V13" s="31">
        <v>17.159621829278308</v>
      </c>
      <c r="W13" s="32"/>
      <c r="X13" s="31"/>
    </row>
    <row r="14" spans="1:24">
      <c r="A14" s="45">
        <v>5.0098090820582453</v>
      </c>
      <c r="B14" s="31">
        <v>1.6489843467845924</v>
      </c>
      <c r="C14" s="32">
        <v>6.2748478904280782</v>
      </c>
      <c r="D14" s="31">
        <v>5.579079597364192</v>
      </c>
      <c r="E14" s="32">
        <v>5.8160572472517291</v>
      </c>
      <c r="F14" s="31">
        <v>4.1537550019225327</v>
      </c>
      <c r="G14" s="32">
        <v>5.4785423448559545</v>
      </c>
      <c r="H14" s="31">
        <v>3.1051976721953962</v>
      </c>
      <c r="I14" s="32">
        <v>5.2163729867450304</v>
      </c>
      <c r="J14" s="31">
        <v>2.2907162963339029</v>
      </c>
      <c r="K14" s="32">
        <v>6.8040337792996128</v>
      </c>
      <c r="L14" s="31">
        <v>7.223101057233702</v>
      </c>
      <c r="M14" s="32">
        <v>7.3802054074173533</v>
      </c>
      <c r="N14" s="31">
        <v>9.0130930829346632</v>
      </c>
      <c r="O14" s="32">
        <v>8.1450389567064452</v>
      </c>
      <c r="P14" s="31">
        <v>11.389200977536296</v>
      </c>
      <c r="Q14" s="32">
        <v>8.9384945943210052</v>
      </c>
      <c r="R14" s="31">
        <v>13.854229095490238</v>
      </c>
      <c r="S14" s="32">
        <v>9.7197187716535645</v>
      </c>
      <c r="T14" s="31">
        <v>16.281257743669901</v>
      </c>
      <c r="U14" s="32">
        <v>10.544057256766944</v>
      </c>
      <c r="V14" s="31">
        <v>18.842229584042837</v>
      </c>
      <c r="W14" s="32"/>
      <c r="X14" s="31"/>
    </row>
    <row r="15" spans="1:24">
      <c r="A15" s="45">
        <v>8.2683252974736341</v>
      </c>
      <c r="B15" s="31">
        <v>0.81842175989368382</v>
      </c>
      <c r="C15" s="32">
        <v>10.763849027393995</v>
      </c>
      <c r="D15" s="31">
        <v>5.2652194016982712</v>
      </c>
      <c r="E15" s="32">
        <v>9.8364127107197348</v>
      </c>
      <c r="F15" s="31">
        <v>3.6126117440493317</v>
      </c>
      <c r="G15" s="32">
        <v>9.1706303720815399</v>
      </c>
      <c r="H15" s="31">
        <v>2.4262478165438401</v>
      </c>
      <c r="I15" s="32">
        <v>8.6628174988837703</v>
      </c>
      <c r="J15" s="31">
        <v>1.5213711928757843</v>
      </c>
      <c r="K15" s="32">
        <v>11.867025932940194</v>
      </c>
      <c r="L15" s="31">
        <v>7.2309808982770543</v>
      </c>
      <c r="M15" s="32">
        <v>13.110938043294635</v>
      </c>
      <c r="N15" s="31">
        <v>9.4475198045662054</v>
      </c>
      <c r="O15" s="32">
        <v>14.835318245382052</v>
      </c>
      <c r="P15" s="31">
        <v>12.520209406464538</v>
      </c>
      <c r="Q15" s="32">
        <v>16.718813370731208</v>
      </c>
      <c r="R15" s="31">
        <v>15.876427414465754</v>
      </c>
      <c r="S15" s="32">
        <v>18.67505257488369</v>
      </c>
      <c r="T15" s="31">
        <v>19.362268793384857</v>
      </c>
      <c r="U15" s="32">
        <v>20.858182024425663</v>
      </c>
      <c r="V15" s="31">
        <v>23.252408074203153</v>
      </c>
      <c r="W15" s="32"/>
      <c r="X15" s="31"/>
    </row>
    <row r="16" spans="1:24">
      <c r="A16" s="45">
        <v>12.726299721352028</v>
      </c>
      <c r="B16" s="31">
        <v>-0.74949844253475673</v>
      </c>
      <c r="C16" s="32">
        <v>17.897304917639847</v>
      </c>
      <c r="D16" s="31">
        <v>4.5999595782526717</v>
      </c>
      <c r="E16" s="32">
        <v>15.88142152816838</v>
      </c>
      <c r="F16" s="31">
        <v>2.5145074935164442</v>
      </c>
      <c r="G16" s="32">
        <v>14.50482449807852</v>
      </c>
      <c r="H16" s="31">
        <v>1.090403717853472</v>
      </c>
      <c r="I16" s="32">
        <v>13.491981336976945</v>
      </c>
      <c r="J16" s="31">
        <v>4.2607058154863216E-2</v>
      </c>
      <c r="K16" s="32">
        <v>20.457577145305599</v>
      </c>
      <c r="L16" s="31">
        <v>7.2485875110805162</v>
      </c>
      <c r="M16" s="32">
        <v>23.580239991670567</v>
      </c>
      <c r="N16" s="31">
        <v>10.479014318946403</v>
      </c>
      <c r="O16" s="32">
        <v>28.384686423173587</v>
      </c>
      <c r="P16" s="31">
        <v>15.449263530240525</v>
      </c>
      <c r="Q16" s="32">
        <v>34.385836976657885</v>
      </c>
      <c r="R16" s="31">
        <v>21.657515454902224</v>
      </c>
      <c r="S16" s="32">
        <v>41.651465707136346</v>
      </c>
      <c r="T16" s="31">
        <v>29.173883049393073</v>
      </c>
      <c r="U16" s="32">
        <v>51.358662493902983</v>
      </c>
      <c r="V16" s="31">
        <v>39.216077891434452</v>
      </c>
      <c r="W16" s="32"/>
      <c r="X16" s="31"/>
    </row>
    <row r="17" spans="1:26">
      <c r="A17" s="45">
        <v>20.078583112834856</v>
      </c>
      <c r="B17" s="31">
        <v>-3.9710719380838579</v>
      </c>
      <c r="C17" s="32">
        <v>33.814544213549546</v>
      </c>
      <c r="D17" s="31">
        <v>2.831660111673107</v>
      </c>
      <c r="E17" s="32">
        <v>27.860431695631437</v>
      </c>
      <c r="F17" s="31">
        <v>-0.11711294880048427</v>
      </c>
      <c r="G17" s="32">
        <v>24.260965057591058</v>
      </c>
      <c r="H17" s="31">
        <v>-1.8997480975964565</v>
      </c>
      <c r="I17" s="32">
        <v>21.819532330049835</v>
      </c>
      <c r="J17" s="31">
        <v>-3.1088671786126443</v>
      </c>
      <c r="K17" s="32">
        <v>42.841722877006724</v>
      </c>
      <c r="L17" s="31">
        <v>7.3023685799423736</v>
      </c>
      <c r="M17" s="32">
        <v>56.904602581691748</v>
      </c>
      <c r="N17" s="31">
        <v>14.26700700440326</v>
      </c>
      <c r="O17" s="32">
        <v>89.471974286189464</v>
      </c>
      <c r="P17" s="31">
        <v>30.395991474154531</v>
      </c>
      <c r="Q17" s="32">
        <v>175.51253934172098</v>
      </c>
      <c r="R17" s="31">
        <v>73.007564497028724</v>
      </c>
      <c r="S17" s="32">
        <v>849.65244897683158</v>
      </c>
      <c r="T17" s="31">
        <v>406.87522294987775</v>
      </c>
      <c r="U17" s="32">
        <v>99999</v>
      </c>
      <c r="V17" s="31">
        <v>99999</v>
      </c>
      <c r="W17" s="32"/>
      <c r="X17" s="31"/>
    </row>
    <row r="18" spans="1:26" ht="15.75" thickBot="1">
      <c r="A18" s="45">
        <v>37.186055022106594</v>
      </c>
      <c r="B18" s="31">
        <v>-12.668908851764344</v>
      </c>
      <c r="C18" s="32">
        <v>134.18634830658607</v>
      </c>
      <c r="D18" s="31">
        <v>-9.4185001219179991</v>
      </c>
      <c r="E18" s="32">
        <v>73.936570592825035</v>
      </c>
      <c r="F18" s="31">
        <v>-11.437426011943584</v>
      </c>
      <c r="G18" s="32">
        <v>53.642380034036385</v>
      </c>
      <c r="H18" s="31">
        <v>-12.117469462575158</v>
      </c>
      <c r="I18" s="32">
        <v>43.339754956345239</v>
      </c>
      <c r="J18" s="31">
        <v>-12.462702877433497</v>
      </c>
      <c r="K18" s="32">
        <v>682.66480438777319</v>
      </c>
      <c r="L18" s="31">
        <v>8.9606109241739631</v>
      </c>
      <c r="M18" s="32">
        <v>99999</v>
      </c>
      <c r="N18" s="31">
        <v>99999</v>
      </c>
      <c r="O18" s="32">
        <v>99999</v>
      </c>
      <c r="P18" s="31">
        <v>99999</v>
      </c>
      <c r="Q18" s="32">
        <v>99999</v>
      </c>
      <c r="R18" s="31">
        <v>99999</v>
      </c>
      <c r="S18" s="32">
        <v>99999</v>
      </c>
      <c r="T18" s="31">
        <v>99999</v>
      </c>
      <c r="U18" s="32">
        <v>99999</v>
      </c>
      <c r="V18" s="31">
        <v>99999</v>
      </c>
      <c r="W18" s="32"/>
      <c r="X18" s="31"/>
    </row>
    <row r="19" spans="1:26" s="9" customFormat="1">
      <c r="A19" s="52"/>
      <c r="B19" s="40">
        <v>6</v>
      </c>
      <c r="C19" s="53"/>
      <c r="D19" s="40">
        <v>7</v>
      </c>
      <c r="E19" s="53"/>
      <c r="F19" s="40">
        <v>8</v>
      </c>
      <c r="G19" s="53"/>
      <c r="H19" s="40">
        <v>9</v>
      </c>
      <c r="I19" s="53"/>
      <c r="J19" s="56">
        <v>10</v>
      </c>
      <c r="K19" s="53"/>
      <c r="L19" s="40">
        <v>11</v>
      </c>
      <c r="M19" s="53"/>
      <c r="N19" s="40">
        <v>12</v>
      </c>
      <c r="O19" s="53"/>
      <c r="P19" s="40">
        <v>13</v>
      </c>
      <c r="Q19" s="53"/>
      <c r="R19" s="40">
        <v>14</v>
      </c>
      <c r="S19" s="53"/>
      <c r="T19" s="40">
        <v>15</v>
      </c>
      <c r="U19" s="53"/>
      <c r="V19" s="40">
        <v>16</v>
      </c>
      <c r="W19" s="53"/>
      <c r="X19" s="40">
        <v>17</v>
      </c>
      <c r="Y19" s="39"/>
      <c r="Z19" s="29">
        <v>18</v>
      </c>
    </row>
    <row r="20" spans="1:26">
      <c r="A20" s="45">
        <v>-42.165998991636251</v>
      </c>
      <c r="B20" s="31">
        <v>-15.327938048894277</v>
      </c>
      <c r="C20" s="32">
        <v>-21.679915464394615</v>
      </c>
      <c r="D20" s="31">
        <v>-4.7353288896159418</v>
      </c>
      <c r="E20" s="32">
        <v>-13.571768933639035</v>
      </c>
      <c r="F20" s="31">
        <v>-1.0877532211300112</v>
      </c>
      <c r="G20" s="32">
        <v>-8.8347878744006643</v>
      </c>
      <c r="H20" s="31">
        <v>0.64316475086219871</v>
      </c>
      <c r="I20" s="32">
        <v>-5.4508514672700414</v>
      </c>
      <c r="J20" s="31">
        <v>1.5562598146349114</v>
      </c>
      <c r="K20" s="32">
        <v>-2.6875539507442641</v>
      </c>
      <c r="L20" s="31">
        <v>2.0191539281183868</v>
      </c>
      <c r="M20" s="32">
        <v>-0.18360307586903224</v>
      </c>
      <c r="N20" s="31">
        <v>2.1733366848737927</v>
      </c>
      <c r="O20" s="32">
        <v>2.3036255996417698</v>
      </c>
      <c r="P20" s="31">
        <v>2.0599363342287762</v>
      </c>
      <c r="Q20" s="32">
        <v>5.0098090820582453</v>
      </c>
      <c r="R20" s="31">
        <v>1.6489843467845924</v>
      </c>
      <c r="S20" s="32">
        <v>8.2683252974736341</v>
      </c>
      <c r="T20" s="31">
        <v>0.81842175989368382</v>
      </c>
      <c r="U20" s="32">
        <v>12.726299721352028</v>
      </c>
      <c r="V20" s="31">
        <v>-0.74949844253475673</v>
      </c>
      <c r="W20" s="32">
        <v>20.078583112834856</v>
      </c>
      <c r="X20" s="31">
        <v>-3.9710719380838579</v>
      </c>
      <c r="Y20">
        <v>37.186055022106594</v>
      </c>
      <c r="Z20" s="46">
        <v>-12.668908851764344</v>
      </c>
    </row>
    <row r="21" spans="1:26">
      <c r="A21" s="45">
        <v>-233.84634783447333</v>
      </c>
      <c r="B21" s="31">
        <v>-21.751006177830657</v>
      </c>
      <c r="C21" s="32">
        <v>-38.306374180929225</v>
      </c>
      <c r="D21" s="31">
        <v>2.3046060771867167</v>
      </c>
      <c r="E21" s="32">
        <v>-19.422684562882683</v>
      </c>
      <c r="F21" s="31">
        <v>4.4421860862930727</v>
      </c>
      <c r="G21" s="32">
        <v>-11.597613917023715</v>
      </c>
      <c r="H21" s="31">
        <v>5.1958081675254739</v>
      </c>
      <c r="I21" s="32">
        <v>-6.8562490041989683</v>
      </c>
      <c r="J21" s="31">
        <v>5.5452239814985296</v>
      </c>
      <c r="K21" s="32">
        <v>-3.3103169223638247</v>
      </c>
      <c r="L21" s="31">
        <v>5.7114305112627228</v>
      </c>
      <c r="M21" s="32">
        <v>-0.22459491720487534</v>
      </c>
      <c r="N21" s="31">
        <v>5.7652698810263745</v>
      </c>
      <c r="O21" s="32">
        <v>2.8322446012333384</v>
      </c>
      <c r="P21" s="31">
        <v>5.7257436834724658</v>
      </c>
      <c r="Q21" s="32">
        <v>6.2748478904280782</v>
      </c>
      <c r="R21" s="31">
        <v>5.579079597364192</v>
      </c>
      <c r="S21" s="32">
        <v>10.763849027393995</v>
      </c>
      <c r="T21" s="31">
        <v>5.2652194016982712</v>
      </c>
      <c r="U21" s="32">
        <v>17.897304917639847</v>
      </c>
      <c r="V21" s="31">
        <v>4.5999595782526717</v>
      </c>
      <c r="W21" s="32">
        <v>33.814544213549546</v>
      </c>
      <c r="X21" s="31">
        <v>2.831660111673107</v>
      </c>
      <c r="Y21">
        <v>134.18634830658607</v>
      </c>
      <c r="Z21" s="46">
        <v>-9.4185001219179991</v>
      </c>
    </row>
    <row r="22" spans="1:26">
      <c r="A22" s="45">
        <v>-96.626797818227828</v>
      </c>
      <c r="B22" s="31">
        <v>-17.152879537843198</v>
      </c>
      <c r="C22" s="32">
        <v>-30.902775531090732</v>
      </c>
      <c r="D22" s="31">
        <v>-0.83020777005412949</v>
      </c>
      <c r="E22" s="32">
        <v>-17.117382025198463</v>
      </c>
      <c r="F22" s="31">
        <v>2.2633505114088535</v>
      </c>
      <c r="G22" s="32">
        <v>-10.565450113914464</v>
      </c>
      <c r="H22" s="31">
        <v>3.4949867366249183</v>
      </c>
      <c r="I22" s="32">
        <v>-6.3451773307609152</v>
      </c>
      <c r="J22" s="31">
        <v>4.0946404003587267</v>
      </c>
      <c r="K22" s="32">
        <v>-3.0868638778650923</v>
      </c>
      <c r="L22" s="31">
        <v>4.3866079363280752</v>
      </c>
      <c r="M22" s="32">
        <v>-0.20995158741409442</v>
      </c>
      <c r="N22" s="31">
        <v>4.482139856522581</v>
      </c>
      <c r="O22" s="32">
        <v>2.6427934282429275</v>
      </c>
      <c r="P22" s="31">
        <v>4.4119590859076636</v>
      </c>
      <c r="Q22" s="32">
        <v>5.8160572472517291</v>
      </c>
      <c r="R22" s="31">
        <v>4.1537550019225327</v>
      </c>
      <c r="S22" s="32">
        <v>9.8364127107197348</v>
      </c>
      <c r="T22" s="31">
        <v>3.6126117440493317</v>
      </c>
      <c r="U22" s="32">
        <v>15.88142152816838</v>
      </c>
      <c r="V22" s="31">
        <v>2.5145074935164442</v>
      </c>
      <c r="W22" s="32">
        <v>27.860431695631437</v>
      </c>
      <c r="X22" s="31">
        <v>-0.11711294880048427</v>
      </c>
      <c r="Y22">
        <v>73.936570592825035</v>
      </c>
      <c r="Z22" s="46">
        <v>-11.437426011943584</v>
      </c>
    </row>
    <row r="23" spans="1:26">
      <c r="A23" s="45">
        <v>-64.658101375588217</v>
      </c>
      <c r="B23" s="31">
        <v>-16.081631929603919</v>
      </c>
      <c r="C23" s="32">
        <v>-26.575026155702901</v>
      </c>
      <c r="D23" s="31">
        <v>-2.662652951243099</v>
      </c>
      <c r="E23" s="32">
        <v>-15.561141553395402</v>
      </c>
      <c r="F23" s="31">
        <v>0.79248408602187459</v>
      </c>
      <c r="G23" s="32">
        <v>-9.828427841864281</v>
      </c>
      <c r="H23" s="31">
        <v>2.2805057874016987</v>
      </c>
      <c r="I23" s="32">
        <v>-5.9702035125502455</v>
      </c>
      <c r="J23" s="31">
        <v>3.030345718568606</v>
      </c>
      <c r="K23" s="32">
        <v>-2.9207421278149508</v>
      </c>
      <c r="L23" s="31">
        <v>3.4016947741566526</v>
      </c>
      <c r="M23" s="32">
        <v>-0.19901832987921955</v>
      </c>
      <c r="N23" s="31">
        <v>3.5241070040860749</v>
      </c>
      <c r="O23" s="32">
        <v>2.5017886777489657</v>
      </c>
      <c r="P23" s="31">
        <v>3.4341352674623109</v>
      </c>
      <c r="Q23" s="32">
        <v>5.4785423448559545</v>
      </c>
      <c r="R23" s="31">
        <v>3.1051976721953962</v>
      </c>
      <c r="S23" s="32">
        <v>9.1706303720815399</v>
      </c>
      <c r="T23" s="31">
        <v>2.4262478165438401</v>
      </c>
      <c r="U23" s="32">
        <v>14.50482449807852</v>
      </c>
      <c r="V23" s="31">
        <v>1.090403717853472</v>
      </c>
      <c r="W23" s="32">
        <v>24.260965057591058</v>
      </c>
      <c r="X23" s="31">
        <v>-1.8997480975964565</v>
      </c>
      <c r="Y23">
        <v>53.642380034036385</v>
      </c>
      <c r="Z23" s="46">
        <v>-12.117469462575158</v>
      </c>
    </row>
    <row r="24" spans="1:26">
      <c r="A24" s="45">
        <v>-50.257587476254457</v>
      </c>
      <c r="B24" s="31">
        <v>-15.599081253827784</v>
      </c>
      <c r="C24" s="32">
        <v>-23.70047124320363</v>
      </c>
      <c r="D24" s="31">
        <v>-3.8797900450472702</v>
      </c>
      <c r="E24" s="32">
        <v>-14.425310967779048</v>
      </c>
      <c r="F24" s="31">
        <v>-0.28103578676172947</v>
      </c>
      <c r="G24" s="32">
        <v>-9.2684768834586873</v>
      </c>
      <c r="H24" s="31">
        <v>1.3578067085920749</v>
      </c>
      <c r="I24" s="32">
        <v>-5.6795216377713844</v>
      </c>
      <c r="J24" s="31">
        <v>2.2052983195363045</v>
      </c>
      <c r="K24" s="32">
        <v>-2.7906750733602603</v>
      </c>
      <c r="L24" s="31">
        <v>2.6305449767422515</v>
      </c>
      <c r="M24" s="32">
        <v>-0.19042988498189198</v>
      </c>
      <c r="N24" s="31">
        <v>2.7715396803278254</v>
      </c>
      <c r="O24" s="32">
        <v>2.3912912875254348</v>
      </c>
      <c r="P24" s="31">
        <v>2.6678704454750126</v>
      </c>
      <c r="Q24" s="32">
        <v>5.2163729867450304</v>
      </c>
      <c r="R24" s="31">
        <v>2.2907162963339029</v>
      </c>
      <c r="S24" s="32">
        <v>8.6628174988837703</v>
      </c>
      <c r="T24" s="31">
        <v>1.5213711928757843</v>
      </c>
      <c r="U24" s="32">
        <v>13.491981336976945</v>
      </c>
      <c r="V24" s="31">
        <v>4.2607058154863216E-2</v>
      </c>
      <c r="W24" s="32">
        <v>21.819532330049835</v>
      </c>
      <c r="X24" s="31">
        <v>-3.1088671786126443</v>
      </c>
      <c r="Y24">
        <v>43.339754956345239</v>
      </c>
      <c r="Z24" s="46">
        <v>-12.462702877433497</v>
      </c>
    </row>
    <row r="25" spans="1:26">
      <c r="A25" s="45">
        <v>99999</v>
      </c>
      <c r="B25" s="31">
        <v>99999</v>
      </c>
      <c r="C25" s="32">
        <v>-50.153126414890117</v>
      </c>
      <c r="D25" s="31">
        <v>7.3207292767691481</v>
      </c>
      <c r="E25" s="32">
        <v>-22.396599824372725</v>
      </c>
      <c r="F25" s="31">
        <v>7.2529548519990801</v>
      </c>
      <c r="G25" s="32">
        <v>-12.833762052814645</v>
      </c>
      <c r="H25" s="31">
        <v>7.2327593130583798</v>
      </c>
      <c r="I25" s="32">
        <v>-7.4476961065663678</v>
      </c>
      <c r="J25" s="31">
        <v>7.2239385344600562</v>
      </c>
      <c r="K25" s="32">
        <v>-3.5647375204154481</v>
      </c>
      <c r="L25" s="31">
        <v>7.2198554807380306</v>
      </c>
      <c r="M25" s="32">
        <v>-0.24118000992971111</v>
      </c>
      <c r="N25" s="31">
        <v>7.2185479768194618</v>
      </c>
      <c r="O25" s="32">
        <v>3.0476491998815702</v>
      </c>
      <c r="P25" s="31">
        <v>7.2195071660717414</v>
      </c>
      <c r="Q25" s="32">
        <v>6.8040337792996128</v>
      </c>
      <c r="R25" s="31">
        <v>7.223101057233702</v>
      </c>
      <c r="S25" s="32">
        <v>11.867025932940194</v>
      </c>
      <c r="T25" s="31">
        <v>7.2309808982770543</v>
      </c>
      <c r="U25" s="32">
        <v>20.457577145305599</v>
      </c>
      <c r="V25" s="31">
        <v>7.2485875110805162</v>
      </c>
      <c r="W25" s="32">
        <v>42.841722877006724</v>
      </c>
      <c r="X25" s="31">
        <v>7.3023685799423736</v>
      </c>
      <c r="Y25">
        <v>682.66480438777319</v>
      </c>
      <c r="Z25" s="46">
        <v>8.9606109241739631</v>
      </c>
    </row>
    <row r="26" spans="1:26">
      <c r="A26" s="45">
        <v>99999</v>
      </c>
      <c r="B26" s="31">
        <v>99999</v>
      </c>
      <c r="C26" s="32">
        <v>-70.271044471136989</v>
      </c>
      <c r="D26" s="31">
        <v>15.839009519007167</v>
      </c>
      <c r="E26" s="32">
        <v>-26.095407823986143</v>
      </c>
      <c r="F26" s="31">
        <v>10.748849348484466</v>
      </c>
      <c r="G26" s="32">
        <v>-14.238676438505713</v>
      </c>
      <c r="H26" s="31">
        <v>9.5478070686237277</v>
      </c>
      <c r="I26" s="32">
        <v>-8.0940551877905236</v>
      </c>
      <c r="J26" s="31">
        <v>9.0585107079421245</v>
      </c>
      <c r="K26" s="32">
        <v>-3.8377873901597401</v>
      </c>
      <c r="L26" s="31">
        <v>8.8387308571362038</v>
      </c>
      <c r="M26" s="32">
        <v>-0.25887658043870587</v>
      </c>
      <c r="N26" s="31">
        <v>8.7692199397725439</v>
      </c>
      <c r="O26" s="32">
        <v>3.2784693437047179</v>
      </c>
      <c r="P26" s="31">
        <v>8.8201726302960868</v>
      </c>
      <c r="Q26" s="32">
        <v>7.3802054074173533</v>
      </c>
      <c r="R26" s="31">
        <v>9.0130930829346632</v>
      </c>
      <c r="S26" s="32">
        <v>13.110938043294635</v>
      </c>
      <c r="T26" s="31">
        <v>9.4475198045662054</v>
      </c>
      <c r="U26" s="32">
        <v>23.580239991670567</v>
      </c>
      <c r="V26" s="31">
        <v>10.479014318946403</v>
      </c>
      <c r="W26" s="32">
        <v>56.904602581691748</v>
      </c>
      <c r="X26" s="31">
        <v>14.26700700440326</v>
      </c>
      <c r="Y26">
        <v>99999</v>
      </c>
      <c r="Z26" s="46">
        <v>99999</v>
      </c>
    </row>
    <row r="27" spans="1:26">
      <c r="A27" s="45">
        <v>99999</v>
      </c>
      <c r="B27" s="31">
        <v>99999</v>
      </c>
      <c r="C27" s="32">
        <v>-126.57089251242718</v>
      </c>
      <c r="D27" s="31">
        <v>39.67735511074747</v>
      </c>
      <c r="E27" s="32">
        <v>-31.945747938064237</v>
      </c>
      <c r="F27" s="31">
        <v>16.278244713021049</v>
      </c>
      <c r="G27" s="32">
        <v>-16.205918922194776</v>
      </c>
      <c r="H27" s="31">
        <v>12.789471004093325</v>
      </c>
      <c r="I27" s="32">
        <v>-8.9559448556180783</v>
      </c>
      <c r="J27" s="31">
        <v>11.504827077804931</v>
      </c>
      <c r="K27" s="32">
        <v>-4.1940196388960214</v>
      </c>
      <c r="L27" s="31">
        <v>10.9507831950413</v>
      </c>
      <c r="M27" s="32">
        <v>-0.28180561681801652</v>
      </c>
      <c r="N27" s="31">
        <v>10.77838967313169</v>
      </c>
      <c r="O27" s="32">
        <v>3.5790528898875413</v>
      </c>
      <c r="P27" s="31">
        <v>10.904625458024896</v>
      </c>
      <c r="Q27" s="32">
        <v>8.1450389567064452</v>
      </c>
      <c r="R27" s="31">
        <v>11.389200977536296</v>
      </c>
      <c r="S27" s="32">
        <v>14.835318245382052</v>
      </c>
      <c r="T27" s="31">
        <v>12.520209406464538</v>
      </c>
      <c r="U27" s="32">
        <v>28.384686423173587</v>
      </c>
      <c r="V27" s="31">
        <v>15.449263530240525</v>
      </c>
      <c r="W27" s="32">
        <v>89.471974286189464</v>
      </c>
      <c r="X27" s="31">
        <v>30.395991474154531</v>
      </c>
      <c r="Y27">
        <v>99999</v>
      </c>
      <c r="Z27" s="46">
        <v>99999</v>
      </c>
    </row>
    <row r="28" spans="1:26">
      <c r="A28" s="45">
        <v>99999</v>
      </c>
      <c r="B28" s="31">
        <v>99999</v>
      </c>
      <c r="C28" s="32">
        <v>-403.42995419640209</v>
      </c>
      <c r="D28" s="31">
        <v>156.90434989388106</v>
      </c>
      <c r="E28" s="32">
        <v>-39.538452070014571</v>
      </c>
      <c r="F28" s="31">
        <v>23.454419467455772</v>
      </c>
      <c r="G28" s="32">
        <v>-18.381237153189367</v>
      </c>
      <c r="H28" s="31">
        <v>16.374006574086255</v>
      </c>
      <c r="I28" s="32">
        <v>-9.8548077604983284</v>
      </c>
      <c r="J28" s="31">
        <v>14.056085226673867</v>
      </c>
      <c r="K28" s="32">
        <v>-4.5562815388551519</v>
      </c>
      <c r="L28" s="31">
        <v>13.098584511336616</v>
      </c>
      <c r="M28" s="32">
        <v>-0.30494053602996879</v>
      </c>
      <c r="N28" s="31">
        <v>12.805600005717016</v>
      </c>
      <c r="O28" s="32">
        <v>3.8840827370078745</v>
      </c>
      <c r="P28" s="31">
        <v>13.01991199132349</v>
      </c>
      <c r="Q28" s="32">
        <v>8.9384945943210052</v>
      </c>
      <c r="R28" s="31">
        <v>13.854229095490238</v>
      </c>
      <c r="S28" s="32">
        <v>16.718813370731208</v>
      </c>
      <c r="T28" s="31">
        <v>15.876427414465754</v>
      </c>
      <c r="U28" s="32">
        <v>34.385836976657885</v>
      </c>
      <c r="V28" s="31">
        <v>21.657515454902224</v>
      </c>
      <c r="W28" s="32">
        <v>175.51253934172098</v>
      </c>
      <c r="X28" s="31">
        <v>73.007564497028724</v>
      </c>
      <c r="Y28">
        <v>99999</v>
      </c>
      <c r="Z28" s="46">
        <v>99999</v>
      </c>
    </row>
    <row r="29" spans="1:26">
      <c r="A29" s="45">
        <v>99999</v>
      </c>
      <c r="B29" s="31">
        <v>99999</v>
      </c>
      <c r="C29" s="32">
        <v>99999</v>
      </c>
      <c r="D29" s="31">
        <v>99999</v>
      </c>
      <c r="E29" s="32">
        <v>-49.183249947712874</v>
      </c>
      <c r="F29" s="31">
        <v>32.570111826692418</v>
      </c>
      <c r="G29" s="32">
        <v>-20.670481928685618</v>
      </c>
      <c r="H29" s="31">
        <v>20.146272723133762</v>
      </c>
      <c r="I29" s="32">
        <v>-10.744546786368474</v>
      </c>
      <c r="J29" s="31">
        <v>16.581446911746777</v>
      </c>
      <c r="K29" s="32">
        <v>-4.9059078246792822</v>
      </c>
      <c r="L29" s="31">
        <v>15.171470997575517</v>
      </c>
      <c r="M29" s="32">
        <v>-0.32709628553212594</v>
      </c>
      <c r="N29" s="31">
        <v>14.74701004071472</v>
      </c>
      <c r="O29" s="32">
        <v>4.1778617570319172</v>
      </c>
      <c r="P29" s="31">
        <v>15.057177559559396</v>
      </c>
      <c r="Q29" s="32">
        <v>9.7197187716535645</v>
      </c>
      <c r="R29" s="31">
        <v>16.281257743669901</v>
      </c>
      <c r="S29" s="32">
        <v>18.67505257488369</v>
      </c>
      <c r="T29" s="31">
        <v>19.362268793384857</v>
      </c>
      <c r="U29" s="32">
        <v>41.651465707136346</v>
      </c>
      <c r="V29" s="31">
        <v>29.173883049393073</v>
      </c>
      <c r="W29" s="32">
        <v>849.65244897683158</v>
      </c>
      <c r="X29" s="31">
        <v>406.87522294987775</v>
      </c>
      <c r="Y29">
        <v>99999</v>
      </c>
      <c r="Z29" s="46">
        <v>99999</v>
      </c>
    </row>
    <row r="30" spans="1:26" ht="15.75" thickBot="1">
      <c r="A30" s="47">
        <v>99999</v>
      </c>
      <c r="B30" s="49">
        <v>99999</v>
      </c>
      <c r="C30" s="51">
        <v>99999</v>
      </c>
      <c r="D30" s="49">
        <v>99999</v>
      </c>
      <c r="E30" s="51">
        <v>-62.910483297085996</v>
      </c>
      <c r="F30" s="49">
        <v>45.544280673266691</v>
      </c>
      <c r="G30" s="51">
        <v>-23.261978711547584</v>
      </c>
      <c r="H30" s="49">
        <v>24.41659614769484</v>
      </c>
      <c r="I30" s="51">
        <v>-11.688522041495604</v>
      </c>
      <c r="J30" s="49">
        <v>19.260748225548987</v>
      </c>
      <c r="K30" s="51">
        <v>-5.2674692237497194</v>
      </c>
      <c r="L30" s="49">
        <v>17.315119139797126</v>
      </c>
      <c r="M30" s="51">
        <v>-0.34983248936263195</v>
      </c>
      <c r="N30" s="49">
        <v>16.73928271332279</v>
      </c>
      <c r="O30" s="51">
        <v>4.4810397161764488</v>
      </c>
      <c r="P30" s="49">
        <v>17.159621829278308</v>
      </c>
      <c r="Q30" s="51">
        <v>10.544057256766944</v>
      </c>
      <c r="R30" s="49">
        <v>18.842229584042837</v>
      </c>
      <c r="S30" s="51">
        <v>20.858182024425663</v>
      </c>
      <c r="T30" s="49">
        <v>23.252408074203153</v>
      </c>
      <c r="U30" s="51">
        <v>51.358662493902983</v>
      </c>
      <c r="V30" s="49">
        <v>39.216077891434452</v>
      </c>
      <c r="W30" s="51">
        <v>99999</v>
      </c>
      <c r="X30" s="49">
        <v>99999</v>
      </c>
      <c r="Y30" s="4">
        <v>99999</v>
      </c>
      <c r="Z30" s="24">
        <v>99999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7D708-BF70-4117-9561-0E006B71F584}">
  <sheetPr codeName="Sheet8"/>
  <dimension ref="A1:Z31"/>
  <sheetViews>
    <sheetView workbookViewId="0">
      <selection activeCell="G1" sqref="G1"/>
    </sheetView>
  </sheetViews>
  <sheetFormatPr defaultRowHeight="15"/>
  <cols>
    <col min="2" max="2" width="9.42578125" customWidth="1"/>
    <col min="5" max="5" width="10.42578125" customWidth="1"/>
    <col min="6" max="6" width="9.85546875" customWidth="1"/>
    <col min="10" max="10" width="10" customWidth="1"/>
    <col min="11" max="11" width="9.28515625" customWidth="1"/>
    <col min="12" max="12" width="10" customWidth="1"/>
    <col min="13" max="13" width="11" customWidth="1"/>
    <col min="14" max="14" width="10.5703125" customWidth="1"/>
    <col min="15" max="15" width="11.5703125" customWidth="1"/>
    <col min="16" max="16" width="10.85546875" customWidth="1"/>
    <col min="17" max="17" width="10.5703125" customWidth="1"/>
    <col min="18" max="18" width="9.85546875" customWidth="1"/>
    <col min="20" max="20" width="10.5703125" customWidth="1"/>
    <col min="22" max="22" width="10.85546875" customWidth="1"/>
  </cols>
  <sheetData>
    <row r="1" spans="1:24" ht="25.5">
      <c r="A1" s="9" t="s">
        <v>393</v>
      </c>
      <c r="B1" s="9" t="s">
        <v>394</v>
      </c>
      <c r="C1" s="9" t="s">
        <v>389</v>
      </c>
      <c r="D1" s="9" t="s">
        <v>395</v>
      </c>
      <c r="E1" s="9" t="s">
        <v>396</v>
      </c>
      <c r="F1" s="59"/>
      <c r="G1" s="177" t="s">
        <v>495</v>
      </c>
      <c r="H1" s="59"/>
      <c r="I1" s="26"/>
      <c r="J1" s="59"/>
      <c r="K1" s="174" t="s">
        <v>407</v>
      </c>
      <c r="L1" s="174" t="s">
        <v>408</v>
      </c>
      <c r="M1" s="174" t="s">
        <v>405</v>
      </c>
      <c r="N1" s="174" t="s">
        <v>478</v>
      </c>
      <c r="O1" s="171" t="s">
        <v>479</v>
      </c>
      <c r="P1" s="171" t="s">
        <v>480</v>
      </c>
      <c r="Q1" s="174" t="s">
        <v>481</v>
      </c>
      <c r="R1" s="174" t="s">
        <v>482</v>
      </c>
    </row>
    <row r="2" spans="1:24">
      <c r="A2" s="169" t="str">
        <f>Enter!B2</f>
        <v>Tehran</v>
      </c>
      <c r="B2">
        <v>51.3797</v>
      </c>
      <c r="C2">
        <v>35.7029</v>
      </c>
      <c r="D2">
        <v>1210</v>
      </c>
      <c r="E2">
        <v>3.5</v>
      </c>
      <c r="K2">
        <v>0</v>
      </c>
      <c r="L2">
        <v>90</v>
      </c>
      <c r="M2">
        <v>10</v>
      </c>
      <c r="N2">
        <v>7622487025813029</v>
      </c>
      <c r="O2">
        <v>7.516677866299302E-14</v>
      </c>
      <c r="P2">
        <v>35.7029</v>
      </c>
      <c r="Q2">
        <v>-6189871004382179</v>
      </c>
      <c r="R2">
        <v>4448348615812019.5</v>
      </c>
    </row>
    <row r="4" spans="1:24" ht="15.75" thickBot="1"/>
    <row r="5" spans="1:24" s="41" customFormat="1">
      <c r="A5" s="54"/>
      <c r="B5" s="118">
        <v>44733</v>
      </c>
      <c r="C5" s="55"/>
      <c r="D5" s="118">
        <v>44655</v>
      </c>
      <c r="E5" s="55"/>
      <c r="F5" s="118">
        <v>44671</v>
      </c>
      <c r="G5" s="55"/>
      <c r="H5" s="118">
        <v>44686</v>
      </c>
      <c r="I5" s="55"/>
      <c r="J5" s="118">
        <v>44702</v>
      </c>
      <c r="K5" s="55"/>
      <c r="L5" s="118">
        <v>44827</v>
      </c>
      <c r="M5" s="55"/>
      <c r="N5" s="118">
        <v>44841</v>
      </c>
      <c r="O5" s="55"/>
      <c r="P5" s="118">
        <v>44857</v>
      </c>
      <c r="Q5" s="55"/>
      <c r="R5" s="118">
        <v>44872</v>
      </c>
      <c r="S5" s="55"/>
      <c r="T5" s="118">
        <v>44887</v>
      </c>
      <c r="U5" s="55"/>
      <c r="V5" s="118">
        <v>44916</v>
      </c>
      <c r="W5" s="57"/>
      <c r="X5" s="119"/>
    </row>
    <row r="6" spans="1:24">
      <c r="A6" s="45">
        <v>99999</v>
      </c>
      <c r="B6" s="31">
        <v>99999</v>
      </c>
      <c r="C6" s="32">
        <v>99999</v>
      </c>
      <c r="D6" s="31">
        <v>99999</v>
      </c>
      <c r="E6" s="32">
        <v>99999</v>
      </c>
      <c r="F6" s="31">
        <v>99999</v>
      </c>
      <c r="G6" s="32">
        <v>99999</v>
      </c>
      <c r="H6" s="31">
        <v>99999</v>
      </c>
      <c r="I6" s="32">
        <v>99999</v>
      </c>
      <c r="J6" s="31">
        <v>99999</v>
      </c>
      <c r="K6" s="32">
        <v>99999</v>
      </c>
      <c r="L6" s="31">
        <v>99999</v>
      </c>
      <c r="M6" s="32">
        <v>99999</v>
      </c>
      <c r="N6" s="31">
        <v>99999</v>
      </c>
      <c r="O6" s="32">
        <v>99999</v>
      </c>
      <c r="P6" s="31">
        <v>99999</v>
      </c>
      <c r="Q6" s="32">
        <v>99999</v>
      </c>
      <c r="R6" s="31">
        <v>99999</v>
      </c>
      <c r="S6" s="32">
        <v>99999</v>
      </c>
      <c r="T6" s="31">
        <v>99999</v>
      </c>
      <c r="U6" s="32">
        <v>99999</v>
      </c>
      <c r="V6" s="31">
        <v>99999</v>
      </c>
      <c r="X6" s="46"/>
    </row>
    <row r="7" spans="1:24">
      <c r="A7" s="45">
        <v>99999</v>
      </c>
      <c r="B7" s="31">
        <v>99999</v>
      </c>
      <c r="C7" s="32">
        <v>99999</v>
      </c>
      <c r="D7" s="31">
        <v>99999</v>
      </c>
      <c r="E7" s="32">
        <v>99999</v>
      </c>
      <c r="F7" s="31">
        <v>99999</v>
      </c>
      <c r="G7" s="32">
        <v>99999</v>
      </c>
      <c r="H7" s="31">
        <v>99999</v>
      </c>
      <c r="I7" s="32">
        <v>99999</v>
      </c>
      <c r="J7" s="31">
        <v>99999</v>
      </c>
      <c r="K7" s="32">
        <v>99999</v>
      </c>
      <c r="L7" s="31">
        <v>99999</v>
      </c>
      <c r="M7" s="32">
        <v>99999</v>
      </c>
      <c r="N7" s="31">
        <v>99999</v>
      </c>
      <c r="O7" s="32">
        <v>99999</v>
      </c>
      <c r="P7" s="31">
        <v>99999</v>
      </c>
      <c r="Q7" s="32">
        <v>99999</v>
      </c>
      <c r="R7" s="31">
        <v>99999</v>
      </c>
      <c r="S7" s="32">
        <v>99999</v>
      </c>
      <c r="T7" s="31">
        <v>99999</v>
      </c>
      <c r="U7" s="32">
        <v>99999</v>
      </c>
      <c r="V7" s="31">
        <v>99999</v>
      </c>
      <c r="X7" s="46"/>
    </row>
    <row r="8" spans="1:24">
      <c r="A8" s="45">
        <v>99999</v>
      </c>
      <c r="B8" s="31">
        <v>99999</v>
      </c>
      <c r="C8" s="32">
        <v>99999</v>
      </c>
      <c r="D8" s="31">
        <v>99999</v>
      </c>
      <c r="E8" s="32">
        <v>99999</v>
      </c>
      <c r="F8" s="31">
        <v>99999</v>
      </c>
      <c r="G8" s="32">
        <v>99999</v>
      </c>
      <c r="H8" s="31">
        <v>99999</v>
      </c>
      <c r="I8" s="32">
        <v>99999</v>
      </c>
      <c r="J8" s="31">
        <v>99999</v>
      </c>
      <c r="K8" s="32">
        <v>99999</v>
      </c>
      <c r="L8" s="31">
        <v>99999</v>
      </c>
      <c r="M8" s="32">
        <v>99999</v>
      </c>
      <c r="N8" s="31">
        <v>99999</v>
      </c>
      <c r="O8" s="32">
        <v>99999</v>
      </c>
      <c r="P8" s="31">
        <v>99999</v>
      </c>
      <c r="Q8" s="32">
        <v>99999</v>
      </c>
      <c r="R8" s="31">
        <v>99999</v>
      </c>
      <c r="S8" s="32">
        <v>99999</v>
      </c>
      <c r="T8" s="31">
        <v>99999</v>
      </c>
      <c r="U8" s="32">
        <v>99999</v>
      </c>
      <c r="V8" s="31">
        <v>99999</v>
      </c>
      <c r="X8" s="46"/>
    </row>
    <row r="9" spans="1:24">
      <c r="A9" s="45">
        <v>99999</v>
      </c>
      <c r="B9" s="31">
        <v>99999</v>
      </c>
      <c r="C9" s="32">
        <v>99999</v>
      </c>
      <c r="D9" s="31">
        <v>99999</v>
      </c>
      <c r="E9" s="32">
        <v>99999</v>
      </c>
      <c r="F9" s="31">
        <v>99999</v>
      </c>
      <c r="G9" s="32">
        <v>99999</v>
      </c>
      <c r="H9" s="31">
        <v>99999</v>
      </c>
      <c r="I9" s="32">
        <v>99999</v>
      </c>
      <c r="J9" s="31">
        <v>99999</v>
      </c>
      <c r="K9" s="32">
        <v>99999</v>
      </c>
      <c r="L9" s="31">
        <v>99999</v>
      </c>
      <c r="M9" s="32">
        <v>99999</v>
      </c>
      <c r="N9" s="31">
        <v>99999</v>
      </c>
      <c r="O9" s="32">
        <v>99999</v>
      </c>
      <c r="P9" s="31">
        <v>99999</v>
      </c>
      <c r="Q9" s="32">
        <v>99999</v>
      </c>
      <c r="R9" s="31">
        <v>99999</v>
      </c>
      <c r="S9" s="32">
        <v>99999</v>
      </c>
      <c r="T9" s="31">
        <v>99999</v>
      </c>
      <c r="U9" s="32">
        <v>99999</v>
      </c>
      <c r="V9" s="31">
        <v>99999</v>
      </c>
      <c r="X9" s="46"/>
    </row>
    <row r="10" spans="1:24">
      <c r="A10" s="45">
        <v>99999</v>
      </c>
      <c r="B10" s="31">
        <v>99999</v>
      </c>
      <c r="C10" s="32">
        <v>99999</v>
      </c>
      <c r="D10" s="31">
        <v>99999</v>
      </c>
      <c r="E10" s="32">
        <v>99999</v>
      </c>
      <c r="F10" s="31">
        <v>99999</v>
      </c>
      <c r="G10" s="32">
        <v>99999</v>
      </c>
      <c r="H10" s="31">
        <v>99999</v>
      </c>
      <c r="I10" s="32">
        <v>99999</v>
      </c>
      <c r="J10" s="31">
        <v>99999</v>
      </c>
      <c r="K10" s="32">
        <v>99999</v>
      </c>
      <c r="L10" s="31">
        <v>99999</v>
      </c>
      <c r="M10" s="32">
        <v>99999</v>
      </c>
      <c r="N10" s="31">
        <v>99999</v>
      </c>
      <c r="O10" s="32">
        <v>99999</v>
      </c>
      <c r="P10" s="31">
        <v>99999</v>
      </c>
      <c r="Q10" s="32">
        <v>99999</v>
      </c>
      <c r="R10" s="31">
        <v>99999</v>
      </c>
      <c r="S10" s="32">
        <v>99999</v>
      </c>
      <c r="T10" s="31">
        <v>99999</v>
      </c>
      <c r="U10" s="32">
        <v>99999</v>
      </c>
      <c r="V10" s="31">
        <v>99999</v>
      </c>
      <c r="X10" s="46"/>
    </row>
    <row r="11" spans="1:24">
      <c r="A11" s="45">
        <v>99999</v>
      </c>
      <c r="B11" s="31">
        <v>99999</v>
      </c>
      <c r="C11" s="32">
        <v>99999</v>
      </c>
      <c r="D11" s="31">
        <v>99999</v>
      </c>
      <c r="E11" s="32">
        <v>99999</v>
      </c>
      <c r="F11" s="31">
        <v>99999</v>
      </c>
      <c r="G11" s="32">
        <v>99999</v>
      </c>
      <c r="H11" s="31">
        <v>99999</v>
      </c>
      <c r="I11" s="32">
        <v>99999</v>
      </c>
      <c r="J11" s="31">
        <v>99999</v>
      </c>
      <c r="K11" s="32">
        <v>99999</v>
      </c>
      <c r="L11" s="31">
        <v>99999</v>
      </c>
      <c r="M11" s="32">
        <v>99999</v>
      </c>
      <c r="N11" s="31">
        <v>99999</v>
      </c>
      <c r="O11" s="32">
        <v>99999</v>
      </c>
      <c r="P11" s="31">
        <v>99999</v>
      </c>
      <c r="Q11" s="32">
        <v>99999</v>
      </c>
      <c r="R11" s="31">
        <v>99999</v>
      </c>
      <c r="S11" s="32">
        <v>99999</v>
      </c>
      <c r="T11" s="31">
        <v>99999</v>
      </c>
      <c r="U11" s="32">
        <v>99999</v>
      </c>
      <c r="V11" s="31">
        <v>99999</v>
      </c>
      <c r="X11" s="46"/>
    </row>
    <row r="12" spans="1:24">
      <c r="A12" s="45">
        <v>99999</v>
      </c>
      <c r="B12" s="31">
        <v>99999</v>
      </c>
      <c r="C12" s="32">
        <v>99999</v>
      </c>
      <c r="D12" s="31">
        <v>99999</v>
      </c>
      <c r="E12" s="32">
        <v>99999</v>
      </c>
      <c r="F12" s="31">
        <v>99999</v>
      </c>
      <c r="G12" s="32">
        <v>99999</v>
      </c>
      <c r="H12" s="31">
        <v>99999</v>
      </c>
      <c r="I12" s="32">
        <v>99999</v>
      </c>
      <c r="J12" s="31">
        <v>99999</v>
      </c>
      <c r="K12" s="32">
        <v>99999</v>
      </c>
      <c r="L12" s="31">
        <v>99999</v>
      </c>
      <c r="M12" s="32">
        <v>99999</v>
      </c>
      <c r="N12" s="31">
        <v>99999</v>
      </c>
      <c r="O12" s="32">
        <v>99999</v>
      </c>
      <c r="P12" s="31">
        <v>99999</v>
      </c>
      <c r="Q12" s="32">
        <v>99999</v>
      </c>
      <c r="R12" s="31">
        <v>99999</v>
      </c>
      <c r="S12" s="32">
        <v>99999</v>
      </c>
      <c r="T12" s="31">
        <v>99999</v>
      </c>
      <c r="U12" s="32">
        <v>99999</v>
      </c>
      <c r="V12" s="31">
        <v>99999</v>
      </c>
      <c r="X12" s="46"/>
    </row>
    <row r="13" spans="1:24">
      <c r="A13" s="45">
        <v>-8.942148995692289</v>
      </c>
      <c r="B13" s="31">
        <v>-43.409831882208024</v>
      </c>
      <c r="C13" s="32">
        <v>-20.216275391536069</v>
      </c>
      <c r="D13" s="31">
        <v>-35.307684921158767</v>
      </c>
      <c r="E13" s="32">
        <v>-16.69430171408046</v>
      </c>
      <c r="F13" s="31">
        <v>-37.838750063218207</v>
      </c>
      <c r="G13" s="32">
        <v>-13.726719998398229</v>
      </c>
      <c r="H13" s="31">
        <v>-39.971401617332752</v>
      </c>
      <c r="I13" s="32">
        <v>-11.156610068344202</v>
      </c>
      <c r="J13" s="31">
        <v>-41.818410212785992</v>
      </c>
      <c r="K13" s="32">
        <v>-23.688773518790335</v>
      </c>
      <c r="L13" s="31">
        <v>-32.812175365814923</v>
      </c>
      <c r="M13" s="32">
        <v>-26.903325014255341</v>
      </c>
      <c r="N13" s="31">
        <v>-30.502039066498671</v>
      </c>
      <c r="O13" s="32">
        <v>-30.467908112884786</v>
      </c>
      <c r="P13" s="31">
        <v>-27.940352678929433</v>
      </c>
      <c r="Q13" s="32">
        <v>-33.521201459661427</v>
      </c>
      <c r="R13" s="31">
        <v>-25.746104491336105</v>
      </c>
      <c r="S13" s="32">
        <v>-36.040392035988255</v>
      </c>
      <c r="T13" s="31">
        <v>-23.935689071493485</v>
      </c>
      <c r="U13" s="32">
        <v>-38.29384008209604</v>
      </c>
      <c r="V13" s="31">
        <v>-22.316249427337524</v>
      </c>
      <c r="X13" s="46"/>
    </row>
    <row r="14" spans="1:24">
      <c r="A14" s="45">
        <v>-3.2915113525785489</v>
      </c>
      <c r="B14" s="31">
        <v>-19.960840495525556</v>
      </c>
      <c r="C14" s="32">
        <v>-8.891179029016369</v>
      </c>
      <c r="D14" s="31">
        <v>-15.936641293336232</v>
      </c>
      <c r="E14" s="32">
        <v>-7.1418743408780916</v>
      </c>
      <c r="F14" s="31">
        <v>-17.193778490961904</v>
      </c>
      <c r="G14" s="32">
        <v>-5.6679267526534529</v>
      </c>
      <c r="H14" s="31">
        <v>-18.25303040577834</v>
      </c>
      <c r="I14" s="32">
        <v>-4.3913966699748572</v>
      </c>
      <c r="J14" s="31">
        <v>-19.170408299809676</v>
      </c>
      <c r="K14" s="32">
        <v>-10.615910049137357</v>
      </c>
      <c r="L14" s="31">
        <v>-14.697163953570721</v>
      </c>
      <c r="M14" s="32">
        <v>-12.212523345049684</v>
      </c>
      <c r="N14" s="31">
        <v>-13.549758371155423</v>
      </c>
      <c r="O14" s="32">
        <v>-13.982991411181207</v>
      </c>
      <c r="P14" s="31">
        <v>-12.277412119393482</v>
      </c>
      <c r="Q14" s="32">
        <v>-15.499510515218473</v>
      </c>
      <c r="R14" s="31">
        <v>-11.187566199741719</v>
      </c>
      <c r="S14" s="32">
        <v>-16.750749817116358</v>
      </c>
      <c r="T14" s="31">
        <v>-10.288363516405242</v>
      </c>
      <c r="U14" s="32">
        <v>-17.869999304063182</v>
      </c>
      <c r="V14" s="31">
        <v>-9.4840152670663773</v>
      </c>
      <c r="X14" s="46"/>
    </row>
    <row r="15" spans="1:24">
      <c r="A15" s="45">
        <v>-0.98982772260271012</v>
      </c>
      <c r="B15" s="31">
        <v>-12.094347573692428</v>
      </c>
      <c r="C15" s="32">
        <v>-4.8915767847526164</v>
      </c>
      <c r="D15" s="31">
        <v>-9.2903569852661363</v>
      </c>
      <c r="E15" s="32">
        <v>-3.6726923221839649</v>
      </c>
      <c r="F15" s="31">
        <v>-10.166307874721422</v>
      </c>
      <c r="G15" s="32">
        <v>-2.6456718001961264</v>
      </c>
      <c r="H15" s="31">
        <v>-10.904375810896635</v>
      </c>
      <c r="I15" s="32">
        <v>-1.7562082925928002</v>
      </c>
      <c r="J15" s="31">
        <v>-11.543588447163438</v>
      </c>
      <c r="K15" s="32">
        <v>-6.0933387515446915</v>
      </c>
      <c r="L15" s="31">
        <v>-8.4267111713662324</v>
      </c>
      <c r="M15" s="32">
        <v>-7.2058305617559881</v>
      </c>
      <c r="N15" s="31">
        <v>-7.6272193240317518</v>
      </c>
      <c r="O15" s="32">
        <v>-8.4394612905333517</v>
      </c>
      <c r="P15" s="31">
        <v>-6.7406710355625794</v>
      </c>
      <c r="Q15" s="32">
        <v>-9.4961448892418225</v>
      </c>
      <c r="R15" s="31">
        <v>-5.9812857397561983</v>
      </c>
      <c r="S15" s="32">
        <v>-10.367986229621303</v>
      </c>
      <c r="T15" s="31">
        <v>-5.3547372677542597</v>
      </c>
      <c r="U15" s="32">
        <v>-11.147859409306953</v>
      </c>
      <c r="V15" s="31">
        <v>-4.794281682022735</v>
      </c>
      <c r="X15" s="46"/>
    </row>
    <row r="16" spans="1:24">
      <c r="A16" s="45">
        <v>0.58893665790165095</v>
      </c>
      <c r="B16" s="31">
        <v>-7.8577435852953608</v>
      </c>
      <c r="C16" s="32">
        <v>-2.5701967974624229</v>
      </c>
      <c r="D16" s="31">
        <v>-5.5874334409667732</v>
      </c>
      <c r="E16" s="32">
        <v>-1.5833012737912127</v>
      </c>
      <c r="F16" s="31">
        <v>-6.2966655612429356</v>
      </c>
      <c r="G16" s="32">
        <v>-0.7517524379546241</v>
      </c>
      <c r="H16" s="31">
        <v>-6.8942578390553546</v>
      </c>
      <c r="I16" s="32">
        <v>-3.1579541277654992E-2</v>
      </c>
      <c r="J16" s="31">
        <v>-7.4118098374427728</v>
      </c>
      <c r="K16" s="32">
        <v>-3.5432287311421984</v>
      </c>
      <c r="L16" s="31">
        <v>-4.88816438475203</v>
      </c>
      <c r="M16" s="32">
        <v>-4.4439811989394258</v>
      </c>
      <c r="N16" s="31">
        <v>-4.2408389412204333</v>
      </c>
      <c r="O16" s="32">
        <v>-5.4428163481938308</v>
      </c>
      <c r="P16" s="31">
        <v>-3.523026413226773</v>
      </c>
      <c r="Q16" s="32">
        <v>-6.2983825199903967</v>
      </c>
      <c r="R16" s="31">
        <v>-2.9081740853911113</v>
      </c>
      <c r="S16" s="32">
        <v>-7.0042872571455437</v>
      </c>
      <c r="T16" s="31">
        <v>-2.4008758948155431</v>
      </c>
      <c r="U16" s="32">
        <v>-7.6357280324599257</v>
      </c>
      <c r="V16" s="31">
        <v>-1.9470912041736157</v>
      </c>
      <c r="X16" s="46"/>
    </row>
    <row r="17" spans="1:26">
      <c r="A17" s="45">
        <v>1.9777650224459609</v>
      </c>
      <c r="B17" s="31">
        <v>-4.9804311110018977</v>
      </c>
      <c r="C17" s="32">
        <v>-0.83740892492597951</v>
      </c>
      <c r="D17" s="31">
        <v>-2.9573073458707104</v>
      </c>
      <c r="E17" s="32">
        <v>4.2035582965820592E-2</v>
      </c>
      <c r="F17" s="31">
        <v>-3.5893198315258044</v>
      </c>
      <c r="G17" s="32">
        <v>0.78304720899883573</v>
      </c>
      <c r="H17" s="31">
        <v>-4.1218475754207811</v>
      </c>
      <c r="I17" s="32">
        <v>1.4248092633640694</v>
      </c>
      <c r="J17" s="31">
        <v>-4.5830496496150896</v>
      </c>
      <c r="K17" s="32">
        <v>-1.7044992800374761</v>
      </c>
      <c r="L17" s="31">
        <v>-2.3341731677572253</v>
      </c>
      <c r="M17" s="32">
        <v>-2.5071797986677038</v>
      </c>
      <c r="N17" s="31">
        <v>-1.7573270959311393</v>
      </c>
      <c r="O17" s="32">
        <v>-3.3972639719481603</v>
      </c>
      <c r="P17" s="31">
        <v>-1.1176684184942092</v>
      </c>
      <c r="Q17" s="32">
        <v>-4.1596779791832121</v>
      </c>
      <c r="R17" s="31">
        <v>-0.56975986089119834</v>
      </c>
      <c r="S17" s="32">
        <v>-4.7887253598791277</v>
      </c>
      <c r="T17" s="31">
        <v>-0.11769518244833158</v>
      </c>
      <c r="U17" s="32">
        <v>-5.3514162512547596</v>
      </c>
      <c r="V17" s="31">
        <v>0.28668242833043361</v>
      </c>
      <c r="X17" s="46"/>
    </row>
    <row r="18" spans="1:26" ht="15.75" thickBot="1">
      <c r="A18" s="45">
        <v>3.4068977858051683</v>
      </c>
      <c r="B18" s="31">
        <v>-2.689180122509673</v>
      </c>
      <c r="C18" s="32">
        <v>0.70189704398237529</v>
      </c>
      <c r="D18" s="31">
        <v>-0.74523229271819946</v>
      </c>
      <c r="E18" s="32">
        <v>1.5469240621032561</v>
      </c>
      <c r="F18" s="31">
        <v>-1.3525106614791276</v>
      </c>
      <c r="G18" s="32">
        <v>2.2589358367184023</v>
      </c>
      <c r="H18" s="31">
        <v>-1.8641976723730282</v>
      </c>
      <c r="I18" s="32">
        <v>2.8755822200625865</v>
      </c>
      <c r="J18" s="31">
        <v>-2.3073503784395384</v>
      </c>
      <c r="K18" s="32">
        <v>-0.13125930715307502</v>
      </c>
      <c r="L18" s="31">
        <v>-0.146484774602789</v>
      </c>
      <c r="M18" s="32">
        <v>-0.90252653217425283</v>
      </c>
      <c r="N18" s="31">
        <v>0.40778614484209413</v>
      </c>
      <c r="O18" s="32">
        <v>-1.7577768271892413</v>
      </c>
      <c r="P18" s="31">
        <v>1.0224114679399983</v>
      </c>
      <c r="Q18" s="32">
        <v>-2.490353390378937</v>
      </c>
      <c r="R18" s="31">
        <v>1.5488773568953804</v>
      </c>
      <c r="S18" s="32">
        <v>-3.0947826950095134</v>
      </c>
      <c r="T18" s="31">
        <v>1.9832502636500036</v>
      </c>
      <c r="U18" s="32">
        <v>-3.6354524038951483</v>
      </c>
      <c r="V18" s="31">
        <v>2.3718023593932265</v>
      </c>
      <c r="X18" s="46"/>
    </row>
    <row r="19" spans="1:26" s="6" customFormat="1">
      <c r="A19" s="42"/>
      <c r="B19" s="48">
        <v>6</v>
      </c>
      <c r="C19" s="50"/>
      <c r="D19" s="48">
        <v>7</v>
      </c>
      <c r="E19" s="50"/>
      <c r="F19" s="48">
        <v>8</v>
      </c>
      <c r="G19" s="50"/>
      <c r="H19" s="48">
        <v>9</v>
      </c>
      <c r="I19" s="50"/>
      <c r="J19" s="48">
        <v>10</v>
      </c>
      <c r="K19" s="50"/>
      <c r="L19" s="48">
        <v>11</v>
      </c>
      <c r="M19" s="50"/>
      <c r="N19" s="48">
        <v>12</v>
      </c>
      <c r="O19" s="50"/>
      <c r="P19" s="48">
        <v>13</v>
      </c>
      <c r="Q19" s="50"/>
      <c r="R19" s="48">
        <v>14</v>
      </c>
      <c r="S19" s="50"/>
      <c r="T19" s="48">
        <v>15</v>
      </c>
      <c r="U19" s="50"/>
      <c r="V19" s="48">
        <v>16</v>
      </c>
      <c r="W19" s="50"/>
      <c r="X19" s="48">
        <v>17</v>
      </c>
      <c r="Y19" s="43"/>
      <c r="Z19" s="44">
        <v>18</v>
      </c>
    </row>
    <row r="20" spans="1:26">
      <c r="A20" s="45">
        <v>99999</v>
      </c>
      <c r="B20" s="31">
        <v>99999</v>
      </c>
      <c r="C20" s="32">
        <v>99999</v>
      </c>
      <c r="D20" s="31">
        <v>99999</v>
      </c>
      <c r="E20" s="32">
        <v>99999</v>
      </c>
      <c r="F20" s="31">
        <v>99999</v>
      </c>
      <c r="G20" s="32">
        <v>99999</v>
      </c>
      <c r="H20" s="31">
        <v>99999</v>
      </c>
      <c r="I20" s="32">
        <v>99999</v>
      </c>
      <c r="J20" s="31">
        <v>99999</v>
      </c>
      <c r="K20" s="32">
        <v>99999</v>
      </c>
      <c r="L20" s="31">
        <v>99999</v>
      </c>
      <c r="M20" s="32">
        <v>99999</v>
      </c>
      <c r="N20" s="31">
        <v>99999</v>
      </c>
      <c r="O20" s="32">
        <v>-8.942148995692289</v>
      </c>
      <c r="P20" s="31">
        <v>-43.409831882208024</v>
      </c>
      <c r="Q20" s="32">
        <v>-3.2915113525785489</v>
      </c>
      <c r="R20" s="31">
        <v>-19.960840495525556</v>
      </c>
      <c r="S20" s="32">
        <v>-0.98982772260271012</v>
      </c>
      <c r="T20" s="31">
        <v>-12.094347573692428</v>
      </c>
      <c r="U20" s="32">
        <v>0.58893665790165095</v>
      </c>
      <c r="V20" s="31">
        <v>-7.8577435852953608</v>
      </c>
      <c r="W20" s="32">
        <v>1.9777650224459609</v>
      </c>
      <c r="X20" s="31">
        <v>-4.9804311110018977</v>
      </c>
      <c r="Y20">
        <v>3.4068977858051683</v>
      </c>
      <c r="Z20" s="46">
        <v>-2.689180122509673</v>
      </c>
    </row>
    <row r="21" spans="1:26">
      <c r="A21" s="45">
        <v>99999</v>
      </c>
      <c r="B21" s="31">
        <v>99999</v>
      </c>
      <c r="C21" s="32">
        <v>99999</v>
      </c>
      <c r="D21" s="31">
        <v>99999</v>
      </c>
      <c r="E21" s="32">
        <v>99999</v>
      </c>
      <c r="F21" s="31">
        <v>99999</v>
      </c>
      <c r="G21" s="32">
        <v>99999</v>
      </c>
      <c r="H21" s="31">
        <v>99999</v>
      </c>
      <c r="I21" s="32">
        <v>99999</v>
      </c>
      <c r="J21" s="31">
        <v>99999</v>
      </c>
      <c r="K21" s="32">
        <v>99999</v>
      </c>
      <c r="L21" s="31">
        <v>99999</v>
      </c>
      <c r="M21" s="32">
        <v>99999</v>
      </c>
      <c r="N21" s="31">
        <v>99999</v>
      </c>
      <c r="O21" s="32">
        <v>-20.216275391536069</v>
      </c>
      <c r="P21" s="31">
        <v>-35.307684921158767</v>
      </c>
      <c r="Q21" s="32">
        <v>-8.891179029016369</v>
      </c>
      <c r="R21" s="31">
        <v>-15.936641293336232</v>
      </c>
      <c r="S21" s="32">
        <v>-4.8915767847526164</v>
      </c>
      <c r="T21" s="31">
        <v>-9.2903569852661363</v>
      </c>
      <c r="U21" s="32">
        <v>-2.5701967974624229</v>
      </c>
      <c r="V21" s="31">
        <v>-5.5874334409667732</v>
      </c>
      <c r="W21" s="32">
        <v>-0.83740892492597951</v>
      </c>
      <c r="X21" s="31">
        <v>-2.9573073458707104</v>
      </c>
      <c r="Y21">
        <v>0.70189704398237529</v>
      </c>
      <c r="Z21" s="46">
        <v>-0.74523229271819946</v>
      </c>
    </row>
    <row r="22" spans="1:26">
      <c r="A22" s="45">
        <v>99999</v>
      </c>
      <c r="B22" s="31">
        <v>99999</v>
      </c>
      <c r="C22" s="32">
        <v>99999</v>
      </c>
      <c r="D22" s="31">
        <v>99999</v>
      </c>
      <c r="E22" s="32">
        <v>99999</v>
      </c>
      <c r="F22" s="31">
        <v>99999</v>
      </c>
      <c r="G22" s="32">
        <v>99999</v>
      </c>
      <c r="H22" s="31">
        <v>99999</v>
      </c>
      <c r="I22" s="32">
        <v>99999</v>
      </c>
      <c r="J22" s="31">
        <v>99999</v>
      </c>
      <c r="K22" s="32">
        <v>99999</v>
      </c>
      <c r="L22" s="31">
        <v>99999</v>
      </c>
      <c r="M22" s="32">
        <v>99999</v>
      </c>
      <c r="N22" s="31">
        <v>99999</v>
      </c>
      <c r="O22" s="32">
        <v>-16.69430171408046</v>
      </c>
      <c r="P22" s="31">
        <v>-37.838750063218207</v>
      </c>
      <c r="Q22" s="32">
        <v>-7.1418743408780916</v>
      </c>
      <c r="R22" s="31">
        <v>-17.193778490961904</v>
      </c>
      <c r="S22" s="32">
        <v>-3.6726923221839649</v>
      </c>
      <c r="T22" s="31">
        <v>-10.166307874721422</v>
      </c>
      <c r="U22" s="32">
        <v>-1.5833012737912127</v>
      </c>
      <c r="V22" s="31">
        <v>-6.2966655612429356</v>
      </c>
      <c r="W22" s="32">
        <v>4.2035582965820592E-2</v>
      </c>
      <c r="X22" s="31">
        <v>-3.5893198315258044</v>
      </c>
      <c r="Y22">
        <v>1.5469240621032561</v>
      </c>
      <c r="Z22" s="46">
        <v>-1.3525106614791276</v>
      </c>
    </row>
    <row r="23" spans="1:26">
      <c r="A23" s="45">
        <v>99999</v>
      </c>
      <c r="B23" s="31">
        <v>99999</v>
      </c>
      <c r="C23" s="32">
        <v>99999</v>
      </c>
      <c r="D23" s="31">
        <v>99999</v>
      </c>
      <c r="E23" s="32">
        <v>99999</v>
      </c>
      <c r="F23" s="31">
        <v>99999</v>
      </c>
      <c r="G23" s="32">
        <v>99999</v>
      </c>
      <c r="H23" s="31">
        <v>99999</v>
      </c>
      <c r="I23" s="32">
        <v>99999</v>
      </c>
      <c r="J23" s="31">
        <v>99999</v>
      </c>
      <c r="K23" s="32">
        <v>99999</v>
      </c>
      <c r="L23" s="31">
        <v>99999</v>
      </c>
      <c r="M23" s="32">
        <v>99999</v>
      </c>
      <c r="N23" s="31">
        <v>99999</v>
      </c>
      <c r="O23" s="32">
        <v>-13.726719998398229</v>
      </c>
      <c r="P23" s="31">
        <v>-39.971401617332752</v>
      </c>
      <c r="Q23" s="32">
        <v>-5.6679267526534529</v>
      </c>
      <c r="R23" s="31">
        <v>-18.25303040577834</v>
      </c>
      <c r="S23" s="32">
        <v>-2.6456718001961264</v>
      </c>
      <c r="T23" s="31">
        <v>-10.904375810896635</v>
      </c>
      <c r="U23" s="32">
        <v>-0.7517524379546241</v>
      </c>
      <c r="V23" s="31">
        <v>-6.8942578390553546</v>
      </c>
      <c r="W23" s="32">
        <v>0.78304720899883573</v>
      </c>
      <c r="X23" s="31">
        <v>-4.1218475754207811</v>
      </c>
      <c r="Y23">
        <v>2.2589358367184023</v>
      </c>
      <c r="Z23" s="46">
        <v>-1.8641976723730282</v>
      </c>
    </row>
    <row r="24" spans="1:26">
      <c r="A24" s="45">
        <v>99999</v>
      </c>
      <c r="B24" s="31">
        <v>99999</v>
      </c>
      <c r="C24" s="32">
        <v>99999</v>
      </c>
      <c r="D24" s="31">
        <v>99999</v>
      </c>
      <c r="E24" s="32">
        <v>99999</v>
      </c>
      <c r="F24" s="31">
        <v>99999</v>
      </c>
      <c r="G24" s="32">
        <v>99999</v>
      </c>
      <c r="H24" s="31">
        <v>99999</v>
      </c>
      <c r="I24" s="32">
        <v>99999</v>
      </c>
      <c r="J24" s="31">
        <v>99999</v>
      </c>
      <c r="K24" s="32">
        <v>99999</v>
      </c>
      <c r="L24" s="31">
        <v>99999</v>
      </c>
      <c r="M24" s="32">
        <v>99999</v>
      </c>
      <c r="N24" s="31">
        <v>99999</v>
      </c>
      <c r="O24" s="32">
        <v>-11.156610068344202</v>
      </c>
      <c r="P24" s="31">
        <v>-41.818410212785992</v>
      </c>
      <c r="Q24" s="32">
        <v>-4.3913966699748572</v>
      </c>
      <c r="R24" s="31">
        <v>-19.170408299809676</v>
      </c>
      <c r="S24" s="32">
        <v>-1.7562082925928002</v>
      </c>
      <c r="T24" s="31">
        <v>-11.543588447163438</v>
      </c>
      <c r="U24" s="32">
        <v>-3.1579541277654992E-2</v>
      </c>
      <c r="V24" s="31">
        <v>-7.4118098374427728</v>
      </c>
      <c r="W24" s="32">
        <v>1.4248092633640694</v>
      </c>
      <c r="X24" s="31">
        <v>-4.5830496496150896</v>
      </c>
      <c r="Y24">
        <v>2.8755822200625865</v>
      </c>
      <c r="Z24" s="46">
        <v>-2.3073503784395384</v>
      </c>
    </row>
    <row r="25" spans="1:26">
      <c r="A25" s="45">
        <v>99999</v>
      </c>
      <c r="B25" s="31">
        <v>99999</v>
      </c>
      <c r="C25" s="32">
        <v>99999</v>
      </c>
      <c r="D25" s="31">
        <v>99999</v>
      </c>
      <c r="E25" s="32">
        <v>99999</v>
      </c>
      <c r="F25" s="31">
        <v>99999</v>
      </c>
      <c r="G25" s="32">
        <v>99999</v>
      </c>
      <c r="H25" s="31">
        <v>99999</v>
      </c>
      <c r="I25" s="32">
        <v>99999</v>
      </c>
      <c r="J25" s="31">
        <v>99999</v>
      </c>
      <c r="K25" s="32">
        <v>99999</v>
      </c>
      <c r="L25" s="31">
        <v>99999</v>
      </c>
      <c r="M25" s="32">
        <v>99999</v>
      </c>
      <c r="N25" s="31">
        <v>99999</v>
      </c>
      <c r="O25" s="32">
        <v>-23.688773518790335</v>
      </c>
      <c r="P25" s="31">
        <v>-32.812175365814923</v>
      </c>
      <c r="Q25" s="32">
        <v>-10.615910049137357</v>
      </c>
      <c r="R25" s="31">
        <v>-14.697163953570721</v>
      </c>
      <c r="S25" s="32">
        <v>-6.0933387515446915</v>
      </c>
      <c r="T25" s="31">
        <v>-8.4267111713662324</v>
      </c>
      <c r="U25" s="32">
        <v>-3.5432287311421984</v>
      </c>
      <c r="V25" s="31">
        <v>-4.88816438475203</v>
      </c>
      <c r="W25" s="32">
        <v>-1.7044992800374761</v>
      </c>
      <c r="X25" s="31">
        <v>-2.3341731677572253</v>
      </c>
      <c r="Y25">
        <v>-0.13125930715307502</v>
      </c>
      <c r="Z25" s="46">
        <v>-0.146484774602789</v>
      </c>
    </row>
    <row r="26" spans="1:26">
      <c r="A26" s="45">
        <v>99999</v>
      </c>
      <c r="B26" s="31">
        <v>99999</v>
      </c>
      <c r="C26" s="32">
        <v>99999</v>
      </c>
      <c r="D26" s="31">
        <v>99999</v>
      </c>
      <c r="E26" s="32">
        <v>99999</v>
      </c>
      <c r="F26" s="31">
        <v>99999</v>
      </c>
      <c r="G26" s="32">
        <v>99999</v>
      </c>
      <c r="H26" s="31">
        <v>99999</v>
      </c>
      <c r="I26" s="32">
        <v>99999</v>
      </c>
      <c r="J26" s="31">
        <v>99999</v>
      </c>
      <c r="K26" s="32">
        <v>99999</v>
      </c>
      <c r="L26" s="31">
        <v>99999</v>
      </c>
      <c r="M26" s="32">
        <v>99999</v>
      </c>
      <c r="N26" s="31">
        <v>99999</v>
      </c>
      <c r="O26" s="32">
        <v>-26.903325014255341</v>
      </c>
      <c r="P26" s="31">
        <v>-30.502039066498671</v>
      </c>
      <c r="Q26" s="32">
        <v>-12.212523345049684</v>
      </c>
      <c r="R26" s="31">
        <v>-13.549758371155423</v>
      </c>
      <c r="S26" s="32">
        <v>-7.2058305617559881</v>
      </c>
      <c r="T26" s="31">
        <v>-7.6272193240317518</v>
      </c>
      <c r="U26" s="32">
        <v>-4.4439811989394258</v>
      </c>
      <c r="V26" s="31">
        <v>-4.2408389412204333</v>
      </c>
      <c r="W26" s="32">
        <v>-2.5071797986677038</v>
      </c>
      <c r="X26" s="31">
        <v>-1.7573270959311393</v>
      </c>
      <c r="Y26">
        <v>-0.90252653217425283</v>
      </c>
      <c r="Z26" s="46">
        <v>0.40778614484209413</v>
      </c>
    </row>
    <row r="27" spans="1:26">
      <c r="A27" s="45">
        <v>99999</v>
      </c>
      <c r="B27" s="31">
        <v>99999</v>
      </c>
      <c r="C27" s="32">
        <v>99999</v>
      </c>
      <c r="D27" s="31">
        <v>99999</v>
      </c>
      <c r="E27" s="32">
        <v>99999</v>
      </c>
      <c r="F27" s="31">
        <v>99999</v>
      </c>
      <c r="G27" s="32">
        <v>99999</v>
      </c>
      <c r="H27" s="31">
        <v>99999</v>
      </c>
      <c r="I27" s="32">
        <v>99999</v>
      </c>
      <c r="J27" s="31">
        <v>99999</v>
      </c>
      <c r="K27" s="32">
        <v>99999</v>
      </c>
      <c r="L27" s="31">
        <v>99999</v>
      </c>
      <c r="M27" s="32">
        <v>99999</v>
      </c>
      <c r="N27" s="31">
        <v>99999</v>
      </c>
      <c r="O27" s="32">
        <v>-30.467908112884786</v>
      </c>
      <c r="P27" s="31">
        <v>-27.940352678929433</v>
      </c>
      <c r="Q27" s="32">
        <v>-13.982991411181207</v>
      </c>
      <c r="R27" s="31">
        <v>-12.277412119393482</v>
      </c>
      <c r="S27" s="32">
        <v>-8.4394612905333517</v>
      </c>
      <c r="T27" s="31">
        <v>-6.7406710355625794</v>
      </c>
      <c r="U27" s="32">
        <v>-5.4428163481938308</v>
      </c>
      <c r="V27" s="31">
        <v>-3.523026413226773</v>
      </c>
      <c r="W27" s="32">
        <v>-3.3972639719481603</v>
      </c>
      <c r="X27" s="31">
        <v>-1.1176684184942092</v>
      </c>
      <c r="Y27">
        <v>-1.7577768271892413</v>
      </c>
      <c r="Z27" s="46">
        <v>1.0224114679399983</v>
      </c>
    </row>
    <row r="28" spans="1:26">
      <c r="A28" s="45">
        <v>99999</v>
      </c>
      <c r="B28" s="31">
        <v>99999</v>
      </c>
      <c r="C28" s="32">
        <v>99999</v>
      </c>
      <c r="D28" s="31">
        <v>99999</v>
      </c>
      <c r="E28" s="32">
        <v>99999</v>
      </c>
      <c r="F28" s="31">
        <v>99999</v>
      </c>
      <c r="G28" s="32">
        <v>99999</v>
      </c>
      <c r="H28" s="31">
        <v>99999</v>
      </c>
      <c r="I28" s="32">
        <v>99999</v>
      </c>
      <c r="J28" s="31">
        <v>99999</v>
      </c>
      <c r="K28" s="32">
        <v>99999</v>
      </c>
      <c r="L28" s="31">
        <v>99999</v>
      </c>
      <c r="M28" s="32">
        <v>99999</v>
      </c>
      <c r="N28" s="31">
        <v>99999</v>
      </c>
      <c r="O28" s="32">
        <v>-33.521201459661427</v>
      </c>
      <c r="P28" s="31">
        <v>-25.746104491336105</v>
      </c>
      <c r="Q28" s="32">
        <v>-15.499510515218473</v>
      </c>
      <c r="R28" s="31">
        <v>-11.187566199741719</v>
      </c>
      <c r="S28" s="32">
        <v>-9.4961448892418225</v>
      </c>
      <c r="T28" s="31">
        <v>-5.9812857397561983</v>
      </c>
      <c r="U28" s="32">
        <v>-6.2983825199903967</v>
      </c>
      <c r="V28" s="31">
        <v>-2.9081740853911113</v>
      </c>
      <c r="W28" s="32">
        <v>-4.1596779791832121</v>
      </c>
      <c r="X28" s="31">
        <v>-0.56975986089119834</v>
      </c>
      <c r="Y28">
        <v>-2.490353390378937</v>
      </c>
      <c r="Z28" s="46">
        <v>1.5488773568953804</v>
      </c>
    </row>
    <row r="29" spans="1:26">
      <c r="A29" s="45">
        <v>99999</v>
      </c>
      <c r="B29" s="31">
        <v>99999</v>
      </c>
      <c r="C29" s="32">
        <v>99999</v>
      </c>
      <c r="D29" s="31">
        <v>99999</v>
      </c>
      <c r="E29" s="32">
        <v>99999</v>
      </c>
      <c r="F29" s="31">
        <v>99999</v>
      </c>
      <c r="G29" s="32">
        <v>99999</v>
      </c>
      <c r="H29" s="31">
        <v>99999</v>
      </c>
      <c r="I29" s="32">
        <v>99999</v>
      </c>
      <c r="J29" s="31">
        <v>99999</v>
      </c>
      <c r="K29" s="32">
        <v>99999</v>
      </c>
      <c r="L29" s="31">
        <v>99999</v>
      </c>
      <c r="M29" s="32">
        <v>99999</v>
      </c>
      <c r="N29" s="31">
        <v>99999</v>
      </c>
      <c r="O29" s="32">
        <v>-36.040392035988255</v>
      </c>
      <c r="P29" s="31">
        <v>-23.935689071493485</v>
      </c>
      <c r="Q29" s="32">
        <v>-16.750749817116358</v>
      </c>
      <c r="R29" s="31">
        <v>-10.288363516405242</v>
      </c>
      <c r="S29" s="32">
        <v>-10.367986229621303</v>
      </c>
      <c r="T29" s="31">
        <v>-5.3547372677542597</v>
      </c>
      <c r="U29" s="32">
        <v>-7.0042872571455437</v>
      </c>
      <c r="V29" s="31">
        <v>-2.4008758948155431</v>
      </c>
      <c r="W29" s="32">
        <v>-4.7887253598791277</v>
      </c>
      <c r="X29" s="31">
        <v>-0.11769518244833158</v>
      </c>
      <c r="Y29">
        <v>-3.0947826950095134</v>
      </c>
      <c r="Z29" s="46">
        <v>1.9832502636500036</v>
      </c>
    </row>
    <row r="30" spans="1:26">
      <c r="A30" s="45">
        <v>99999</v>
      </c>
      <c r="B30" s="31">
        <v>99999</v>
      </c>
      <c r="C30" s="32">
        <v>99999</v>
      </c>
      <c r="D30" s="31">
        <v>99999</v>
      </c>
      <c r="E30" s="32">
        <v>99999</v>
      </c>
      <c r="F30" s="31">
        <v>99999</v>
      </c>
      <c r="G30" s="32">
        <v>99999</v>
      </c>
      <c r="H30" s="31">
        <v>99999</v>
      </c>
      <c r="I30" s="32">
        <v>99999</v>
      </c>
      <c r="J30" s="31">
        <v>99999</v>
      </c>
      <c r="K30" s="32">
        <v>99999</v>
      </c>
      <c r="L30" s="31">
        <v>99999</v>
      </c>
      <c r="M30" s="32">
        <v>99999</v>
      </c>
      <c r="N30" s="31">
        <v>99999</v>
      </c>
      <c r="O30" s="32">
        <v>-38.29384008209604</v>
      </c>
      <c r="P30" s="31">
        <v>-22.316249427337524</v>
      </c>
      <c r="Q30" s="32">
        <v>-17.869999304063182</v>
      </c>
      <c r="R30" s="31">
        <v>-9.4840152670663773</v>
      </c>
      <c r="S30" s="32">
        <v>-11.147859409306953</v>
      </c>
      <c r="T30" s="31">
        <v>-4.794281682022735</v>
      </c>
      <c r="U30" s="32">
        <v>-7.6357280324599257</v>
      </c>
      <c r="V30" s="31">
        <v>-1.9470912041736157</v>
      </c>
      <c r="W30" s="32">
        <v>-5.3514162512547596</v>
      </c>
      <c r="X30" s="31">
        <v>0.28668242833043361</v>
      </c>
      <c r="Y30">
        <v>-3.6354524038951483</v>
      </c>
      <c r="Z30" s="46">
        <v>2.3718023593932265</v>
      </c>
    </row>
    <row r="31" spans="1:26" ht="15.75" thickBot="1">
      <c r="A31" s="47"/>
      <c r="B31" s="49"/>
      <c r="C31" s="51"/>
      <c r="D31" s="49"/>
      <c r="E31" s="51"/>
      <c r="F31" s="49"/>
      <c r="G31" s="51"/>
      <c r="H31" s="49"/>
      <c r="I31" s="51"/>
      <c r="J31" s="49"/>
      <c r="K31" s="51"/>
      <c r="L31" s="49"/>
      <c r="M31" s="51"/>
      <c r="N31" s="49"/>
      <c r="O31" s="51"/>
      <c r="P31" s="49"/>
      <c r="Q31" s="51"/>
      <c r="R31" s="49"/>
      <c r="S31" s="51"/>
      <c r="T31" s="49"/>
      <c r="U31" s="51"/>
      <c r="V31" s="49"/>
      <c r="W31" s="51"/>
      <c r="X31" s="49"/>
      <c r="Y31" s="4"/>
      <c r="Z31" s="2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D1CD-BD73-4B51-A6B3-C8DD326D620E}">
  <sheetPr codeName="Sheet16"/>
  <dimension ref="A1:Z30"/>
  <sheetViews>
    <sheetView workbookViewId="0">
      <selection activeCell="G1" sqref="G1"/>
    </sheetView>
  </sheetViews>
  <sheetFormatPr defaultRowHeight="15"/>
  <cols>
    <col min="2" max="2" width="12" customWidth="1"/>
    <col min="6" max="6" width="9.85546875" customWidth="1"/>
    <col min="10" max="10" width="10.28515625" customWidth="1"/>
    <col min="12" max="12" width="9.85546875" customWidth="1"/>
    <col min="14" max="14" width="10.140625" customWidth="1"/>
    <col min="16" max="16" width="10.85546875" customWidth="1"/>
    <col min="18" max="18" width="10.7109375" customWidth="1"/>
    <col min="20" max="20" width="10.7109375" customWidth="1"/>
    <col min="22" max="22" width="10.42578125" customWidth="1"/>
  </cols>
  <sheetData>
    <row r="1" spans="1:24" ht="30.75" customHeight="1">
      <c r="A1" s="135" t="s">
        <v>393</v>
      </c>
      <c r="B1" s="135" t="s">
        <v>394</v>
      </c>
      <c r="C1" s="135" t="s">
        <v>389</v>
      </c>
      <c r="D1" s="135" t="s">
        <v>395</v>
      </c>
      <c r="E1" s="135" t="s">
        <v>396</v>
      </c>
      <c r="F1" s="173"/>
      <c r="G1" s="177" t="s">
        <v>504</v>
      </c>
      <c r="H1" s="59"/>
      <c r="I1" s="26"/>
      <c r="J1" s="59"/>
      <c r="K1" s="174" t="s">
        <v>407</v>
      </c>
      <c r="L1" s="174" t="s">
        <v>408</v>
      </c>
      <c r="M1" s="174" t="s">
        <v>405</v>
      </c>
      <c r="N1" s="174" t="s">
        <v>478</v>
      </c>
      <c r="O1" s="171" t="s">
        <v>479</v>
      </c>
      <c r="P1" s="171" t="s">
        <v>480</v>
      </c>
      <c r="Q1" s="174" t="s">
        <v>481</v>
      </c>
      <c r="R1" s="174" t="s">
        <v>482</v>
      </c>
    </row>
    <row r="2" spans="1:24">
      <c r="A2" t="str">
        <f>Enter!B2</f>
        <v>Tehran</v>
      </c>
      <c r="B2">
        <v>51.3797</v>
      </c>
      <c r="C2">
        <v>35.7029</v>
      </c>
      <c r="D2">
        <v>1210</v>
      </c>
      <c r="E2">
        <v>3.5</v>
      </c>
      <c r="K2">
        <v>45</v>
      </c>
      <c r="L2">
        <v>45</v>
      </c>
      <c r="M2">
        <v>10</v>
      </c>
      <c r="N2">
        <v>1508.7470177558887</v>
      </c>
      <c r="O2">
        <v>0.37976014768163036</v>
      </c>
      <c r="P2">
        <v>54.95486868664814</v>
      </c>
      <c r="Q2">
        <v>866.33594001183428</v>
      </c>
      <c r="R2">
        <v>-1235.1840359359812</v>
      </c>
    </row>
    <row r="5" spans="1:24">
      <c r="B5" s="117">
        <v>44733</v>
      </c>
      <c r="D5" s="117">
        <v>44655</v>
      </c>
      <c r="F5" s="117">
        <v>44671</v>
      </c>
      <c r="H5" s="117">
        <v>44686</v>
      </c>
      <c r="J5" s="117">
        <v>44702</v>
      </c>
      <c r="L5" s="117">
        <v>44827</v>
      </c>
      <c r="N5" s="117">
        <v>44841</v>
      </c>
      <c r="P5" s="117">
        <v>44857</v>
      </c>
      <c r="R5" s="117">
        <v>44872</v>
      </c>
      <c r="T5" s="117">
        <v>44887</v>
      </c>
      <c r="V5" s="117">
        <v>44916</v>
      </c>
      <c r="X5" s="117"/>
    </row>
    <row r="6" spans="1:24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  <c r="K6">
        <v>99999</v>
      </c>
      <c r="L6">
        <v>99999</v>
      </c>
      <c r="M6">
        <v>99999</v>
      </c>
      <c r="N6">
        <v>99999</v>
      </c>
      <c r="O6">
        <v>99999</v>
      </c>
      <c r="P6">
        <v>99999</v>
      </c>
      <c r="Q6">
        <v>99999</v>
      </c>
      <c r="R6">
        <v>99999</v>
      </c>
      <c r="S6">
        <v>99999</v>
      </c>
      <c r="T6">
        <v>99999</v>
      </c>
      <c r="U6">
        <v>99999</v>
      </c>
      <c r="V6">
        <v>99999</v>
      </c>
    </row>
    <row r="7" spans="1:24">
      <c r="A7">
        <v>99999</v>
      </c>
      <c r="B7">
        <v>99999</v>
      </c>
      <c r="C7">
        <v>99999</v>
      </c>
      <c r="D7">
        <v>99999</v>
      </c>
      <c r="E7">
        <v>99999</v>
      </c>
      <c r="F7">
        <v>99999</v>
      </c>
      <c r="G7">
        <v>99999</v>
      </c>
      <c r="H7">
        <v>99999</v>
      </c>
      <c r="I7">
        <v>99999</v>
      </c>
      <c r="J7">
        <v>99999</v>
      </c>
      <c r="K7">
        <v>99999</v>
      </c>
      <c r="L7">
        <v>99999</v>
      </c>
      <c r="M7">
        <v>99999</v>
      </c>
      <c r="N7">
        <v>99999</v>
      </c>
      <c r="O7">
        <v>99999</v>
      </c>
      <c r="P7">
        <v>99999</v>
      </c>
      <c r="Q7">
        <v>99999</v>
      </c>
      <c r="R7">
        <v>99999</v>
      </c>
      <c r="S7">
        <v>99999</v>
      </c>
      <c r="T7">
        <v>99999</v>
      </c>
      <c r="U7">
        <v>99999</v>
      </c>
      <c r="V7">
        <v>99999</v>
      </c>
    </row>
    <row r="8" spans="1:24">
      <c r="A8">
        <v>99999</v>
      </c>
      <c r="B8">
        <v>99999</v>
      </c>
      <c r="C8">
        <v>99999</v>
      </c>
      <c r="D8">
        <v>99999</v>
      </c>
      <c r="E8">
        <v>99999</v>
      </c>
      <c r="F8">
        <v>99999</v>
      </c>
      <c r="G8">
        <v>99999</v>
      </c>
      <c r="H8">
        <v>99999</v>
      </c>
      <c r="I8">
        <v>99999</v>
      </c>
      <c r="J8">
        <v>99999</v>
      </c>
      <c r="K8">
        <v>99999</v>
      </c>
      <c r="L8">
        <v>99999</v>
      </c>
      <c r="M8">
        <v>99999</v>
      </c>
      <c r="N8">
        <v>99999</v>
      </c>
      <c r="O8">
        <v>99999</v>
      </c>
      <c r="P8">
        <v>99999</v>
      </c>
      <c r="Q8">
        <v>99999</v>
      </c>
      <c r="R8">
        <v>99999</v>
      </c>
      <c r="S8">
        <v>99999</v>
      </c>
      <c r="T8">
        <v>99999</v>
      </c>
      <c r="U8">
        <v>99999</v>
      </c>
      <c r="V8">
        <v>99999</v>
      </c>
    </row>
    <row r="9" spans="1:24">
      <c r="A9">
        <v>-22.525537331016089</v>
      </c>
      <c r="B9">
        <v>-37.532496144738559</v>
      </c>
      <c r="C9">
        <v>-30.682781814876435</v>
      </c>
      <c r="D9">
        <v>-26.541428733701842</v>
      </c>
      <c r="E9">
        <v>-28.118470135446945</v>
      </c>
      <c r="F9">
        <v>-29.9965810939484</v>
      </c>
      <c r="G9">
        <v>-25.96915914915315</v>
      </c>
      <c r="H9">
        <v>-32.892561713920877</v>
      </c>
      <c r="I9">
        <v>-24.116051828931482</v>
      </c>
      <c r="J9">
        <v>-35.389437652448976</v>
      </c>
      <c r="K9">
        <v>-33.225506558400376</v>
      </c>
      <c r="L9">
        <v>-23.115362600821022</v>
      </c>
      <c r="M9">
        <v>-35.592233541454782</v>
      </c>
      <c r="N9">
        <v>-19.926435768268853</v>
      </c>
      <c r="O9">
        <v>-38.231276917125243</v>
      </c>
      <c r="P9">
        <v>-16.370589955380186</v>
      </c>
      <c r="Q9">
        <v>-40.504096951673219</v>
      </c>
      <c r="R9">
        <v>-13.308193301424589</v>
      </c>
      <c r="S9">
        <v>-42.387957041389519</v>
      </c>
      <c r="T9">
        <v>-10.769881095629977</v>
      </c>
      <c r="U9">
        <v>-44.079738318726676</v>
      </c>
      <c r="V9">
        <v>-8.4903757920028848</v>
      </c>
    </row>
    <row r="10" spans="1:24">
      <c r="A10">
        <v>-9.6701725173156916</v>
      </c>
      <c r="B10">
        <v>-17.601024525720838</v>
      </c>
      <c r="C10">
        <v>-13.668599574200822</v>
      </c>
      <c r="D10">
        <v>-12.043509815269024</v>
      </c>
      <c r="E10">
        <v>-12.415598780957202</v>
      </c>
      <c r="F10">
        <v>-13.785087250992961</v>
      </c>
      <c r="G10">
        <v>-11.362598736528424</v>
      </c>
      <c r="H10">
        <v>-15.248678596730365</v>
      </c>
      <c r="I10">
        <v>-10.452672464086447</v>
      </c>
      <c r="J10">
        <v>-16.513408094750108</v>
      </c>
      <c r="K10">
        <v>-14.907501875982252</v>
      </c>
      <c r="L10">
        <v>-10.32152822875819</v>
      </c>
      <c r="M10">
        <v>-16.057488475198703</v>
      </c>
      <c r="N10">
        <v>-8.7231328220037447</v>
      </c>
      <c r="O10">
        <v>-17.336211267634901</v>
      </c>
      <c r="P10">
        <v>-6.9458037302257525</v>
      </c>
      <c r="Q10">
        <v>-18.434469629600962</v>
      </c>
      <c r="R10">
        <v>-5.419306706354087</v>
      </c>
      <c r="S10">
        <v>-19.34267067664624</v>
      </c>
      <c r="T10">
        <v>-4.1569751426681707</v>
      </c>
      <c r="U10">
        <v>-20.156649384700852</v>
      </c>
      <c r="V10">
        <v>-3.02560558667779</v>
      </c>
    </row>
    <row r="11" spans="1:24">
      <c r="A11">
        <v>-4.9401964781540828</v>
      </c>
      <c r="B11">
        <v>-10.992152499372246</v>
      </c>
      <c r="C11">
        <v>-7.712316615044867</v>
      </c>
      <c r="D11">
        <v>-7.0971680858609094</v>
      </c>
      <c r="E11">
        <v>-6.8444291855429098</v>
      </c>
      <c r="F11">
        <v>-8.3165986457442251</v>
      </c>
      <c r="G11">
        <v>-6.1144922665312897</v>
      </c>
      <c r="H11">
        <v>-9.3422009941278574</v>
      </c>
      <c r="I11">
        <v>-5.4833070295938979</v>
      </c>
      <c r="J11">
        <v>-10.229051685478852</v>
      </c>
      <c r="K11">
        <v>-8.5697029684236448</v>
      </c>
      <c r="L11">
        <v>-5.8924921274396951</v>
      </c>
      <c r="M11">
        <v>-9.3649009880016276</v>
      </c>
      <c r="N11">
        <v>-4.7751942691350209</v>
      </c>
      <c r="O11">
        <v>-10.248379774875522</v>
      </c>
      <c r="P11">
        <v>-3.533856976877082</v>
      </c>
      <c r="Q11">
        <v>-11.006554517170333</v>
      </c>
      <c r="R11">
        <v>-2.4685789015666622</v>
      </c>
      <c r="S11">
        <v>-11.633092354965756</v>
      </c>
      <c r="T11">
        <v>-1.5882580669056612</v>
      </c>
      <c r="U11">
        <v>-12.194297157840348</v>
      </c>
      <c r="V11">
        <v>-0.79973381397197463</v>
      </c>
    </row>
    <row r="12" spans="1:24">
      <c r="A12">
        <v>-2.0662305943907251</v>
      </c>
      <c r="B12">
        <v>-7.5331642225724309</v>
      </c>
      <c r="C12">
        <v>-4.303728878942163</v>
      </c>
      <c r="D12">
        <v>-4.3700368002062921</v>
      </c>
      <c r="E12">
        <v>-3.6035096344157993</v>
      </c>
      <c r="F12">
        <v>-5.3599292659669411</v>
      </c>
      <c r="G12">
        <v>-3.0143852577253476</v>
      </c>
      <c r="H12">
        <v>-6.1927681038601747</v>
      </c>
      <c r="I12">
        <v>-2.504811372210646</v>
      </c>
      <c r="J12">
        <v>-6.913147262191619</v>
      </c>
      <c r="K12">
        <v>-4.995216125799459</v>
      </c>
      <c r="L12">
        <v>-3.392488666269168</v>
      </c>
      <c r="M12">
        <v>-5.636317575149854</v>
      </c>
      <c r="N12">
        <v>-2.4861703960116079</v>
      </c>
      <c r="O12">
        <v>-6.3483323746770068</v>
      </c>
      <c r="P12">
        <v>-1.4796026801546214</v>
      </c>
      <c r="Q12">
        <v>-6.9591438057343238</v>
      </c>
      <c r="R12">
        <v>-0.61610508517906482</v>
      </c>
      <c r="S12">
        <v>-7.4637521014058406</v>
      </c>
      <c r="T12">
        <v>9.7254271836935413E-2</v>
      </c>
      <c r="U12">
        <v>-7.9156250216270916</v>
      </c>
      <c r="V12">
        <v>0.73606219193465061</v>
      </c>
    </row>
    <row r="13" spans="1:24">
      <c r="A13">
        <v>0.18622841050930042</v>
      </c>
      <c r="B13">
        <v>-5.2840881352476696</v>
      </c>
      <c r="C13">
        <v>-1.8026446293078686</v>
      </c>
      <c r="D13">
        <v>-2.459963373569829</v>
      </c>
      <c r="E13">
        <v>-1.1803515925919441</v>
      </c>
      <c r="F13">
        <v>-3.3435960332848476</v>
      </c>
      <c r="G13">
        <v>-0.65670548863421518</v>
      </c>
      <c r="H13">
        <v>-4.0871537662003163</v>
      </c>
      <c r="I13">
        <v>-0.2037060251581877</v>
      </c>
      <c r="J13">
        <v>-4.7303959320989648</v>
      </c>
      <c r="K13">
        <v>-2.4170705641825867</v>
      </c>
      <c r="L13">
        <v>-1.587501701981048</v>
      </c>
      <c r="M13">
        <v>-2.9866309858220408</v>
      </c>
      <c r="N13">
        <v>-0.77874736833513558</v>
      </c>
      <c r="O13">
        <v>-3.6190845396643141</v>
      </c>
      <c r="P13">
        <v>0.11931284277884606</v>
      </c>
      <c r="Q13">
        <v>-4.1615536263184429</v>
      </c>
      <c r="R13">
        <v>0.8895985017395196</v>
      </c>
      <c r="S13">
        <v>-4.6096399664691683</v>
      </c>
      <c r="T13">
        <v>1.5258642176776227</v>
      </c>
      <c r="U13">
        <v>-5.0108499598936147</v>
      </c>
      <c r="V13">
        <v>2.0955672878981049</v>
      </c>
    </row>
    <row r="14" spans="1:24">
      <c r="A14">
        <v>2.2849575177003336</v>
      </c>
      <c r="B14">
        <v>-3.597599980257685</v>
      </c>
      <c r="C14">
        <v>0.37850537294779124</v>
      </c>
      <c r="D14">
        <v>-0.88021333311980188</v>
      </c>
      <c r="E14">
        <v>0.97497323422363491</v>
      </c>
      <c r="F14">
        <v>-1.730396646736758</v>
      </c>
      <c r="G14">
        <v>1.4769139272412943</v>
      </c>
      <c r="H14">
        <v>-2.4458444174115188</v>
      </c>
      <c r="I14">
        <v>1.9111554285370898</v>
      </c>
      <c r="J14">
        <v>-3.0647962544677108</v>
      </c>
      <c r="K14">
        <v>-0.21038905811818745</v>
      </c>
      <c r="L14">
        <v>-4.0824907893809999E-2</v>
      </c>
      <c r="M14">
        <v>-0.75625317390965463</v>
      </c>
      <c r="N14">
        <v>0.73722969131880001</v>
      </c>
      <c r="O14">
        <v>-1.3623609584989775</v>
      </c>
      <c r="P14">
        <v>1.6011533964601821</v>
      </c>
      <c r="Q14">
        <v>-1.8822051930843353</v>
      </c>
      <c r="R14">
        <v>2.3421202156599485</v>
      </c>
      <c r="S14">
        <v>-2.3115839579456354</v>
      </c>
      <c r="T14">
        <v>2.9541408873616781</v>
      </c>
      <c r="U14">
        <v>-2.6960287517202266</v>
      </c>
      <c r="V14">
        <v>3.5021143321922863</v>
      </c>
    </row>
    <row r="15" spans="1:24">
      <c r="A15">
        <v>4.5356269459271052</v>
      </c>
      <c r="B15">
        <v>-2.1763373795319358</v>
      </c>
      <c r="C15">
        <v>2.5773703222154838</v>
      </c>
      <c r="D15">
        <v>0.62540851934769659</v>
      </c>
      <c r="E15">
        <v>3.1900738176771104</v>
      </c>
      <c r="F15">
        <v>-0.2512076936924304</v>
      </c>
      <c r="G15">
        <v>3.7056576251942923</v>
      </c>
      <c r="H15">
        <v>-0.98887138942505748</v>
      </c>
      <c r="I15">
        <v>4.1516877313374367</v>
      </c>
      <c r="J15">
        <v>-1.6270221841328658</v>
      </c>
      <c r="K15">
        <v>1.9724216804062131</v>
      </c>
      <c r="L15">
        <v>1.4909295933984723</v>
      </c>
      <c r="M15">
        <v>1.411654490509803</v>
      </c>
      <c r="N15">
        <v>2.2932387266828811</v>
      </c>
      <c r="O15">
        <v>0.78897413973038755</v>
      </c>
      <c r="P15">
        <v>3.1841291738207591</v>
      </c>
      <c r="Q15">
        <v>0.25489527560980257</v>
      </c>
      <c r="R15">
        <v>3.9482543906638909</v>
      </c>
      <c r="S15">
        <v>-0.18625538717968451</v>
      </c>
      <c r="T15">
        <v>4.5794239959609815</v>
      </c>
      <c r="U15">
        <v>-0.58125124773046843</v>
      </c>
      <c r="V15">
        <v>5.1445583195079259</v>
      </c>
    </row>
    <row r="16" spans="1:24">
      <c r="A16">
        <v>7.2964901283221275</v>
      </c>
      <c r="B16">
        <v>-0.82902851405962719</v>
      </c>
      <c r="C16">
        <v>5.1325311170824106</v>
      </c>
      <c r="D16">
        <v>2.2803672671722377</v>
      </c>
      <c r="E16">
        <v>5.8097097417695878</v>
      </c>
      <c r="F16">
        <v>1.3073283381509289</v>
      </c>
      <c r="G16">
        <v>6.3794678980491604</v>
      </c>
      <c r="H16">
        <v>0.48864203297770431</v>
      </c>
      <c r="I16">
        <v>6.872304503083174</v>
      </c>
      <c r="J16">
        <v>-0.21951558579876179</v>
      </c>
      <c r="K16">
        <v>4.4638210299886829</v>
      </c>
      <c r="L16">
        <v>3.2412377424800045</v>
      </c>
      <c r="M16">
        <v>3.8438582487585671</v>
      </c>
      <c r="N16">
        <v>4.1320631446549392</v>
      </c>
      <c r="O16">
        <v>3.1553441920247427</v>
      </c>
      <c r="P16">
        <v>5.1213899721074165</v>
      </c>
      <c r="Q16">
        <v>2.5647132222164952</v>
      </c>
      <c r="R16">
        <v>5.9700684527291585</v>
      </c>
      <c r="S16">
        <v>2.0767905215646785</v>
      </c>
      <c r="T16">
        <v>6.6711652753093871</v>
      </c>
      <c r="U16">
        <v>1.639870141426558</v>
      </c>
      <c r="V16">
        <v>7.298976790998581</v>
      </c>
    </row>
    <row r="17" spans="1:26">
      <c r="A17">
        <v>11.243552220619888</v>
      </c>
      <c r="B17">
        <v>0.64971851212447351</v>
      </c>
      <c r="C17">
        <v>8.6272587255946025</v>
      </c>
      <c r="D17">
        <v>4.4309518137647634</v>
      </c>
      <c r="E17">
        <v>9.4462919580651654</v>
      </c>
      <c r="F17">
        <v>3.2472330376960787</v>
      </c>
      <c r="G17">
        <v>10.135188339361722</v>
      </c>
      <c r="H17">
        <v>2.2515962930835056</v>
      </c>
      <c r="I17">
        <v>10.73092090828743</v>
      </c>
      <c r="J17">
        <v>1.3906057991741707</v>
      </c>
      <c r="K17">
        <v>7.8181967004866832</v>
      </c>
      <c r="L17">
        <v>5.6002595685130627</v>
      </c>
      <c r="M17">
        <v>7.0678723321873065</v>
      </c>
      <c r="N17">
        <v>6.6846759361111507</v>
      </c>
      <c r="O17">
        <v>6.2343103423118578</v>
      </c>
      <c r="P17">
        <v>7.8893925938912197</v>
      </c>
      <c r="Q17">
        <v>5.5190242012988016</v>
      </c>
      <c r="R17">
        <v>8.9231694930591008</v>
      </c>
      <c r="S17">
        <v>4.9279644045717284</v>
      </c>
      <c r="T17">
        <v>9.7774066002088666</v>
      </c>
      <c r="U17">
        <v>4.398565709339076</v>
      </c>
      <c r="V17">
        <v>10.542527172524197</v>
      </c>
    </row>
    <row r="18" spans="1:26">
      <c r="A18">
        <v>18.237681299309138</v>
      </c>
      <c r="B18">
        <v>2.6837049384093521</v>
      </c>
      <c r="C18">
        <v>14.620109995135145</v>
      </c>
      <c r="D18">
        <v>7.9638417288655994</v>
      </c>
      <c r="E18">
        <v>15.753529109915943</v>
      </c>
      <c r="F18">
        <v>6.3095252099194923</v>
      </c>
      <c r="G18">
        <v>16.706198258055554</v>
      </c>
      <c r="H18">
        <v>4.9190278305255726</v>
      </c>
      <c r="I18">
        <v>17.529546113434268</v>
      </c>
      <c r="J18">
        <v>3.717285297486264</v>
      </c>
      <c r="K18">
        <v>13.499651636869945</v>
      </c>
      <c r="L18">
        <v>9.5992409794136524</v>
      </c>
      <c r="M18">
        <v>12.459793126924531</v>
      </c>
      <c r="N18">
        <v>11.116998257313517</v>
      </c>
      <c r="O18">
        <v>11.303735701200853</v>
      </c>
      <c r="P18">
        <v>12.804357215076339</v>
      </c>
      <c r="Q18">
        <v>10.311006656706502</v>
      </c>
      <c r="R18">
        <v>14.253325240873409</v>
      </c>
      <c r="S18">
        <v>9.4901952336576922</v>
      </c>
      <c r="T18">
        <v>15.451365646563865</v>
      </c>
      <c r="U18">
        <v>8.7546340390897903</v>
      </c>
      <c r="V18">
        <v>16.524976475074332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99999</v>
      </c>
      <c r="B20">
        <v>99999</v>
      </c>
      <c r="C20">
        <v>99999</v>
      </c>
      <c r="D20">
        <v>99999</v>
      </c>
      <c r="E20">
        <v>99999</v>
      </c>
      <c r="F20">
        <v>99999</v>
      </c>
      <c r="G20">
        <v>-22.525537331016089</v>
      </c>
      <c r="H20">
        <v>-37.532496144738559</v>
      </c>
      <c r="I20">
        <v>-9.6701725173156916</v>
      </c>
      <c r="J20">
        <v>-17.601024525720838</v>
      </c>
      <c r="K20">
        <v>-4.9401964781540828</v>
      </c>
      <c r="L20">
        <v>-10.992152499372246</v>
      </c>
      <c r="M20">
        <v>-2.0662305943907251</v>
      </c>
      <c r="N20">
        <v>-7.5331642225724309</v>
      </c>
      <c r="O20">
        <v>0.18622841050930042</v>
      </c>
      <c r="P20">
        <v>-5.2840881352476696</v>
      </c>
      <c r="Q20">
        <v>2.2849575177003336</v>
      </c>
      <c r="R20">
        <v>-3.597599980257685</v>
      </c>
      <c r="S20">
        <v>4.5356269459271052</v>
      </c>
      <c r="T20">
        <v>-2.1763373795319358</v>
      </c>
      <c r="U20">
        <v>7.2964901283221275</v>
      </c>
      <c r="V20">
        <v>-0.82902851405962719</v>
      </c>
      <c r="W20">
        <v>11.243552220619888</v>
      </c>
      <c r="X20">
        <v>0.64971851212447351</v>
      </c>
      <c r="Y20">
        <v>18.237681299309138</v>
      </c>
      <c r="Z20">
        <v>2.6837049384093521</v>
      </c>
    </row>
    <row r="21" spans="1:26">
      <c r="A21">
        <v>99999</v>
      </c>
      <c r="B21">
        <v>99999</v>
      </c>
      <c r="C21">
        <v>99999</v>
      </c>
      <c r="D21">
        <v>99999</v>
      </c>
      <c r="E21">
        <v>99999</v>
      </c>
      <c r="F21">
        <v>99999</v>
      </c>
      <c r="G21">
        <v>-30.682781814876435</v>
      </c>
      <c r="H21">
        <v>-26.541428733701842</v>
      </c>
      <c r="I21">
        <v>-13.668599574200822</v>
      </c>
      <c r="J21">
        <v>-12.043509815269024</v>
      </c>
      <c r="K21">
        <v>-7.712316615044867</v>
      </c>
      <c r="L21">
        <v>-7.0971680858609094</v>
      </c>
      <c r="M21">
        <v>-4.303728878942163</v>
      </c>
      <c r="N21">
        <v>-4.3700368002062921</v>
      </c>
      <c r="O21">
        <v>-1.8026446293078686</v>
      </c>
      <c r="P21">
        <v>-2.459963373569829</v>
      </c>
      <c r="Q21">
        <v>0.37850537294779124</v>
      </c>
      <c r="R21">
        <v>-0.88021333311980188</v>
      </c>
      <c r="S21">
        <v>2.5773703222154838</v>
      </c>
      <c r="T21">
        <v>0.62540851934769659</v>
      </c>
      <c r="U21">
        <v>5.1325311170824106</v>
      </c>
      <c r="V21">
        <v>2.2803672671722377</v>
      </c>
      <c r="W21">
        <v>8.6272587255946025</v>
      </c>
      <c r="X21">
        <v>4.4309518137647634</v>
      </c>
      <c r="Y21">
        <v>14.620109995135145</v>
      </c>
      <c r="Z21">
        <v>7.9638417288655994</v>
      </c>
    </row>
    <row r="22" spans="1:26">
      <c r="A22">
        <v>99999</v>
      </c>
      <c r="B22">
        <v>99999</v>
      </c>
      <c r="C22">
        <v>99999</v>
      </c>
      <c r="D22">
        <v>99999</v>
      </c>
      <c r="E22">
        <v>99999</v>
      </c>
      <c r="F22">
        <v>99999</v>
      </c>
      <c r="G22">
        <v>-28.118470135446945</v>
      </c>
      <c r="H22">
        <v>-29.9965810939484</v>
      </c>
      <c r="I22">
        <v>-12.415598780957202</v>
      </c>
      <c r="J22">
        <v>-13.785087250992961</v>
      </c>
      <c r="K22">
        <v>-6.8444291855429098</v>
      </c>
      <c r="L22">
        <v>-8.3165986457442251</v>
      </c>
      <c r="M22">
        <v>-3.6035096344157993</v>
      </c>
      <c r="N22">
        <v>-5.3599292659669411</v>
      </c>
      <c r="O22">
        <v>-1.1803515925919441</v>
      </c>
      <c r="P22">
        <v>-3.3435960332848476</v>
      </c>
      <c r="Q22">
        <v>0.97497323422363491</v>
      </c>
      <c r="R22">
        <v>-1.730396646736758</v>
      </c>
      <c r="S22">
        <v>3.1900738176771104</v>
      </c>
      <c r="T22">
        <v>-0.2512076936924304</v>
      </c>
      <c r="U22">
        <v>5.8097097417695878</v>
      </c>
      <c r="V22">
        <v>1.3073283381509289</v>
      </c>
      <c r="W22">
        <v>9.4462919580651654</v>
      </c>
      <c r="X22">
        <v>3.2472330376960787</v>
      </c>
      <c r="Y22">
        <v>15.753529109915943</v>
      </c>
      <c r="Z22">
        <v>6.3095252099194923</v>
      </c>
    </row>
    <row r="23" spans="1:26">
      <c r="A23">
        <v>99999</v>
      </c>
      <c r="B23">
        <v>99999</v>
      </c>
      <c r="C23">
        <v>99999</v>
      </c>
      <c r="D23">
        <v>99999</v>
      </c>
      <c r="E23">
        <v>99999</v>
      </c>
      <c r="F23">
        <v>99999</v>
      </c>
      <c r="G23">
        <v>-25.96915914915315</v>
      </c>
      <c r="H23">
        <v>-32.892561713920877</v>
      </c>
      <c r="I23">
        <v>-11.362598736528424</v>
      </c>
      <c r="J23">
        <v>-15.248678596730365</v>
      </c>
      <c r="K23">
        <v>-6.1144922665312897</v>
      </c>
      <c r="L23">
        <v>-9.3422009941278574</v>
      </c>
      <c r="M23">
        <v>-3.0143852577253476</v>
      </c>
      <c r="N23">
        <v>-6.1927681038601747</v>
      </c>
      <c r="O23">
        <v>-0.65670548863421518</v>
      </c>
      <c r="P23">
        <v>-4.0871537662003163</v>
      </c>
      <c r="Q23">
        <v>1.4769139272412943</v>
      </c>
      <c r="R23">
        <v>-2.4458444174115188</v>
      </c>
      <c r="S23">
        <v>3.7056576251942923</v>
      </c>
      <c r="T23">
        <v>-0.98887138942505748</v>
      </c>
      <c r="U23">
        <v>6.3794678980491604</v>
      </c>
      <c r="V23">
        <v>0.48864203297770431</v>
      </c>
      <c r="W23">
        <v>10.135188339361722</v>
      </c>
      <c r="X23">
        <v>2.2515962930835056</v>
      </c>
      <c r="Y23">
        <v>16.706198258055554</v>
      </c>
      <c r="Z23">
        <v>4.9190278305255726</v>
      </c>
    </row>
    <row r="24" spans="1:26">
      <c r="A24">
        <v>99999</v>
      </c>
      <c r="B24">
        <v>99999</v>
      </c>
      <c r="C24">
        <v>99999</v>
      </c>
      <c r="D24">
        <v>99999</v>
      </c>
      <c r="E24">
        <v>99999</v>
      </c>
      <c r="F24">
        <v>99999</v>
      </c>
      <c r="G24">
        <v>-24.116051828931482</v>
      </c>
      <c r="H24">
        <v>-35.389437652448976</v>
      </c>
      <c r="I24">
        <v>-10.452672464086447</v>
      </c>
      <c r="J24">
        <v>-16.513408094750108</v>
      </c>
      <c r="K24">
        <v>-5.4833070295938979</v>
      </c>
      <c r="L24">
        <v>-10.229051685478852</v>
      </c>
      <c r="M24">
        <v>-2.504811372210646</v>
      </c>
      <c r="N24">
        <v>-6.913147262191619</v>
      </c>
      <c r="O24">
        <v>-0.2037060251581877</v>
      </c>
      <c r="P24">
        <v>-4.7303959320989648</v>
      </c>
      <c r="Q24">
        <v>1.9111554285370898</v>
      </c>
      <c r="R24">
        <v>-3.0647962544677108</v>
      </c>
      <c r="S24">
        <v>4.1516877313374367</v>
      </c>
      <c r="T24">
        <v>-1.6270221841328658</v>
      </c>
      <c r="U24">
        <v>6.872304503083174</v>
      </c>
      <c r="V24">
        <v>-0.21951558579876179</v>
      </c>
      <c r="W24">
        <v>10.73092090828743</v>
      </c>
      <c r="X24">
        <v>1.3906057991741707</v>
      </c>
      <c r="Y24">
        <v>17.529546113434268</v>
      </c>
      <c r="Z24">
        <v>3.717285297486264</v>
      </c>
    </row>
    <row r="25" spans="1:26">
      <c r="A25">
        <v>99999</v>
      </c>
      <c r="B25">
        <v>99999</v>
      </c>
      <c r="C25">
        <v>99999</v>
      </c>
      <c r="D25">
        <v>99999</v>
      </c>
      <c r="E25">
        <v>99999</v>
      </c>
      <c r="F25">
        <v>99999</v>
      </c>
      <c r="G25">
        <v>-33.225506558400376</v>
      </c>
      <c r="H25">
        <v>-23.115362600821022</v>
      </c>
      <c r="I25">
        <v>-14.907501875982252</v>
      </c>
      <c r="J25">
        <v>-10.32152822875819</v>
      </c>
      <c r="K25">
        <v>-8.5697029684236448</v>
      </c>
      <c r="L25">
        <v>-5.8924921274396951</v>
      </c>
      <c r="M25">
        <v>-4.995216125799459</v>
      </c>
      <c r="N25">
        <v>-3.392488666269168</v>
      </c>
      <c r="O25">
        <v>-2.4170705641825867</v>
      </c>
      <c r="P25">
        <v>-1.587501701981048</v>
      </c>
      <c r="Q25">
        <v>-0.21038905811818745</v>
      </c>
      <c r="R25">
        <v>-4.0824907893809999E-2</v>
      </c>
      <c r="S25">
        <v>1.9724216804062131</v>
      </c>
      <c r="T25">
        <v>1.4909295933984723</v>
      </c>
      <c r="U25">
        <v>4.4638210299886829</v>
      </c>
      <c r="V25">
        <v>3.2412377424800045</v>
      </c>
      <c r="W25">
        <v>7.8181967004866832</v>
      </c>
      <c r="X25">
        <v>5.6002595685130627</v>
      </c>
      <c r="Y25">
        <v>13.499651636869945</v>
      </c>
      <c r="Z25">
        <v>9.5992409794136524</v>
      </c>
    </row>
    <row r="26" spans="1:26">
      <c r="A26">
        <v>99999</v>
      </c>
      <c r="B26">
        <v>99999</v>
      </c>
      <c r="C26">
        <v>99999</v>
      </c>
      <c r="D26">
        <v>99999</v>
      </c>
      <c r="E26">
        <v>99999</v>
      </c>
      <c r="F26">
        <v>99999</v>
      </c>
      <c r="G26">
        <v>-35.592233541454782</v>
      </c>
      <c r="H26">
        <v>-19.926435768268853</v>
      </c>
      <c r="I26">
        <v>-16.057488475198703</v>
      </c>
      <c r="J26">
        <v>-8.7231328220037447</v>
      </c>
      <c r="K26">
        <v>-9.3649009880016276</v>
      </c>
      <c r="L26">
        <v>-4.7751942691350209</v>
      </c>
      <c r="M26">
        <v>-5.636317575149854</v>
      </c>
      <c r="N26">
        <v>-2.4861703960116079</v>
      </c>
      <c r="O26">
        <v>-2.9866309858220408</v>
      </c>
      <c r="P26">
        <v>-0.77874736833513558</v>
      </c>
      <c r="Q26">
        <v>-0.75625317390965463</v>
      </c>
      <c r="R26">
        <v>0.73722969131880001</v>
      </c>
      <c r="S26">
        <v>1.411654490509803</v>
      </c>
      <c r="T26">
        <v>2.2932387266828811</v>
      </c>
      <c r="U26">
        <v>3.8438582487585671</v>
      </c>
      <c r="V26">
        <v>4.1320631446549392</v>
      </c>
      <c r="W26">
        <v>7.0678723321873065</v>
      </c>
      <c r="X26">
        <v>6.6846759361111507</v>
      </c>
      <c r="Y26">
        <v>12.459793126924531</v>
      </c>
      <c r="Z26">
        <v>11.116998257313517</v>
      </c>
    </row>
    <row r="27" spans="1:26">
      <c r="A27">
        <v>99999</v>
      </c>
      <c r="B27">
        <v>99999</v>
      </c>
      <c r="C27">
        <v>99999</v>
      </c>
      <c r="D27">
        <v>99999</v>
      </c>
      <c r="E27">
        <v>99999</v>
      </c>
      <c r="F27">
        <v>99999</v>
      </c>
      <c r="G27">
        <v>-38.231276917125243</v>
      </c>
      <c r="H27">
        <v>-16.370589955380186</v>
      </c>
      <c r="I27">
        <v>-17.336211267634901</v>
      </c>
      <c r="J27">
        <v>-6.9458037302257525</v>
      </c>
      <c r="K27">
        <v>-10.248379774875522</v>
      </c>
      <c r="L27">
        <v>-3.533856976877082</v>
      </c>
      <c r="M27">
        <v>-6.3483323746770068</v>
      </c>
      <c r="N27">
        <v>-1.4796026801546214</v>
      </c>
      <c r="O27">
        <v>-3.6190845396643141</v>
      </c>
      <c r="P27">
        <v>0.11931284277884606</v>
      </c>
      <c r="Q27">
        <v>-1.3623609584989775</v>
      </c>
      <c r="R27">
        <v>1.6011533964601821</v>
      </c>
      <c r="S27">
        <v>0.78897413973038755</v>
      </c>
      <c r="T27">
        <v>3.1841291738207591</v>
      </c>
      <c r="U27">
        <v>3.1553441920247427</v>
      </c>
      <c r="V27">
        <v>5.1213899721074165</v>
      </c>
      <c r="W27">
        <v>6.2343103423118578</v>
      </c>
      <c r="X27">
        <v>7.8893925938912197</v>
      </c>
      <c r="Y27">
        <v>11.303735701200853</v>
      </c>
      <c r="Z27">
        <v>12.804357215076339</v>
      </c>
    </row>
    <row r="28" spans="1:26">
      <c r="A28">
        <v>99999</v>
      </c>
      <c r="B28">
        <v>99999</v>
      </c>
      <c r="C28">
        <v>99999</v>
      </c>
      <c r="D28">
        <v>99999</v>
      </c>
      <c r="E28">
        <v>99999</v>
      </c>
      <c r="F28">
        <v>99999</v>
      </c>
      <c r="G28">
        <v>-40.504096951673219</v>
      </c>
      <c r="H28">
        <v>-13.308193301424589</v>
      </c>
      <c r="I28">
        <v>-18.434469629600962</v>
      </c>
      <c r="J28">
        <v>-5.419306706354087</v>
      </c>
      <c r="K28">
        <v>-11.006554517170333</v>
      </c>
      <c r="L28">
        <v>-2.4685789015666622</v>
      </c>
      <c r="M28">
        <v>-6.9591438057343238</v>
      </c>
      <c r="N28">
        <v>-0.61610508517906482</v>
      </c>
      <c r="O28">
        <v>-4.1615536263184429</v>
      </c>
      <c r="P28">
        <v>0.8895985017395196</v>
      </c>
      <c r="Q28">
        <v>-1.8822051930843353</v>
      </c>
      <c r="R28">
        <v>2.3421202156599485</v>
      </c>
      <c r="S28">
        <v>0.25489527560980257</v>
      </c>
      <c r="T28">
        <v>3.9482543906638909</v>
      </c>
      <c r="U28">
        <v>2.5647132222164952</v>
      </c>
      <c r="V28">
        <v>5.9700684527291585</v>
      </c>
      <c r="W28">
        <v>5.5190242012988016</v>
      </c>
      <c r="X28">
        <v>8.9231694930591008</v>
      </c>
      <c r="Y28">
        <v>10.311006656706502</v>
      </c>
      <c r="Z28">
        <v>14.253325240873409</v>
      </c>
    </row>
    <row r="29" spans="1:26">
      <c r="A29">
        <v>99999</v>
      </c>
      <c r="B29">
        <v>99999</v>
      </c>
      <c r="C29">
        <v>99999</v>
      </c>
      <c r="D29">
        <v>99999</v>
      </c>
      <c r="E29">
        <v>99999</v>
      </c>
      <c r="F29">
        <v>99999</v>
      </c>
      <c r="G29">
        <v>-42.387957041389519</v>
      </c>
      <c r="H29">
        <v>-10.769881095629977</v>
      </c>
      <c r="I29">
        <v>-19.34267067664624</v>
      </c>
      <c r="J29">
        <v>-4.1569751426681707</v>
      </c>
      <c r="K29">
        <v>-11.633092354965756</v>
      </c>
      <c r="L29">
        <v>-1.5882580669056612</v>
      </c>
      <c r="M29">
        <v>-7.4637521014058406</v>
      </c>
      <c r="N29">
        <v>9.7254271836935413E-2</v>
      </c>
      <c r="O29">
        <v>-4.6096399664691683</v>
      </c>
      <c r="P29">
        <v>1.5258642176776227</v>
      </c>
      <c r="Q29">
        <v>-2.3115839579456354</v>
      </c>
      <c r="R29">
        <v>2.9541408873616781</v>
      </c>
      <c r="S29">
        <v>-0.18625538717968451</v>
      </c>
      <c r="T29">
        <v>4.5794239959609815</v>
      </c>
      <c r="U29">
        <v>2.0767905215646785</v>
      </c>
      <c r="V29">
        <v>6.6711652753093871</v>
      </c>
      <c r="W29">
        <v>4.9279644045717284</v>
      </c>
      <c r="X29">
        <v>9.7774066002088666</v>
      </c>
      <c r="Y29">
        <v>9.4901952336576922</v>
      </c>
      <c r="Z29">
        <v>15.451365646563865</v>
      </c>
    </row>
    <row r="30" spans="1:26">
      <c r="A30">
        <v>99999</v>
      </c>
      <c r="B30">
        <v>99999</v>
      </c>
      <c r="C30">
        <v>99999</v>
      </c>
      <c r="D30">
        <v>99999</v>
      </c>
      <c r="E30">
        <v>99999</v>
      </c>
      <c r="F30">
        <v>99999</v>
      </c>
      <c r="G30">
        <v>-44.079738318726676</v>
      </c>
      <c r="H30">
        <v>-8.4903757920028848</v>
      </c>
      <c r="I30">
        <v>-20.156649384700852</v>
      </c>
      <c r="J30">
        <v>-3.02560558667779</v>
      </c>
      <c r="K30">
        <v>-12.194297157840348</v>
      </c>
      <c r="L30">
        <v>-0.79973381397197463</v>
      </c>
      <c r="M30">
        <v>-7.9156250216270916</v>
      </c>
      <c r="N30">
        <v>0.73606219193465061</v>
      </c>
      <c r="O30">
        <v>-5.0108499598936147</v>
      </c>
      <c r="P30">
        <v>2.0955672878981049</v>
      </c>
      <c r="Q30">
        <v>-2.6960287517202266</v>
      </c>
      <c r="R30">
        <v>3.5021143321922863</v>
      </c>
      <c r="S30">
        <v>-0.58125124773046843</v>
      </c>
      <c r="T30">
        <v>5.1445583195079259</v>
      </c>
      <c r="U30">
        <v>1.639870141426558</v>
      </c>
      <c r="V30">
        <v>7.298976790998581</v>
      </c>
      <c r="W30">
        <v>4.398565709339076</v>
      </c>
      <c r="X30">
        <v>10.542527172524197</v>
      </c>
      <c r="Y30">
        <v>8.7546340390897903</v>
      </c>
      <c r="Z30">
        <v>16.524976475074332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F018A-CFAF-485B-A792-376CA0B59AC7}">
  <sheetPr codeName="Sheet5"/>
  <dimension ref="A1:Z30"/>
  <sheetViews>
    <sheetView zoomScaleNormal="100" workbookViewId="0">
      <selection activeCell="A5" sqref="A5"/>
    </sheetView>
  </sheetViews>
  <sheetFormatPr defaultRowHeight="15"/>
  <cols>
    <col min="2" max="2" width="10.28515625" customWidth="1"/>
    <col min="6" max="6" width="10.140625" customWidth="1"/>
    <col min="10" max="10" width="10.140625" customWidth="1"/>
    <col min="12" max="12" width="10.7109375" customWidth="1"/>
    <col min="13" max="13" width="10.42578125" customWidth="1"/>
    <col min="14" max="14" width="9.85546875" customWidth="1"/>
    <col min="15" max="15" width="10" customWidth="1"/>
    <col min="16" max="16" width="10.42578125" customWidth="1"/>
    <col min="18" max="18" width="11" customWidth="1"/>
    <col min="20" max="20" width="10.85546875" customWidth="1"/>
    <col min="22" max="22" width="10.85546875" customWidth="1"/>
    <col min="24" max="24" width="10.42578125" customWidth="1"/>
  </cols>
  <sheetData>
    <row r="1" spans="1:24" ht="30">
      <c r="A1" s="135" t="s">
        <v>393</v>
      </c>
      <c r="B1" s="135" t="s">
        <v>394</v>
      </c>
      <c r="C1" s="135" t="s">
        <v>389</v>
      </c>
      <c r="D1" s="135" t="s">
        <v>395</v>
      </c>
      <c r="E1" s="135" t="s">
        <v>396</v>
      </c>
      <c r="F1" s="59"/>
      <c r="G1" s="177" t="s">
        <v>505</v>
      </c>
      <c r="H1" s="59"/>
      <c r="I1" s="26"/>
      <c r="J1" s="59"/>
      <c r="K1" s="174" t="s">
        <v>407</v>
      </c>
      <c r="L1" s="174" t="s">
        <v>408</v>
      </c>
      <c r="M1" s="170" t="s">
        <v>489</v>
      </c>
      <c r="N1" s="170" t="s">
        <v>490</v>
      </c>
      <c r="O1" s="170" t="s">
        <v>491</v>
      </c>
      <c r="Q1" s="135" t="s">
        <v>481</v>
      </c>
      <c r="R1" s="135" t="s">
        <v>482</v>
      </c>
    </row>
    <row r="2" spans="1:24">
      <c r="A2" t="str">
        <f>Enter!B2</f>
        <v>Tehran</v>
      </c>
      <c r="B2">
        <v>51.3797</v>
      </c>
      <c r="C2">
        <v>35.7029</v>
      </c>
      <c r="D2">
        <v>1210</v>
      </c>
      <c r="E2">
        <v>3.5</v>
      </c>
      <c r="K2">
        <v>0</v>
      </c>
      <c r="L2">
        <v>5</v>
      </c>
      <c r="M2">
        <v>10</v>
      </c>
      <c r="N2">
        <v>12.31445214353678</v>
      </c>
      <c r="O2">
        <v>0</v>
      </c>
      <c r="P2">
        <v>0</v>
      </c>
      <c r="Q2">
        <v>0</v>
      </c>
      <c r="R2">
        <v>7.1864964757145469</v>
      </c>
    </row>
    <row r="5" spans="1:24">
      <c r="B5" s="117">
        <v>44733</v>
      </c>
      <c r="D5" s="117">
        <v>44655</v>
      </c>
      <c r="F5" s="117">
        <v>44671</v>
      </c>
      <c r="H5" s="117">
        <v>44686</v>
      </c>
      <c r="J5" s="117">
        <v>44702</v>
      </c>
      <c r="L5" s="117">
        <v>44827</v>
      </c>
      <c r="N5" s="117">
        <v>44841</v>
      </c>
      <c r="P5" s="117">
        <v>44857</v>
      </c>
      <c r="R5" s="117">
        <v>44872</v>
      </c>
      <c r="T5" s="117">
        <v>44887</v>
      </c>
      <c r="V5" s="117">
        <v>44916</v>
      </c>
      <c r="X5" s="117"/>
    </row>
    <row r="6" spans="1:24">
      <c r="A6">
        <v>26.436222220649441</v>
      </c>
      <c r="B6">
        <v>5.2785435774694687</v>
      </c>
      <c r="C6">
        <v>67.667891923061646</v>
      </c>
      <c r="D6">
        <v>2.3781614857551685</v>
      </c>
      <c r="E6">
        <v>45.746982055486399</v>
      </c>
      <c r="F6">
        <v>3.9201561435722621</v>
      </c>
      <c r="G6">
        <v>35.830612214635231</v>
      </c>
      <c r="H6">
        <v>4.6177088187077517</v>
      </c>
      <c r="I6">
        <v>30.110375989860305</v>
      </c>
      <c r="J6">
        <v>5.0200905516440244</v>
      </c>
      <c r="K6">
        <v>126.60116857164326</v>
      </c>
      <c r="L6">
        <v>-1.7674145103483974</v>
      </c>
      <c r="M6">
        <v>617.49006628714278</v>
      </c>
      <c r="N6">
        <v>-36.298283093439338</v>
      </c>
      <c r="O6">
        <v>-190.62569005854462</v>
      </c>
      <c r="P6">
        <v>20.547449438223474</v>
      </c>
      <c r="Q6">
        <v>-90.527387672935603</v>
      </c>
      <c r="R6">
        <v>13.506179323633903</v>
      </c>
      <c r="S6">
        <v>-63.380976283456754</v>
      </c>
      <c r="T6">
        <v>11.596604329057651</v>
      </c>
      <c r="U6">
        <v>-50.078690206242989</v>
      </c>
      <c r="V6">
        <v>10.660874279906764</v>
      </c>
    </row>
    <row r="7" spans="1:24">
      <c r="A7">
        <v>39.486062552097245</v>
      </c>
      <c r="B7">
        <v>15.135831979043612</v>
      </c>
      <c r="C7">
        <v>453.01843993088443</v>
      </c>
      <c r="D7">
        <v>95.897124165142273</v>
      </c>
      <c r="E7">
        <v>107.43417887907137</v>
      </c>
      <c r="F7">
        <v>28.405839302197588</v>
      </c>
      <c r="G7">
        <v>65.038072204990613</v>
      </c>
      <c r="H7">
        <v>20.126041767693621</v>
      </c>
      <c r="I7">
        <v>48.32239622435938</v>
      </c>
      <c r="J7">
        <v>16.861534160050226</v>
      </c>
      <c r="K7">
        <v>-213.26864199230556</v>
      </c>
      <c r="L7">
        <v>-34.226195426186266</v>
      </c>
      <c r="M7">
        <v>-91.054152721230054</v>
      </c>
      <c r="N7">
        <v>-10.35817295123686</v>
      </c>
      <c r="O7">
        <v>-55.985446777906787</v>
      </c>
      <c r="P7">
        <v>-3.5093887635772982</v>
      </c>
      <c r="Q7">
        <v>-42.24253163918781</v>
      </c>
      <c r="R7">
        <v>-0.82544998218848231</v>
      </c>
      <c r="S7">
        <v>-35.196655179766587</v>
      </c>
      <c r="T7">
        <v>0.55058275085492903</v>
      </c>
      <c r="U7">
        <v>-30.666402100117523</v>
      </c>
      <c r="V7">
        <v>1.4353238561623449</v>
      </c>
    </row>
    <row r="8" spans="1:24">
      <c r="A8">
        <v>72.943982624209099</v>
      </c>
      <c r="B8">
        <v>44.121444224291437</v>
      </c>
      <c r="C8">
        <v>-88.943716037289917</v>
      </c>
      <c r="D8">
        <v>-36.596741265109131</v>
      </c>
      <c r="E8">
        <v>-278.4499873119139</v>
      </c>
      <c r="F8">
        <v>-131.08571406924028</v>
      </c>
      <c r="G8">
        <v>338.3150092445145</v>
      </c>
      <c r="H8">
        <v>176.43704279882812</v>
      </c>
      <c r="I8">
        <v>114.92354271278141</v>
      </c>
      <c r="J8">
        <v>65.052706735336642</v>
      </c>
      <c r="K8">
        <v>-53.578100112895669</v>
      </c>
      <c r="L8">
        <v>-18.963231308919593</v>
      </c>
      <c r="M8">
        <v>-39.326621249746083</v>
      </c>
      <c r="N8">
        <v>-11.857357768896488</v>
      </c>
      <c r="O8">
        <v>-30.476998515444127</v>
      </c>
      <c r="P8">
        <v>-7.4448823598029987</v>
      </c>
      <c r="Q8">
        <v>-25.614258371701574</v>
      </c>
      <c r="R8">
        <v>-5.0202907190873409</v>
      </c>
      <c r="S8">
        <v>-22.667843776891733</v>
      </c>
      <c r="T8">
        <v>-3.5511905851121863</v>
      </c>
      <c r="U8">
        <v>-20.573668450628293</v>
      </c>
      <c r="V8">
        <v>-2.5070221039349341</v>
      </c>
    </row>
    <row r="9" spans="1:24">
      <c r="A9">
        <v>843.6532443620938</v>
      </c>
      <c r="B9">
        <v>773.48383313827583</v>
      </c>
      <c r="C9">
        <v>-35.496490452353108</v>
      </c>
      <c r="D9">
        <v>-24.008232554977507</v>
      </c>
      <c r="E9">
        <v>-52.077957716230408</v>
      </c>
      <c r="F9">
        <v>-39.049570858156919</v>
      </c>
      <c r="G9">
        <v>-86.925296555929549</v>
      </c>
      <c r="H9">
        <v>-70.660200008889547</v>
      </c>
      <c r="I9">
        <v>-211.36376570979252</v>
      </c>
      <c r="J9">
        <v>-183.54050684099664</v>
      </c>
      <c r="K9">
        <v>-27.141486507539188</v>
      </c>
      <c r="L9">
        <v>-16.429262681055814</v>
      </c>
      <c r="M9">
        <v>-22.359212604468112</v>
      </c>
      <c r="N9">
        <v>-12.091178572464198</v>
      </c>
      <c r="O9">
        <v>-18.761245392106524</v>
      </c>
      <c r="P9">
        <v>-8.8273997292749371</v>
      </c>
      <c r="Q9">
        <v>-16.524324654647565</v>
      </c>
      <c r="R9">
        <v>-6.7982498938549956</v>
      </c>
      <c r="S9">
        <v>-15.064519703619421</v>
      </c>
      <c r="T9">
        <v>-5.4740353490478073</v>
      </c>
      <c r="U9">
        <v>-13.974275057976126</v>
      </c>
      <c r="V9">
        <v>-4.4850554061162553</v>
      </c>
    </row>
    <row r="10" spans="1:24">
      <c r="A10">
        <v>-63.741618476400475</v>
      </c>
      <c r="B10">
        <v>-93.000350220851203</v>
      </c>
      <c r="C10">
        <v>-18.280746310098451</v>
      </c>
      <c r="D10">
        <v>-20.29813389304438</v>
      </c>
      <c r="E10">
        <v>-23.322115653165326</v>
      </c>
      <c r="F10">
        <v>-28.360423662304559</v>
      </c>
      <c r="G10">
        <v>-30.615619455638694</v>
      </c>
      <c r="H10">
        <v>-40.024385789897707</v>
      </c>
      <c r="I10">
        <v>-42.32962859315866</v>
      </c>
      <c r="J10">
        <v>-58.757735719183891</v>
      </c>
      <c r="K10">
        <v>-15.138754707157924</v>
      </c>
      <c r="L10">
        <v>-15.273378706177143</v>
      </c>
      <c r="M10">
        <v>-13.105195735099448</v>
      </c>
      <c r="N10">
        <v>-12.02125798660288</v>
      </c>
      <c r="O10">
        <v>-11.44289932442976</v>
      </c>
      <c r="P10">
        <v>-9.3628700699049929</v>
      </c>
      <c r="Q10">
        <v>-10.345706706031965</v>
      </c>
      <c r="R10">
        <v>-7.608210924690491</v>
      </c>
      <c r="S10">
        <v>-9.6012788177512114</v>
      </c>
      <c r="T10">
        <v>-6.4177023665560204</v>
      </c>
      <c r="U10">
        <v>-9.0299141154512856</v>
      </c>
      <c r="V10">
        <v>-5.5039609839286676</v>
      </c>
    </row>
    <row r="11" spans="1:24">
      <c r="A11">
        <v>-19.770559008224787</v>
      </c>
      <c r="B11">
        <v>-56.267189297025624</v>
      </c>
      <c r="C11">
        <v>-8.6535761318459894</v>
      </c>
      <c r="D11">
        <v>-18.514460204588744</v>
      </c>
      <c r="E11">
        <v>-10.382271213516635</v>
      </c>
      <c r="F11">
        <v>-24.385023992215846</v>
      </c>
      <c r="G11">
        <v>-12.597008029136108</v>
      </c>
      <c r="H11">
        <v>-31.906161691257065</v>
      </c>
      <c r="I11">
        <v>-15.588264394388949</v>
      </c>
      <c r="J11">
        <v>-42.064321729747896</v>
      </c>
      <c r="K11">
        <v>-7.4806630797597258</v>
      </c>
      <c r="L11">
        <v>-14.531304954931668</v>
      </c>
      <c r="M11">
        <v>-6.6780066295518852</v>
      </c>
      <c r="N11">
        <v>-11.805522981894729</v>
      </c>
      <c r="O11">
        <v>-5.994522752099174</v>
      </c>
      <c r="P11">
        <v>-9.4844452262253203</v>
      </c>
      <c r="Q11">
        <v>-5.5291661922230375</v>
      </c>
      <c r="R11">
        <v>-7.9041171523446456</v>
      </c>
      <c r="S11">
        <v>-5.2067275818999272</v>
      </c>
      <c r="T11">
        <v>-6.8091314318633209</v>
      </c>
      <c r="U11">
        <v>-4.9554710595765803</v>
      </c>
      <c r="V11">
        <v>-5.955876594155864</v>
      </c>
    </row>
    <row r="12" spans="1:24">
      <c r="A12">
        <v>-2.1334660725285777</v>
      </c>
      <c r="B12">
        <v>-46.53187641117421</v>
      </c>
      <c r="C12">
        <v>-1.5624284562061186</v>
      </c>
      <c r="D12">
        <v>-17.471043552672928</v>
      </c>
      <c r="E12">
        <v>-1.6610133538435774</v>
      </c>
      <c r="F12">
        <v>-22.488154773935857</v>
      </c>
      <c r="G12">
        <v>-1.781616611438493</v>
      </c>
      <c r="H12">
        <v>-28.625808425770728</v>
      </c>
      <c r="I12">
        <v>-1.9351219142292253</v>
      </c>
      <c r="J12">
        <v>-36.437889136012473</v>
      </c>
      <c r="K12">
        <v>-1.4931797124342356</v>
      </c>
      <c r="L12">
        <v>-13.94688663044405</v>
      </c>
      <c r="M12">
        <v>-1.4446416764426824</v>
      </c>
      <c r="N12">
        <v>-11.476724051112464</v>
      </c>
      <c r="O12">
        <v>-1.4025498210126677</v>
      </c>
      <c r="P12">
        <v>-9.3346158249792239</v>
      </c>
      <c r="Q12">
        <v>-1.3734812356226171</v>
      </c>
      <c r="R12">
        <v>-7.8552784270444649</v>
      </c>
      <c r="S12">
        <v>-1.3531416878841356</v>
      </c>
      <c r="T12">
        <v>-6.8201728922249529</v>
      </c>
      <c r="U12">
        <v>-1.3371783044902941</v>
      </c>
      <c r="V12">
        <v>-6.0077759442756626</v>
      </c>
    </row>
    <row r="13" spans="1:24">
      <c r="A13">
        <v>11.562601816389124</v>
      </c>
      <c r="B13">
        <v>-44.387788764252846</v>
      </c>
      <c r="C13">
        <v>4.8059946822002759</v>
      </c>
      <c r="D13">
        <v>-16.80445795094704</v>
      </c>
      <c r="E13">
        <v>5.9853931041924655</v>
      </c>
      <c r="F13">
        <v>-21.619261622140055</v>
      </c>
      <c r="G13">
        <v>7.4208064731132897</v>
      </c>
      <c r="H13">
        <v>-27.479226693727451</v>
      </c>
      <c r="I13">
        <v>9.2361467443149756</v>
      </c>
      <c r="J13">
        <v>-34.890214227085615</v>
      </c>
      <c r="K13">
        <v>3.9742786457187811</v>
      </c>
      <c r="L13">
        <v>-13.409040972961861</v>
      </c>
      <c r="M13">
        <v>3.3896909531048829</v>
      </c>
      <c r="N13">
        <v>-11.022506519424757</v>
      </c>
      <c r="O13">
        <v>2.8816562426523884</v>
      </c>
      <c r="P13">
        <v>-8.9484937487036262</v>
      </c>
      <c r="Q13">
        <v>2.5302184978233289</v>
      </c>
      <c r="R13">
        <v>-7.5137760888813219</v>
      </c>
      <c r="S13">
        <v>2.2840273333644459</v>
      </c>
      <c r="T13">
        <v>-6.5087195275458818</v>
      </c>
      <c r="U13">
        <v>2.0906397493096556</v>
      </c>
      <c r="V13">
        <v>-5.7192295364559005</v>
      </c>
    </row>
    <row r="14" spans="1:24">
      <c r="A14">
        <v>28.705450096789221</v>
      </c>
      <c r="B14">
        <v>-48.092111512000784</v>
      </c>
      <c r="C14">
        <v>11.628570981171455</v>
      </c>
      <c r="D14">
        <v>-16.380717910368421</v>
      </c>
      <c r="E14">
        <v>14.401083579269763</v>
      </c>
      <c r="F14">
        <v>-21.529213585047749</v>
      </c>
      <c r="G14">
        <v>17.888029527579253</v>
      </c>
      <c r="H14">
        <v>-28.004396473315175</v>
      </c>
      <c r="I14">
        <v>22.485182387665223</v>
      </c>
      <c r="J14">
        <v>-36.541209482650707</v>
      </c>
      <c r="K14">
        <v>9.72145002978999</v>
      </c>
      <c r="L14">
        <v>-12.839235727018703</v>
      </c>
      <c r="M14">
        <v>8.4040352330489085</v>
      </c>
      <c r="N14">
        <v>-10.392825064202485</v>
      </c>
      <c r="O14">
        <v>7.2742282770097528</v>
      </c>
      <c r="P14">
        <v>-8.2947980866587177</v>
      </c>
      <c r="Q14">
        <v>6.5007423439392484</v>
      </c>
      <c r="R14">
        <v>-6.8584515093445937</v>
      </c>
      <c r="S14">
        <v>5.9627737871261779</v>
      </c>
      <c r="T14">
        <v>-5.8594555842168381</v>
      </c>
      <c r="U14">
        <v>5.5424093795293565</v>
      </c>
      <c r="V14">
        <v>-5.0788480097784587</v>
      </c>
    </row>
    <row r="15" spans="1:24">
      <c r="A15">
        <v>65.46745635197577</v>
      </c>
      <c r="B15">
        <v>-65.106733186399438</v>
      </c>
      <c r="C15">
        <v>20.441378104131857</v>
      </c>
      <c r="D15">
        <v>-16.172554927349832</v>
      </c>
      <c r="E15">
        <v>26.209034698835744</v>
      </c>
      <c r="F15">
        <v>-22.440823160454013</v>
      </c>
      <c r="G15">
        <v>34.16905104421452</v>
      </c>
      <c r="H15">
        <v>-31.091740005701698</v>
      </c>
      <c r="I15">
        <v>46.084398290870155</v>
      </c>
      <c r="J15">
        <v>-44.041296104655153</v>
      </c>
      <c r="K15">
        <v>16.730186578331367</v>
      </c>
      <c r="L15">
        <v>-12.139245459948203</v>
      </c>
      <c r="M15">
        <v>14.278576666942914</v>
      </c>
      <c r="N15">
        <v>-9.4748447150025807</v>
      </c>
      <c r="O15">
        <v>12.244770978380233</v>
      </c>
      <c r="P15">
        <v>-7.2645120815323061</v>
      </c>
      <c r="Q15">
        <v>10.887404251692793</v>
      </c>
      <c r="R15">
        <v>-5.7893308543108013</v>
      </c>
      <c r="S15">
        <v>9.9595818640598601</v>
      </c>
      <c r="T15">
        <v>-4.780976854229948</v>
      </c>
      <c r="U15">
        <v>9.2436533581595981</v>
      </c>
      <c r="V15">
        <v>-4.0029083550011482</v>
      </c>
    </row>
    <row r="16" spans="1:24">
      <c r="A16">
        <v>432.86951160998075</v>
      </c>
      <c r="B16">
        <v>-275.84401167425739</v>
      </c>
      <c r="C16">
        <v>34.941230920545323</v>
      </c>
      <c r="D16">
        <v>-16.280524517121773</v>
      </c>
      <c r="E16">
        <v>49.401720609557422</v>
      </c>
      <c r="F16">
        <v>-25.712915507721288</v>
      </c>
      <c r="G16">
        <v>75.206973813079031</v>
      </c>
      <c r="H16">
        <v>-42.545349475153905</v>
      </c>
      <c r="I16">
        <v>135.8136702890327</v>
      </c>
      <c r="J16">
        <v>-82.078316207543949</v>
      </c>
      <c r="K16">
        <v>27.008605621755951</v>
      </c>
      <c r="L16">
        <v>-11.106175307014604</v>
      </c>
      <c r="M16">
        <v>22.252233192844873</v>
      </c>
      <c r="N16">
        <v>-8.0036548937199612</v>
      </c>
      <c r="O16">
        <v>18.563798851674093</v>
      </c>
      <c r="P16">
        <v>-5.5977367265424611</v>
      </c>
      <c r="Q16">
        <v>16.221167685321483</v>
      </c>
      <c r="R16">
        <v>-4.0696686193750917</v>
      </c>
      <c r="S16">
        <v>14.671370287011904</v>
      </c>
      <c r="T16">
        <v>-3.05875575740074</v>
      </c>
      <c r="U16">
        <v>13.502900053389512</v>
      </c>
      <c r="V16">
        <v>-2.2965776886470737</v>
      </c>
    </row>
    <row r="17" spans="1:26">
      <c r="A17">
        <v>-113.58941965220424</v>
      </c>
      <c r="B17">
        <v>45.330977620249669</v>
      </c>
      <c r="C17">
        <v>71.390898201634599</v>
      </c>
      <c r="D17">
        <v>-17.336982285795003</v>
      </c>
      <c r="E17">
        <v>147.91337440309209</v>
      </c>
      <c r="F17">
        <v>-43.261402387037002</v>
      </c>
      <c r="G17">
        <v>1350.0536963213667</v>
      </c>
      <c r="H17">
        <v>-450.52463108869875</v>
      </c>
      <c r="I17">
        <v>-226.72203122156256</v>
      </c>
      <c r="J17">
        <v>83.658244262188447</v>
      </c>
      <c r="K17">
        <v>47.029851513167365</v>
      </c>
      <c r="L17">
        <v>-9.0839037158445173</v>
      </c>
      <c r="M17">
        <v>35.612354474062307</v>
      </c>
      <c r="N17">
        <v>-5.2158638347617261</v>
      </c>
      <c r="O17">
        <v>27.968207417030115</v>
      </c>
      <c r="P17">
        <v>-2.6261661477650162</v>
      </c>
      <c r="Q17">
        <v>23.569662448694295</v>
      </c>
      <c r="R17">
        <v>-1.1360192882574809</v>
      </c>
      <c r="S17">
        <v>20.832159537615649</v>
      </c>
      <c r="T17">
        <v>-0.2086032006188519</v>
      </c>
      <c r="U17">
        <v>18.85212488128003</v>
      </c>
      <c r="V17">
        <v>0.4621964492869528</v>
      </c>
    </row>
    <row r="18" spans="1:26">
      <c r="A18">
        <v>-50.08470352669864</v>
      </c>
      <c r="B18">
        <v>10.661297258191164</v>
      </c>
      <c r="C18">
        <v>716.23227051162019</v>
      </c>
      <c r="D18">
        <v>-43.244160153606849</v>
      </c>
      <c r="E18">
        <v>-185.72051748840155</v>
      </c>
      <c r="F18">
        <v>20.20240210217904</v>
      </c>
      <c r="G18">
        <v>-90.732498678450611</v>
      </c>
      <c r="H18">
        <v>13.520607523614945</v>
      </c>
      <c r="I18">
        <v>-63.099355381122962</v>
      </c>
      <c r="J18">
        <v>11.576794089183929</v>
      </c>
      <c r="K18">
        <v>122.25175370647564</v>
      </c>
      <c r="L18">
        <v>-1.4614611702532219</v>
      </c>
      <c r="M18">
        <v>68.735938377903892</v>
      </c>
      <c r="N18">
        <v>2.3030313332205701</v>
      </c>
      <c r="O18">
        <v>46.056299419127214</v>
      </c>
      <c r="P18">
        <v>3.8983976808621912</v>
      </c>
      <c r="Q18">
        <v>35.79580539071614</v>
      </c>
      <c r="R18">
        <v>4.6201572694014157</v>
      </c>
      <c r="S18">
        <v>30.181425727146571</v>
      </c>
      <c r="T18">
        <v>5.0150926735506154</v>
      </c>
      <c r="U18">
        <v>26.434326779380569</v>
      </c>
      <c r="V18">
        <v>5.2786769207873112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26.436222220649441</v>
      </c>
      <c r="B20">
        <v>5.2785435774694687</v>
      </c>
      <c r="C20">
        <v>39.486062552097245</v>
      </c>
      <c r="D20">
        <v>15.135831979043612</v>
      </c>
      <c r="E20">
        <v>72.943982624209099</v>
      </c>
      <c r="F20">
        <v>44.121444224291437</v>
      </c>
      <c r="G20">
        <v>843.6532443620938</v>
      </c>
      <c r="H20">
        <v>773.48383313827583</v>
      </c>
      <c r="I20">
        <v>-63.741618476400475</v>
      </c>
      <c r="J20">
        <v>-93.000350220851203</v>
      </c>
      <c r="K20">
        <v>-19.770559008224787</v>
      </c>
      <c r="L20">
        <v>-56.267189297025624</v>
      </c>
      <c r="M20">
        <v>-2.1334660725285777</v>
      </c>
      <c r="N20">
        <v>-46.53187641117421</v>
      </c>
      <c r="O20">
        <v>11.562601816389124</v>
      </c>
      <c r="P20">
        <v>-44.387788764252846</v>
      </c>
      <c r="Q20">
        <v>28.705450096789221</v>
      </c>
      <c r="R20">
        <v>-48.092111512000784</v>
      </c>
      <c r="S20">
        <v>65.46745635197577</v>
      </c>
      <c r="T20">
        <v>-65.106733186399438</v>
      </c>
      <c r="U20">
        <v>432.86951160998075</v>
      </c>
      <c r="V20">
        <v>-275.84401167425739</v>
      </c>
      <c r="W20">
        <v>-113.58941965220424</v>
      </c>
      <c r="X20">
        <v>45.330977620249669</v>
      </c>
      <c r="Y20">
        <v>-50.08470352669864</v>
      </c>
      <c r="Z20">
        <v>10.661297258191164</v>
      </c>
    </row>
    <row r="21" spans="1:26">
      <c r="A21">
        <v>67.667891923061646</v>
      </c>
      <c r="B21">
        <v>2.3781614857551685</v>
      </c>
      <c r="C21">
        <v>453.01843993088443</v>
      </c>
      <c r="D21">
        <v>95.897124165142273</v>
      </c>
      <c r="E21">
        <v>-88.943716037289917</v>
      </c>
      <c r="F21">
        <v>-36.596741265109131</v>
      </c>
      <c r="G21">
        <v>-35.496490452353108</v>
      </c>
      <c r="H21">
        <v>-24.008232554977507</v>
      </c>
      <c r="I21">
        <v>-18.280746310098451</v>
      </c>
      <c r="J21">
        <v>-20.29813389304438</v>
      </c>
      <c r="K21">
        <v>-8.6535761318459894</v>
      </c>
      <c r="L21">
        <v>-18.514460204588744</v>
      </c>
      <c r="M21">
        <v>-1.5624284562061186</v>
      </c>
      <c r="N21">
        <v>-17.471043552672928</v>
      </c>
      <c r="O21">
        <v>4.8059946822002759</v>
      </c>
      <c r="P21">
        <v>-16.80445795094704</v>
      </c>
      <c r="Q21">
        <v>11.628570981171455</v>
      </c>
      <c r="R21">
        <v>-16.380717910368421</v>
      </c>
      <c r="S21">
        <v>20.441378104131857</v>
      </c>
      <c r="T21">
        <v>-16.172554927349832</v>
      </c>
      <c r="U21">
        <v>34.941230920545323</v>
      </c>
      <c r="V21">
        <v>-16.280524517121773</v>
      </c>
      <c r="W21">
        <v>71.390898201634599</v>
      </c>
      <c r="X21">
        <v>-17.336982285795003</v>
      </c>
      <c r="Y21">
        <v>716.23227051162019</v>
      </c>
      <c r="Z21">
        <v>-43.244160153606849</v>
      </c>
    </row>
    <row r="22" spans="1:26">
      <c r="A22">
        <v>45.746982055486399</v>
      </c>
      <c r="B22">
        <v>3.9201561435722621</v>
      </c>
      <c r="C22">
        <v>107.43417887907137</v>
      </c>
      <c r="D22">
        <v>28.405839302197588</v>
      </c>
      <c r="E22">
        <v>-278.4499873119139</v>
      </c>
      <c r="F22">
        <v>-131.08571406924028</v>
      </c>
      <c r="G22">
        <v>-52.077957716230408</v>
      </c>
      <c r="H22">
        <v>-39.049570858156919</v>
      </c>
      <c r="I22">
        <v>-23.322115653165326</v>
      </c>
      <c r="J22">
        <v>-28.360423662304559</v>
      </c>
      <c r="K22">
        <v>-10.382271213516635</v>
      </c>
      <c r="L22">
        <v>-24.385023992215846</v>
      </c>
      <c r="M22">
        <v>-1.6610133538435774</v>
      </c>
      <c r="N22">
        <v>-22.488154773935857</v>
      </c>
      <c r="O22">
        <v>5.9853931041924655</v>
      </c>
      <c r="P22">
        <v>-21.619261622140055</v>
      </c>
      <c r="Q22">
        <v>14.401083579269763</v>
      </c>
      <c r="R22">
        <v>-21.529213585047749</v>
      </c>
      <c r="S22">
        <v>26.209034698835744</v>
      </c>
      <c r="T22">
        <v>-22.440823160454013</v>
      </c>
      <c r="U22">
        <v>49.401720609557422</v>
      </c>
      <c r="V22">
        <v>-25.712915507721288</v>
      </c>
      <c r="W22">
        <v>147.91337440309209</v>
      </c>
      <c r="X22">
        <v>-43.261402387037002</v>
      </c>
      <c r="Y22">
        <v>-185.72051748840155</v>
      </c>
      <c r="Z22">
        <v>20.20240210217904</v>
      </c>
    </row>
    <row r="23" spans="1:26">
      <c r="A23">
        <v>35.830612214635231</v>
      </c>
      <c r="B23">
        <v>4.6177088187077517</v>
      </c>
      <c r="C23">
        <v>65.038072204990613</v>
      </c>
      <c r="D23">
        <v>20.126041767693621</v>
      </c>
      <c r="E23">
        <v>338.3150092445145</v>
      </c>
      <c r="F23">
        <v>176.43704279882812</v>
      </c>
      <c r="G23">
        <v>-86.925296555929549</v>
      </c>
      <c r="H23">
        <v>-70.660200008889547</v>
      </c>
      <c r="I23">
        <v>-30.615619455638694</v>
      </c>
      <c r="J23">
        <v>-40.024385789897707</v>
      </c>
      <c r="K23">
        <v>-12.597008029136108</v>
      </c>
      <c r="L23">
        <v>-31.906161691257065</v>
      </c>
      <c r="M23">
        <v>-1.781616611438493</v>
      </c>
      <c r="N23">
        <v>-28.625808425770728</v>
      </c>
      <c r="O23">
        <v>7.4208064731132897</v>
      </c>
      <c r="P23">
        <v>-27.479226693727451</v>
      </c>
      <c r="Q23">
        <v>17.888029527579253</v>
      </c>
      <c r="R23">
        <v>-28.004396473315175</v>
      </c>
      <c r="S23">
        <v>34.16905104421452</v>
      </c>
      <c r="T23">
        <v>-31.091740005701698</v>
      </c>
      <c r="U23">
        <v>75.206973813079031</v>
      </c>
      <c r="V23">
        <v>-42.545349475153905</v>
      </c>
      <c r="W23">
        <v>1350.0536963213667</v>
      </c>
      <c r="X23">
        <v>-450.52463108869875</v>
      </c>
      <c r="Y23">
        <v>-90.732498678450611</v>
      </c>
      <c r="Z23">
        <v>13.520607523614945</v>
      </c>
    </row>
    <row r="24" spans="1:26">
      <c r="A24">
        <v>30.110375989860305</v>
      </c>
      <c r="B24">
        <v>5.0200905516440244</v>
      </c>
      <c r="C24">
        <v>48.32239622435938</v>
      </c>
      <c r="D24">
        <v>16.861534160050226</v>
      </c>
      <c r="E24">
        <v>114.92354271278141</v>
      </c>
      <c r="F24">
        <v>65.052706735336642</v>
      </c>
      <c r="G24">
        <v>-211.36376570979252</v>
      </c>
      <c r="H24">
        <v>-183.54050684099664</v>
      </c>
      <c r="I24">
        <v>-42.32962859315866</v>
      </c>
      <c r="J24">
        <v>-58.757735719183891</v>
      </c>
      <c r="K24">
        <v>-15.588264394388949</v>
      </c>
      <c r="L24">
        <v>-42.064321729747896</v>
      </c>
      <c r="M24">
        <v>-1.9351219142292253</v>
      </c>
      <c r="N24">
        <v>-36.437889136012473</v>
      </c>
      <c r="O24">
        <v>9.2361467443149756</v>
      </c>
      <c r="P24">
        <v>-34.890214227085615</v>
      </c>
      <c r="Q24">
        <v>22.485182387665223</v>
      </c>
      <c r="R24">
        <v>-36.541209482650707</v>
      </c>
      <c r="S24">
        <v>46.084398290870155</v>
      </c>
      <c r="T24">
        <v>-44.041296104655153</v>
      </c>
      <c r="U24">
        <v>135.8136702890327</v>
      </c>
      <c r="V24">
        <v>-82.078316207543949</v>
      </c>
      <c r="W24">
        <v>-226.72203122156256</v>
      </c>
      <c r="X24">
        <v>83.658244262188447</v>
      </c>
      <c r="Y24">
        <v>-63.099355381122962</v>
      </c>
      <c r="Z24">
        <v>11.576794089183929</v>
      </c>
    </row>
    <row r="25" spans="1:26">
      <c r="A25">
        <v>126.60116857164326</v>
      </c>
      <c r="B25">
        <v>-1.7674145103483974</v>
      </c>
      <c r="C25">
        <v>-213.26864199230556</v>
      </c>
      <c r="D25">
        <v>-34.226195426186266</v>
      </c>
      <c r="E25">
        <v>-53.578100112895669</v>
      </c>
      <c r="F25">
        <v>-18.963231308919593</v>
      </c>
      <c r="G25">
        <v>-27.141486507539188</v>
      </c>
      <c r="H25">
        <v>-16.429262681055814</v>
      </c>
      <c r="I25">
        <v>-15.138754707157924</v>
      </c>
      <c r="J25">
        <v>-15.273378706177143</v>
      </c>
      <c r="K25">
        <v>-7.4806630797597258</v>
      </c>
      <c r="L25">
        <v>-14.531304954931668</v>
      </c>
      <c r="M25">
        <v>-1.4931797124342356</v>
      </c>
      <c r="N25">
        <v>-13.94688663044405</v>
      </c>
      <c r="O25">
        <v>3.9742786457187811</v>
      </c>
      <c r="P25">
        <v>-13.409040972961861</v>
      </c>
      <c r="Q25">
        <v>9.72145002978999</v>
      </c>
      <c r="R25">
        <v>-12.839235727018703</v>
      </c>
      <c r="S25">
        <v>16.730186578331367</v>
      </c>
      <c r="T25">
        <v>-12.139245459948203</v>
      </c>
      <c r="U25">
        <v>27.008605621755951</v>
      </c>
      <c r="V25">
        <v>-11.106175307014604</v>
      </c>
      <c r="W25">
        <v>47.029851513167365</v>
      </c>
      <c r="X25">
        <v>-9.0839037158445173</v>
      </c>
      <c r="Y25">
        <v>122.25175370647564</v>
      </c>
      <c r="Z25">
        <v>-1.4614611702532219</v>
      </c>
    </row>
    <row r="26" spans="1:26">
      <c r="A26">
        <v>617.49006628714278</v>
      </c>
      <c r="B26">
        <v>-36.298283093439338</v>
      </c>
      <c r="C26">
        <v>-91.054152721230054</v>
      </c>
      <c r="D26">
        <v>-10.35817295123686</v>
      </c>
      <c r="E26">
        <v>-39.326621249746083</v>
      </c>
      <c r="F26">
        <v>-11.857357768896488</v>
      </c>
      <c r="G26">
        <v>-22.359212604468112</v>
      </c>
      <c r="H26">
        <v>-12.091178572464198</v>
      </c>
      <c r="I26">
        <v>-13.105195735099448</v>
      </c>
      <c r="J26">
        <v>-12.02125798660288</v>
      </c>
      <c r="K26">
        <v>-6.6780066295518852</v>
      </c>
      <c r="L26">
        <v>-11.805522981894729</v>
      </c>
      <c r="M26">
        <v>-1.4446416764426824</v>
      </c>
      <c r="N26">
        <v>-11.476724051112464</v>
      </c>
      <c r="O26">
        <v>3.3896909531048829</v>
      </c>
      <c r="P26">
        <v>-11.022506519424757</v>
      </c>
      <c r="Q26">
        <v>8.4040352330489085</v>
      </c>
      <c r="R26">
        <v>-10.392825064202485</v>
      </c>
      <c r="S26">
        <v>14.278576666942914</v>
      </c>
      <c r="T26">
        <v>-9.4748447150025807</v>
      </c>
      <c r="U26">
        <v>22.252233192844873</v>
      </c>
      <c r="V26">
        <v>-8.0036548937199612</v>
      </c>
      <c r="W26">
        <v>35.612354474062307</v>
      </c>
      <c r="X26">
        <v>-5.2158638347617261</v>
      </c>
      <c r="Y26">
        <v>68.735938377903892</v>
      </c>
      <c r="Z26">
        <v>2.3030313332205701</v>
      </c>
    </row>
    <row r="27" spans="1:26">
      <c r="A27">
        <v>-190.62569005854462</v>
      </c>
      <c r="B27">
        <v>20.547449438223474</v>
      </c>
      <c r="C27">
        <v>-55.985446777906787</v>
      </c>
      <c r="D27">
        <v>-3.5093887635772982</v>
      </c>
      <c r="E27">
        <v>-30.476998515444127</v>
      </c>
      <c r="F27">
        <v>-7.4448823598029987</v>
      </c>
      <c r="G27">
        <v>-18.761245392106524</v>
      </c>
      <c r="H27">
        <v>-8.8273997292749371</v>
      </c>
      <c r="I27">
        <v>-11.44289932442976</v>
      </c>
      <c r="J27">
        <v>-9.3628700699049929</v>
      </c>
      <c r="K27">
        <v>-5.994522752099174</v>
      </c>
      <c r="L27">
        <v>-9.4844452262253203</v>
      </c>
      <c r="M27">
        <v>-1.4025498210126677</v>
      </c>
      <c r="N27">
        <v>-9.3346158249792239</v>
      </c>
      <c r="O27">
        <v>2.8816562426523884</v>
      </c>
      <c r="P27">
        <v>-8.9484937487036262</v>
      </c>
      <c r="Q27">
        <v>7.2742282770097528</v>
      </c>
      <c r="R27">
        <v>-8.2947980866587177</v>
      </c>
      <c r="S27">
        <v>12.244770978380233</v>
      </c>
      <c r="T27">
        <v>-7.2645120815323061</v>
      </c>
      <c r="U27">
        <v>18.563798851674093</v>
      </c>
      <c r="V27">
        <v>-5.5977367265424611</v>
      </c>
      <c r="W27">
        <v>27.968207417030115</v>
      </c>
      <c r="X27">
        <v>-2.6261661477650162</v>
      </c>
      <c r="Y27">
        <v>46.056299419127214</v>
      </c>
      <c r="Z27">
        <v>3.8983976808621912</v>
      </c>
    </row>
    <row r="28" spans="1:26">
      <c r="A28">
        <v>-90.527387672935603</v>
      </c>
      <c r="B28">
        <v>13.506179323633903</v>
      </c>
      <c r="C28">
        <v>-42.24253163918781</v>
      </c>
      <c r="D28">
        <v>-0.82544998218848231</v>
      </c>
      <c r="E28">
        <v>-25.614258371701574</v>
      </c>
      <c r="F28">
        <v>-5.0202907190873409</v>
      </c>
      <c r="G28">
        <v>-16.524324654647565</v>
      </c>
      <c r="H28">
        <v>-6.7982498938549956</v>
      </c>
      <c r="I28">
        <v>-10.345706706031965</v>
      </c>
      <c r="J28">
        <v>-7.608210924690491</v>
      </c>
      <c r="K28">
        <v>-5.5291661922230375</v>
      </c>
      <c r="L28">
        <v>-7.9041171523446456</v>
      </c>
      <c r="M28">
        <v>-1.3734812356226171</v>
      </c>
      <c r="N28">
        <v>-7.8552784270444649</v>
      </c>
      <c r="O28">
        <v>2.5302184978233289</v>
      </c>
      <c r="P28">
        <v>-7.5137760888813219</v>
      </c>
      <c r="Q28">
        <v>6.5007423439392484</v>
      </c>
      <c r="R28">
        <v>-6.8584515093445937</v>
      </c>
      <c r="S28">
        <v>10.887404251692793</v>
      </c>
      <c r="T28">
        <v>-5.7893308543108013</v>
      </c>
      <c r="U28">
        <v>16.221167685321483</v>
      </c>
      <c r="V28">
        <v>-4.0696686193750917</v>
      </c>
      <c r="W28">
        <v>23.569662448694295</v>
      </c>
      <c r="X28">
        <v>-1.1360192882574809</v>
      </c>
      <c r="Y28">
        <v>35.79580539071614</v>
      </c>
      <c r="Z28">
        <v>4.6201572694014157</v>
      </c>
    </row>
    <row r="29" spans="1:26">
      <c r="A29">
        <v>-63.380976283456754</v>
      </c>
      <c r="B29">
        <v>11.596604329057651</v>
      </c>
      <c r="C29">
        <v>-35.196655179766587</v>
      </c>
      <c r="D29">
        <v>0.55058275085492903</v>
      </c>
      <c r="E29">
        <v>-22.667843776891733</v>
      </c>
      <c r="F29">
        <v>-3.5511905851121863</v>
      </c>
      <c r="G29">
        <v>-15.064519703619421</v>
      </c>
      <c r="H29">
        <v>-5.4740353490478073</v>
      </c>
      <c r="I29">
        <v>-9.6012788177512114</v>
      </c>
      <c r="J29">
        <v>-6.4177023665560204</v>
      </c>
      <c r="K29">
        <v>-5.2067275818999272</v>
      </c>
      <c r="L29">
        <v>-6.8091314318633209</v>
      </c>
      <c r="M29">
        <v>-1.3531416878841356</v>
      </c>
      <c r="N29">
        <v>-6.8201728922249529</v>
      </c>
      <c r="O29">
        <v>2.2840273333644459</v>
      </c>
      <c r="P29">
        <v>-6.5087195275458818</v>
      </c>
      <c r="Q29">
        <v>5.9627737871261779</v>
      </c>
      <c r="R29">
        <v>-5.8594555842168381</v>
      </c>
      <c r="S29">
        <v>9.9595818640598601</v>
      </c>
      <c r="T29">
        <v>-4.780976854229948</v>
      </c>
      <c r="U29">
        <v>14.671370287011904</v>
      </c>
      <c r="V29">
        <v>-3.05875575740074</v>
      </c>
      <c r="W29">
        <v>20.832159537615649</v>
      </c>
      <c r="X29">
        <v>-0.2086032006188519</v>
      </c>
      <c r="Y29">
        <v>30.181425727146571</v>
      </c>
      <c r="Z29">
        <v>5.0150926735506154</v>
      </c>
    </row>
    <row r="30" spans="1:26">
      <c r="A30">
        <v>-50.078690206242989</v>
      </c>
      <c r="B30">
        <v>10.660874279906764</v>
      </c>
      <c r="C30">
        <v>-30.666402100117523</v>
      </c>
      <c r="D30">
        <v>1.4353238561623449</v>
      </c>
      <c r="E30">
        <v>-20.573668450628293</v>
      </c>
      <c r="F30">
        <v>-2.5070221039349341</v>
      </c>
      <c r="G30">
        <v>-13.974275057976126</v>
      </c>
      <c r="H30">
        <v>-4.4850554061162553</v>
      </c>
      <c r="I30">
        <v>-9.0299141154512856</v>
      </c>
      <c r="J30">
        <v>-5.5039609839286676</v>
      </c>
      <c r="K30">
        <v>-4.9554710595765803</v>
      </c>
      <c r="L30">
        <v>-5.955876594155864</v>
      </c>
      <c r="M30">
        <v>-1.3371783044902941</v>
      </c>
      <c r="N30">
        <v>-6.0077759442756626</v>
      </c>
      <c r="O30">
        <v>2.0906397493096556</v>
      </c>
      <c r="P30">
        <v>-5.7192295364559005</v>
      </c>
      <c r="Q30">
        <v>5.5424093795293565</v>
      </c>
      <c r="R30">
        <v>-5.0788480097784587</v>
      </c>
      <c r="S30">
        <v>9.2436533581595981</v>
      </c>
      <c r="T30">
        <v>-4.0029083550011482</v>
      </c>
      <c r="U30">
        <v>13.502900053389512</v>
      </c>
      <c r="V30">
        <v>-2.2965776886470737</v>
      </c>
      <c r="W30">
        <v>18.85212488128003</v>
      </c>
      <c r="X30">
        <v>0.4621964492869528</v>
      </c>
      <c r="Y30">
        <v>26.434326779380569</v>
      </c>
      <c r="Z30">
        <v>5.2786769207873112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0FCD8-4367-4C8D-864B-E77EE0B6D811}">
  <sheetPr codeName="Sheet10"/>
  <dimension ref="A1:AB36"/>
  <sheetViews>
    <sheetView zoomScaleNormal="100" workbookViewId="0">
      <selection activeCell="A10" sqref="A10"/>
    </sheetView>
  </sheetViews>
  <sheetFormatPr defaultRowHeight="15"/>
  <cols>
    <col min="1" max="1" width="11.7109375" customWidth="1"/>
    <col min="2" max="2" width="11" customWidth="1"/>
    <col min="3" max="3" width="10" customWidth="1"/>
    <col min="5" max="5" width="10.28515625" customWidth="1"/>
    <col min="6" max="13" width="11.28515625" customWidth="1"/>
    <col min="14" max="14" width="10.28515625" customWidth="1"/>
    <col min="16" max="16" width="12" customWidth="1"/>
    <col min="18" max="18" width="11.5703125" customWidth="1"/>
    <col min="20" max="20" width="11.5703125" customWidth="1"/>
    <col min="22" max="22" width="10.42578125" customWidth="1"/>
    <col min="26" max="26" width="9.28515625" customWidth="1"/>
    <col min="28" max="28" width="9.140625" style="5"/>
  </cols>
  <sheetData>
    <row r="1" spans="1:28">
      <c r="E1" s="6"/>
      <c r="Q1" s="5"/>
      <c r="AB1" s="5" t="s">
        <v>485</v>
      </c>
    </row>
    <row r="2" spans="1:28">
      <c r="B2" s="6" t="s">
        <v>496</v>
      </c>
      <c r="D2" s="8" t="s">
        <v>401</v>
      </c>
      <c r="F2" s="135" t="s">
        <v>393</v>
      </c>
      <c r="G2" s="135" t="s">
        <v>394</v>
      </c>
      <c r="H2" s="135" t="s">
        <v>389</v>
      </c>
      <c r="I2" s="135" t="s">
        <v>395</v>
      </c>
      <c r="J2" s="135" t="s">
        <v>396</v>
      </c>
      <c r="AB2" s="5" t="s">
        <v>486</v>
      </c>
    </row>
    <row r="3" spans="1:28">
      <c r="B3" s="6"/>
      <c r="D3" s="6"/>
      <c r="F3" s="11" t="str">
        <f>Enter!B2</f>
        <v>Tehran</v>
      </c>
      <c r="G3" s="2">
        <f>Enter!B3</f>
        <v>51.3797</v>
      </c>
      <c r="H3" s="2">
        <f>Enter!B4</f>
        <v>35.7029</v>
      </c>
      <c r="I3" s="2">
        <f>Enter!B5</f>
        <v>1210</v>
      </c>
      <c r="J3" s="2">
        <f>Enter!B6</f>
        <v>3.5</v>
      </c>
      <c r="AB3" s="5" t="s">
        <v>487</v>
      </c>
    </row>
    <row r="4" spans="1:28" ht="13.5" customHeight="1">
      <c r="A4">
        <v>1</v>
      </c>
      <c r="B4">
        <v>1</v>
      </c>
      <c r="AB4" s="5" t="s">
        <v>488</v>
      </c>
    </row>
    <row r="5" spans="1:28">
      <c r="B5" t="s">
        <v>3</v>
      </c>
      <c r="AB5" s="5" t="s">
        <v>500</v>
      </c>
    </row>
    <row r="6" spans="1:28">
      <c r="AB6" s="5" t="s">
        <v>501</v>
      </c>
    </row>
    <row r="7" spans="1:28" ht="25.5">
      <c r="D7" s="175" t="s">
        <v>483</v>
      </c>
      <c r="E7" s="175" t="s">
        <v>484</v>
      </c>
      <c r="G7" s="174" t="s">
        <v>407</v>
      </c>
      <c r="H7" s="175" t="s">
        <v>498</v>
      </c>
      <c r="I7" s="175" t="s">
        <v>497</v>
      </c>
      <c r="J7" s="174" t="s">
        <v>478</v>
      </c>
      <c r="K7" s="171" t="s">
        <v>499</v>
      </c>
      <c r="L7" s="171" t="s">
        <v>479</v>
      </c>
      <c r="M7" s="174" t="s">
        <v>481</v>
      </c>
      <c r="N7" s="174" t="s">
        <v>482</v>
      </c>
    </row>
    <row r="8" spans="1:28">
      <c r="D8" s="2">
        <v>90</v>
      </c>
      <c r="E8" s="2">
        <v>0</v>
      </c>
      <c r="G8" s="2">
        <v>10</v>
      </c>
      <c r="H8" s="2">
        <v>35.7029</v>
      </c>
      <c r="I8" s="2">
        <v>0</v>
      </c>
      <c r="J8">
        <v>12.314452143536792</v>
      </c>
      <c r="K8">
        <v>-54.297100000000107</v>
      </c>
      <c r="L8">
        <v>90.000000000000171</v>
      </c>
      <c r="M8">
        <v>0</v>
      </c>
      <c r="N8">
        <v>-7.1864964757145673</v>
      </c>
    </row>
    <row r="10" spans="1:28" s="6" customFormat="1">
      <c r="A10" s="36"/>
      <c r="B10" s="120">
        <v>44733</v>
      </c>
      <c r="C10" s="36"/>
      <c r="D10" s="120">
        <v>44655</v>
      </c>
      <c r="E10" s="36"/>
      <c r="F10" s="120">
        <v>44671</v>
      </c>
      <c r="G10" s="36"/>
      <c r="H10" s="120">
        <v>44686</v>
      </c>
      <c r="I10" s="36"/>
      <c r="J10" s="120">
        <v>44702</v>
      </c>
      <c r="K10" s="36"/>
      <c r="L10" s="120">
        <v>44827</v>
      </c>
      <c r="M10" s="36"/>
      <c r="N10" s="120">
        <v>44841</v>
      </c>
      <c r="O10" s="36"/>
      <c r="P10" s="120">
        <v>44857</v>
      </c>
      <c r="Q10" s="36"/>
      <c r="R10" s="120">
        <v>44872</v>
      </c>
      <c r="S10" s="36"/>
      <c r="T10" s="120">
        <v>44887</v>
      </c>
      <c r="U10" s="36"/>
      <c r="V10" s="120">
        <v>44916</v>
      </c>
      <c r="W10" s="36"/>
      <c r="X10" s="120"/>
      <c r="AB10" s="41"/>
    </row>
    <row r="11" spans="1:28">
      <c r="A11" s="32">
        <v>-39.322121961711851</v>
      </c>
      <c r="B11" s="31">
        <v>-13.837456900012233</v>
      </c>
      <c r="C11" s="32">
        <v>-164.77640463681686</v>
      </c>
      <c r="D11" s="31">
        <v>-13.251888527111065</v>
      </c>
      <c r="E11" s="32">
        <v>-83.165746693415755</v>
      </c>
      <c r="F11" s="31">
        <v>-13.718685912277826</v>
      </c>
      <c r="G11" s="32">
        <v>-58.427405196589341</v>
      </c>
      <c r="H11" s="31">
        <v>-13.802286416684252</v>
      </c>
      <c r="I11" s="32">
        <v>-46.392019481017577</v>
      </c>
      <c r="J11" s="31">
        <v>-13.827876645206281</v>
      </c>
      <c r="K11" s="32">
        <v>-1452.9354644386083</v>
      </c>
      <c r="L11" s="31">
        <v>0.13136046699440104</v>
      </c>
      <c r="M11" s="32"/>
      <c r="N11" s="31"/>
      <c r="O11" s="32"/>
      <c r="P11" s="31"/>
      <c r="Q11" s="32"/>
      <c r="R11" s="31"/>
      <c r="S11" s="32"/>
      <c r="T11" s="31"/>
      <c r="U11" s="32"/>
      <c r="V11" s="31"/>
      <c r="W11" s="32"/>
      <c r="X11" s="31"/>
    </row>
    <row r="12" spans="1:28">
      <c r="A12" s="32">
        <v>-20.819194017301196</v>
      </c>
      <c r="B12" s="31">
        <v>-4.3300526879251171</v>
      </c>
      <c r="C12" s="32">
        <v>-35.950562649532628</v>
      </c>
      <c r="D12" s="31">
        <v>2.6210294003425467</v>
      </c>
      <c r="E12" s="32">
        <v>-29.326394939294367</v>
      </c>
      <c r="F12" s="31">
        <v>-0.42802535585394086</v>
      </c>
      <c r="G12" s="32">
        <v>-25.375665801304695</v>
      </c>
      <c r="H12" s="31">
        <v>-2.2424296050603196</v>
      </c>
      <c r="I12" s="32">
        <v>-22.716953004327749</v>
      </c>
      <c r="J12" s="31">
        <v>-3.4612011589171328</v>
      </c>
      <c r="K12" s="32">
        <v>-45.853611827568372</v>
      </c>
      <c r="L12" s="31">
        <v>7.1868079181067595</v>
      </c>
      <c r="M12" s="32">
        <v>-62.048654383988755</v>
      </c>
      <c r="N12" s="31">
        <v>14.680865795644261</v>
      </c>
      <c r="O12" s="32">
        <v>-101.49617389193506</v>
      </c>
      <c r="P12" s="31">
        <v>33.013975496673687</v>
      </c>
      <c r="Q12" s="32">
        <v>-217.43246837957491</v>
      </c>
      <c r="R12" s="31">
        <v>87.267172248081039</v>
      </c>
      <c r="S12" s="32">
        <v>-1934.3857588856213</v>
      </c>
      <c r="T12" s="31">
        <v>898.10176158319155</v>
      </c>
      <c r="U12" s="32"/>
      <c r="V12" s="31"/>
      <c r="W12" s="32"/>
      <c r="X12" s="31"/>
    </row>
    <row r="13" spans="1:28">
      <c r="A13" s="32">
        <v>-13.129321007912969</v>
      </c>
      <c r="B13" s="31">
        <v>-0.91228424569649169</v>
      </c>
      <c r="C13" s="32">
        <v>-18.651140965532637</v>
      </c>
      <c r="D13" s="31">
        <v>4.5434437469629989</v>
      </c>
      <c r="E13" s="32">
        <v>-16.492784321972316</v>
      </c>
      <c r="F13" s="31">
        <v>2.4083076706027429</v>
      </c>
      <c r="G13" s="32">
        <v>-15.024847954713827</v>
      </c>
      <c r="H13" s="31">
        <v>0.95795989289818095</v>
      </c>
      <c r="I13" s="32">
        <v>-13.947110634663472</v>
      </c>
      <c r="J13" s="31">
        <v>-0.10572754804286319</v>
      </c>
      <c r="K13" s="32">
        <v>-21.340127623791105</v>
      </c>
      <c r="L13" s="31">
        <v>7.204982091309331</v>
      </c>
      <c r="M13" s="32">
        <v>-24.704596670542582</v>
      </c>
      <c r="N13" s="31">
        <v>10.541382018759929</v>
      </c>
      <c r="O13" s="32">
        <v>-29.93066338368498</v>
      </c>
      <c r="P13" s="31">
        <v>15.730713108896154</v>
      </c>
      <c r="Q13" s="32">
        <v>-36.54274603191395</v>
      </c>
      <c r="R13" s="31">
        <v>22.305385958349063</v>
      </c>
      <c r="S13" s="32">
        <v>-44.675396131479182</v>
      </c>
      <c r="T13" s="31">
        <v>30.40283333764765</v>
      </c>
      <c r="U13" s="32">
        <v>-55.827316194484524</v>
      </c>
      <c r="V13" s="31">
        <v>41.522697355065056</v>
      </c>
      <c r="W13" s="32"/>
      <c r="X13" s="31"/>
    </row>
    <row r="14" spans="1:28">
      <c r="A14" s="32">
        <v>-8.5430798215484174</v>
      </c>
      <c r="B14" s="31">
        <v>0.73299107573535505</v>
      </c>
      <c r="C14" s="32">
        <v>-11.178827377327158</v>
      </c>
      <c r="D14" s="31">
        <v>5.2425982424986772</v>
      </c>
      <c r="E14" s="32">
        <v>-10.198954272379689</v>
      </c>
      <c r="F14" s="31">
        <v>3.5643990054406078</v>
      </c>
      <c r="G14" s="32">
        <v>-9.4964238189352663</v>
      </c>
      <c r="H14" s="31">
        <v>2.3623760948166113</v>
      </c>
      <c r="I14" s="32">
        <v>-8.9607722286301819</v>
      </c>
      <c r="J14" s="31">
        <v>1.4466575584375203</v>
      </c>
      <c r="K14" s="32">
        <v>-12.325921144597851</v>
      </c>
      <c r="L14" s="31">
        <v>7.2079255331706653</v>
      </c>
      <c r="M14" s="32">
        <v>-13.641351373591549</v>
      </c>
      <c r="N14" s="31">
        <v>9.4651514164540362</v>
      </c>
      <c r="O14" s="32">
        <v>-15.470919526927851</v>
      </c>
      <c r="P14" s="31">
        <v>12.607676352731927</v>
      </c>
      <c r="Q14" s="32">
        <v>-17.477856040126959</v>
      </c>
      <c r="R14" s="31">
        <v>16.0580995903203</v>
      </c>
      <c r="S14" s="32">
        <v>-19.572997056835991</v>
      </c>
      <c r="T14" s="31">
        <v>19.663085220910929</v>
      </c>
      <c r="U14" s="32">
        <v>-21.935300205823612</v>
      </c>
      <c r="V14" s="31">
        <v>23.731024146698953</v>
      </c>
      <c r="W14" s="32"/>
      <c r="X14" s="31"/>
    </row>
    <row r="15" spans="1:28">
      <c r="A15" s="32">
        <v>-5.2263357160609409</v>
      </c>
      <c r="B15" s="31">
        <v>1.603426136056312</v>
      </c>
      <c r="C15" s="32">
        <v>-6.5643095682502901</v>
      </c>
      <c r="D15" s="31">
        <v>5.5683724072795249</v>
      </c>
      <c r="E15" s="32">
        <v>-6.0793234390910724</v>
      </c>
      <c r="F15" s="31">
        <v>4.129855599338609</v>
      </c>
      <c r="G15" s="32">
        <v>-5.7225812720019125</v>
      </c>
      <c r="H15" s="31">
        <v>3.0726429473707335</v>
      </c>
      <c r="I15" s="32">
        <v>-5.4453852470108952</v>
      </c>
      <c r="J15" s="31">
        <v>2.2517818586600775</v>
      </c>
      <c r="K15" s="32">
        <v>-7.1175297384085363</v>
      </c>
      <c r="L15" s="31">
        <v>7.2097916834259204</v>
      </c>
      <c r="M15" s="32">
        <v>-7.7261212944875375</v>
      </c>
      <c r="N15" s="31">
        <v>9.0180347628556294</v>
      </c>
      <c r="O15" s="32">
        <v>-8.5348828961414327</v>
      </c>
      <c r="P15" s="31">
        <v>11.423086988732235</v>
      </c>
      <c r="Q15" s="32">
        <v>-9.3751918900904663</v>
      </c>
      <c r="R15" s="31">
        <v>13.924002783603854</v>
      </c>
      <c r="S15" s="32">
        <v>-10.204203699121187</v>
      </c>
      <c r="T15" s="31">
        <v>16.392997472545119</v>
      </c>
      <c r="U15" s="32">
        <v>-11.08351946478173</v>
      </c>
      <c r="V15" s="31">
        <v>19.013588268884448</v>
      </c>
      <c r="W15" s="32"/>
      <c r="X15" s="31"/>
    </row>
    <row r="16" spans="1:28">
      <c r="A16" s="32">
        <v>-2.4939422831303939</v>
      </c>
      <c r="B16" s="31">
        <v>2.0398278947164101</v>
      </c>
      <c r="C16" s="32">
        <v>-3.0703785628681506</v>
      </c>
      <c r="D16" s="31">
        <v>5.7205679771256879</v>
      </c>
      <c r="E16" s="32">
        <v>-2.8639626094741022</v>
      </c>
      <c r="F16" s="31">
        <v>4.4013942927533822</v>
      </c>
      <c r="G16" s="32">
        <v>-2.7102575788684229</v>
      </c>
      <c r="H16" s="31">
        <v>3.4198903901958495</v>
      </c>
      <c r="I16" s="32">
        <v>-2.5897338437200634</v>
      </c>
      <c r="J16" s="31">
        <v>2.6508099791233253</v>
      </c>
      <c r="K16" s="32">
        <v>-3.3037089791954659</v>
      </c>
      <c r="L16" s="31">
        <v>7.2121799592582638</v>
      </c>
      <c r="M16" s="32">
        <v>-3.5548244100000437</v>
      </c>
      <c r="N16" s="31">
        <v>8.8196292987944602</v>
      </c>
      <c r="O16" s="32">
        <v>-3.8818022755270665</v>
      </c>
      <c r="P16" s="31">
        <v>10.914388001084124</v>
      </c>
      <c r="Q16" s="32">
        <v>-4.2136351604735509</v>
      </c>
      <c r="R16" s="31">
        <v>13.041891565706738</v>
      </c>
      <c r="S16" s="32">
        <v>-4.5333314976736006</v>
      </c>
      <c r="T16" s="31">
        <v>15.0929077131289</v>
      </c>
      <c r="U16" s="32">
        <v>-4.8638728785256715</v>
      </c>
      <c r="V16" s="31">
        <v>17.214856716303668</v>
      </c>
      <c r="W16" s="32"/>
      <c r="X16" s="31"/>
    </row>
    <row r="17" spans="1:28">
      <c r="A17" s="32">
        <v>0</v>
      </c>
      <c r="B17" s="31">
        <v>2.1734815402251995</v>
      </c>
      <c r="C17" s="32">
        <v>0</v>
      </c>
      <c r="D17" s="31">
        <v>5.7635387747261415</v>
      </c>
      <c r="E17" s="32">
        <v>0</v>
      </c>
      <c r="F17" s="31">
        <v>4.4812004361056221</v>
      </c>
      <c r="G17" s="32">
        <v>0</v>
      </c>
      <c r="H17" s="31">
        <v>3.5236631355274488</v>
      </c>
      <c r="I17" s="32">
        <v>0</v>
      </c>
      <c r="J17" s="31">
        <v>2.7714377036502178</v>
      </c>
      <c r="K17" s="32">
        <v>0</v>
      </c>
      <c r="L17" s="31">
        <v>7.2157055891502733</v>
      </c>
      <c r="M17" s="32">
        <v>0</v>
      </c>
      <c r="N17" s="31">
        <v>8.7648894899754879</v>
      </c>
      <c r="O17" s="32">
        <v>0</v>
      </c>
      <c r="P17" s="31">
        <v>10.771576191271258</v>
      </c>
      <c r="Q17" s="32">
        <v>0</v>
      </c>
      <c r="R17" s="31">
        <v>12.795531503679612</v>
      </c>
      <c r="S17" s="32">
        <v>0</v>
      </c>
      <c r="T17" s="31">
        <v>14.733004007037993</v>
      </c>
      <c r="U17" s="32">
        <v>0</v>
      </c>
      <c r="V17" s="31">
        <v>16.720287133645396</v>
      </c>
      <c r="W17" s="32"/>
      <c r="X17" s="31"/>
    </row>
    <row r="18" spans="1:28">
      <c r="A18" s="32">
        <v>2.4939417787347486</v>
      </c>
      <c r="B18" s="31">
        <v>2.0398244473160703</v>
      </c>
      <c r="C18" s="32">
        <v>3.0691886652165437</v>
      </c>
      <c r="D18" s="31">
        <v>5.7129584255231833</v>
      </c>
      <c r="E18" s="32">
        <v>2.8630029786949858</v>
      </c>
      <c r="F18" s="31">
        <v>4.3952600363745269</v>
      </c>
      <c r="G18" s="32">
        <v>2.7095126421937663</v>
      </c>
      <c r="H18" s="31">
        <v>3.4151303233532211</v>
      </c>
      <c r="I18" s="32">
        <v>2.589228396249788</v>
      </c>
      <c r="J18" s="31">
        <v>2.6475811215516094</v>
      </c>
      <c r="K18" s="32">
        <v>3.305101760351334</v>
      </c>
      <c r="L18" s="31">
        <v>7.2210906574198939</v>
      </c>
      <c r="M18" s="32">
        <v>3.5564228273491425</v>
      </c>
      <c r="N18" s="31">
        <v>8.8298601414899274</v>
      </c>
      <c r="O18" s="32">
        <v>3.883601525402852</v>
      </c>
      <c r="P18" s="31">
        <v>10.925910487818195</v>
      </c>
      <c r="Q18" s="32">
        <v>4.2154937067720466</v>
      </c>
      <c r="R18" s="31">
        <v>13.053799831743508</v>
      </c>
      <c r="S18" s="32">
        <v>4.5349646716767653</v>
      </c>
      <c r="T18" s="31">
        <v>15.103376883551073</v>
      </c>
      <c r="U18" s="32">
        <v>4.8639124283761701</v>
      </c>
      <c r="V18" s="31">
        <v>17.215111032762294</v>
      </c>
      <c r="W18" s="32"/>
      <c r="X18" s="31"/>
    </row>
    <row r="19" spans="1:28">
      <c r="A19" s="32">
        <v>5.2263334417103264</v>
      </c>
      <c r="B19" s="31">
        <v>1.6034188324672496</v>
      </c>
      <c r="C19" s="32">
        <v>6.5586817140869895</v>
      </c>
      <c r="D19" s="31">
        <v>5.5516682088615044</v>
      </c>
      <c r="E19" s="32">
        <v>6.074848733487217</v>
      </c>
      <c r="F19" s="31">
        <v>4.116580505297712</v>
      </c>
      <c r="G19" s="32">
        <v>5.7191441077098197</v>
      </c>
      <c r="H19" s="31">
        <v>3.0624499233516662</v>
      </c>
      <c r="I19" s="32">
        <v>5.4430721846942349</v>
      </c>
      <c r="J19" s="31">
        <v>2.2449244761725282</v>
      </c>
      <c r="K19" s="32">
        <v>7.1242252538837452</v>
      </c>
      <c r="L19" s="31">
        <v>7.2296738706849695</v>
      </c>
      <c r="M19" s="32">
        <v>7.7339413105816366</v>
      </c>
      <c r="N19" s="31">
        <v>9.041267790754123</v>
      </c>
      <c r="O19" s="32">
        <v>8.5438907047307566</v>
      </c>
      <c r="P19" s="31">
        <v>11.449864876222186</v>
      </c>
      <c r="Q19" s="32">
        <v>9.384719043802491</v>
      </c>
      <c r="R19" s="31">
        <v>13.952340343828395</v>
      </c>
      <c r="S19" s="32">
        <v>10.212770295013906</v>
      </c>
      <c r="T19" s="31">
        <v>16.418490855624107</v>
      </c>
      <c r="U19" s="32">
        <v>11.083731986375206</v>
      </c>
      <c r="V19" s="31">
        <v>19.014222446786558</v>
      </c>
      <c r="W19" s="32"/>
      <c r="X19" s="31"/>
    </row>
    <row r="20" spans="1:28">
      <c r="A20" s="32">
        <v>8.5430733950280811</v>
      </c>
      <c r="B20" s="31">
        <v>0.73297902479647414</v>
      </c>
      <c r="C20" s="32">
        <v>11.161530207876437</v>
      </c>
      <c r="D20" s="31">
        <v>5.2129516548013903</v>
      </c>
      <c r="E20" s="32">
        <v>10.185604862159073</v>
      </c>
      <c r="F20" s="31">
        <v>3.5415314050294207</v>
      </c>
      <c r="G20" s="32">
        <v>9.4863893136626078</v>
      </c>
      <c r="H20" s="31">
        <v>2.3451945341865681</v>
      </c>
      <c r="I20" s="32">
        <v>8.9541310344050533</v>
      </c>
      <c r="J20" s="31">
        <v>1.435290075035613</v>
      </c>
      <c r="K20" s="32">
        <v>12.347231016799176</v>
      </c>
      <c r="L20" s="31">
        <v>7.2444689377630738</v>
      </c>
      <c r="M20" s="32">
        <v>13.667221185532764</v>
      </c>
      <c r="N20" s="31">
        <v>9.5095411161443817</v>
      </c>
      <c r="O20" s="32">
        <v>15.502323340519295</v>
      </c>
      <c r="P20" s="31">
        <v>12.661601092795038</v>
      </c>
      <c r="Q20" s="32">
        <v>17.51297760427099</v>
      </c>
      <c r="R20" s="31">
        <v>16.118450592325019</v>
      </c>
      <c r="S20" s="32">
        <v>19.606411601784043</v>
      </c>
      <c r="T20" s="31">
        <v>19.720540639499191</v>
      </c>
      <c r="U20" s="32">
        <v>21.936181267023652</v>
      </c>
      <c r="V20" s="31">
        <v>23.732543190359976</v>
      </c>
      <c r="W20" s="32"/>
      <c r="X20" s="31"/>
    </row>
    <row r="21" spans="1:28">
      <c r="A21" s="32">
        <v>13.129304535665712</v>
      </c>
      <c r="B21" s="31">
        <v>-0.91230245459921566</v>
      </c>
      <c r="C21" s="32">
        <v>18.598810781327956</v>
      </c>
      <c r="D21" s="31">
        <v>4.4916297712251536</v>
      </c>
      <c r="E21" s="32">
        <v>16.454827459227378</v>
      </c>
      <c r="F21" s="31">
        <v>2.370752978739596</v>
      </c>
      <c r="G21" s="32">
        <v>14.997527677027529</v>
      </c>
      <c r="H21" s="31">
        <v>0.93094438513277755</v>
      </c>
      <c r="I21" s="32">
        <v>13.929606581364771</v>
      </c>
      <c r="J21" s="31">
        <v>-0.12302888683469146</v>
      </c>
      <c r="K21" s="32">
        <v>21.409723137226113</v>
      </c>
      <c r="L21" s="31">
        <v>7.2739411700031802</v>
      </c>
      <c r="M21" s="32">
        <v>24.797027328127523</v>
      </c>
      <c r="N21" s="31">
        <v>10.633048747051907</v>
      </c>
      <c r="O21" s="32">
        <v>30.058646783726736</v>
      </c>
      <c r="P21" s="31">
        <v>15.857787609143161</v>
      </c>
      <c r="Q21" s="32">
        <v>36.709739383959842</v>
      </c>
      <c r="R21" s="31">
        <v>22.471401762624044</v>
      </c>
      <c r="S21" s="32">
        <v>44.86434066451644</v>
      </c>
      <c r="T21" s="31">
        <v>30.590919293169712</v>
      </c>
      <c r="U21" s="32">
        <v>55.833471648772061</v>
      </c>
      <c r="V21" s="31">
        <v>41.528843354660843</v>
      </c>
      <c r="W21" s="32"/>
      <c r="X21" s="31"/>
    </row>
    <row r="22" spans="1:28">
      <c r="A22" s="32">
        <v>20.819147816552235</v>
      </c>
      <c r="B22" s="31">
        <v>-4.3300777611361694</v>
      </c>
      <c r="C22" s="32">
        <v>35.73379468833852</v>
      </c>
      <c r="D22" s="31">
        <v>2.5211042018636505</v>
      </c>
      <c r="E22" s="32">
        <v>29.192350218167572</v>
      </c>
      <c r="F22" s="31">
        <v>-0.48971569733476106</v>
      </c>
      <c r="G22" s="32">
        <v>25.288532583422686</v>
      </c>
      <c r="H22" s="31">
        <v>-2.282485626130712</v>
      </c>
      <c r="I22" s="32">
        <v>22.664989940887327</v>
      </c>
      <c r="J22" s="31">
        <v>-3.4850702243449159</v>
      </c>
      <c r="K22" s="32">
        <v>46.214042560193597</v>
      </c>
      <c r="L22" s="31">
        <v>7.3532857575896866</v>
      </c>
      <c r="M22" s="32">
        <v>62.70177519439379</v>
      </c>
      <c r="N22" s="31">
        <v>14.983410545756412</v>
      </c>
      <c r="O22" s="32">
        <v>103.1345065206728</v>
      </c>
      <c r="P22" s="31">
        <v>33.776882511843233</v>
      </c>
      <c r="Q22" s="32">
        <v>223.87418846426939</v>
      </c>
      <c r="R22" s="31">
        <v>90.290581207446181</v>
      </c>
      <c r="S22" s="32">
        <v>2350.6437543303523</v>
      </c>
      <c r="T22" s="31">
        <v>1094.8570518269735</v>
      </c>
      <c r="U22" s="32"/>
      <c r="V22" s="31"/>
      <c r="W22" s="32"/>
      <c r="X22" s="31"/>
    </row>
    <row r="23" spans="1:28">
      <c r="A23" s="33">
        <v>39.321932604106934</v>
      </c>
      <c r="B23" s="34">
        <v>-13.837467093685426</v>
      </c>
      <c r="C23" s="33">
        <v>159.78827437459788</v>
      </c>
      <c r="D23" s="34">
        <v>-13.286755265411264</v>
      </c>
      <c r="E23" s="33">
        <v>81.942137445079709</v>
      </c>
      <c r="F23" s="34">
        <v>-13.723916724461285</v>
      </c>
      <c r="G23" s="33">
        <v>57.897830465418821</v>
      </c>
      <c r="H23" s="34">
        <v>-13.803901288300944</v>
      </c>
      <c r="I23" s="33">
        <v>46.142416987495565</v>
      </c>
      <c r="J23" s="34">
        <v>-13.828469265607678</v>
      </c>
      <c r="K23" s="33">
        <v>1937.7586613301817</v>
      </c>
      <c r="L23" s="34">
        <v>5.5212427679420149</v>
      </c>
      <c r="M23" s="33"/>
      <c r="N23" s="34"/>
      <c r="O23" s="33"/>
      <c r="P23" s="34"/>
      <c r="Q23" s="33"/>
      <c r="R23" s="34"/>
      <c r="S23" s="33"/>
      <c r="T23" s="34"/>
      <c r="U23" s="33"/>
      <c r="V23" s="34"/>
      <c r="W23" s="33"/>
      <c r="X23" s="34"/>
    </row>
    <row r="24" spans="1:28" s="6" customFormat="1">
      <c r="A24" s="36"/>
      <c r="B24" s="37">
        <v>6</v>
      </c>
      <c r="C24" s="36"/>
      <c r="D24" s="37">
        <v>7</v>
      </c>
      <c r="E24" s="36"/>
      <c r="F24" s="37">
        <v>8</v>
      </c>
      <c r="G24" s="36"/>
      <c r="H24" s="37">
        <v>9</v>
      </c>
      <c r="I24" s="36"/>
      <c r="J24" s="37">
        <v>10</v>
      </c>
      <c r="K24" s="36"/>
      <c r="L24" s="37">
        <v>11</v>
      </c>
      <c r="M24" s="36"/>
      <c r="N24" s="37">
        <v>12</v>
      </c>
      <c r="O24" s="36"/>
      <c r="P24" s="37">
        <v>13</v>
      </c>
      <c r="Q24" s="36"/>
      <c r="R24" s="37">
        <v>14</v>
      </c>
      <c r="S24" s="36"/>
      <c r="T24" s="37">
        <v>15</v>
      </c>
      <c r="U24" s="36"/>
      <c r="V24" s="37">
        <v>16</v>
      </c>
      <c r="W24" s="36"/>
      <c r="X24" s="37"/>
      <c r="Y24" s="38"/>
      <c r="Z24" s="37"/>
      <c r="AB24" s="41"/>
    </row>
    <row r="25" spans="1:28">
      <c r="A25" s="32">
        <v>-39.322121961711851</v>
      </c>
      <c r="B25" s="31">
        <v>-13.837456900012233</v>
      </c>
      <c r="C25" s="32">
        <v>-20.819194017301196</v>
      </c>
      <c r="D25" s="31">
        <v>-4.3300526879251171</v>
      </c>
      <c r="E25" s="32">
        <v>-13.129321007912969</v>
      </c>
      <c r="F25" s="31">
        <v>-0.91228424569649169</v>
      </c>
      <c r="G25" s="32">
        <v>-8.5430798215484174</v>
      </c>
      <c r="H25" s="31">
        <v>0.73299107573535505</v>
      </c>
      <c r="I25" s="32">
        <v>-5.2263357160609409</v>
      </c>
      <c r="J25" s="31">
        <v>1.603426136056312</v>
      </c>
      <c r="K25" s="32">
        <v>-2.4939422831303939</v>
      </c>
      <c r="L25" s="31">
        <v>2.0398278947164101</v>
      </c>
      <c r="M25" s="32">
        <v>0</v>
      </c>
      <c r="N25" s="31">
        <v>2.1734815402251995</v>
      </c>
      <c r="O25" s="32">
        <v>2.4939417787347486</v>
      </c>
      <c r="P25" s="31">
        <v>2.0398244473160703</v>
      </c>
      <c r="Q25" s="32">
        <v>5.2263334417103264</v>
      </c>
      <c r="R25" s="31">
        <v>1.6034188324672496</v>
      </c>
      <c r="S25" s="32">
        <v>8.5430733950280811</v>
      </c>
      <c r="T25" s="31">
        <v>0.73297902479647414</v>
      </c>
      <c r="U25" s="32">
        <v>13.129304535665712</v>
      </c>
      <c r="V25" s="31">
        <v>-0.91230245459921566</v>
      </c>
      <c r="W25" s="32"/>
      <c r="X25" s="31"/>
      <c r="Z25" s="31"/>
    </row>
    <row r="26" spans="1:28">
      <c r="A26" s="32">
        <v>-164.77640463681686</v>
      </c>
      <c r="B26" s="31">
        <v>-13.251888527111065</v>
      </c>
      <c r="C26" s="32">
        <v>-35.950562649532628</v>
      </c>
      <c r="D26" s="31">
        <v>2.6210294003425467</v>
      </c>
      <c r="E26" s="32">
        <v>-18.651140965532637</v>
      </c>
      <c r="F26" s="31">
        <v>4.5434437469629989</v>
      </c>
      <c r="G26" s="32">
        <v>-11.178827377327158</v>
      </c>
      <c r="H26" s="31">
        <v>5.2425982424986772</v>
      </c>
      <c r="I26" s="32">
        <v>-6.5643095682502901</v>
      </c>
      <c r="J26" s="31">
        <v>5.5683724072795249</v>
      </c>
      <c r="K26" s="32">
        <v>-3.0703785628681506</v>
      </c>
      <c r="L26" s="31">
        <v>5.7205679771256879</v>
      </c>
      <c r="M26" s="32">
        <v>0</v>
      </c>
      <c r="N26" s="31">
        <v>5.7635387747261415</v>
      </c>
      <c r="O26" s="32">
        <v>3.0691886652165437</v>
      </c>
      <c r="P26" s="31">
        <v>5.7129584255231833</v>
      </c>
      <c r="Q26" s="32">
        <v>6.5586817140869895</v>
      </c>
      <c r="R26" s="31">
        <v>5.5516682088615044</v>
      </c>
      <c r="S26" s="32">
        <v>11.161530207876437</v>
      </c>
      <c r="T26" s="31">
        <v>5.2129516548013903</v>
      </c>
      <c r="U26" s="32">
        <v>18.598810781327956</v>
      </c>
      <c r="V26" s="31">
        <v>4.4916297712251536</v>
      </c>
      <c r="W26" s="32"/>
      <c r="X26" s="31"/>
      <c r="Z26" s="31"/>
    </row>
    <row r="27" spans="1:28">
      <c r="A27" s="32">
        <v>-83.165746693415755</v>
      </c>
      <c r="B27" s="31">
        <v>-13.718685912277826</v>
      </c>
      <c r="C27" s="32">
        <v>-29.326394939294367</v>
      </c>
      <c r="D27" s="31">
        <v>-0.42802535585394086</v>
      </c>
      <c r="E27" s="32">
        <v>-16.492784321972316</v>
      </c>
      <c r="F27" s="31">
        <v>2.4083076706027429</v>
      </c>
      <c r="G27" s="32">
        <v>-10.198954272379689</v>
      </c>
      <c r="H27" s="31">
        <v>3.5643990054406078</v>
      </c>
      <c r="I27" s="32">
        <v>-6.0793234390910724</v>
      </c>
      <c r="J27" s="31">
        <v>4.129855599338609</v>
      </c>
      <c r="K27" s="32">
        <v>-2.8639626094741022</v>
      </c>
      <c r="L27" s="31">
        <v>4.4013942927533822</v>
      </c>
      <c r="M27" s="32">
        <v>0</v>
      </c>
      <c r="N27" s="31">
        <v>4.4812004361056221</v>
      </c>
      <c r="O27" s="32">
        <v>2.8630029786949858</v>
      </c>
      <c r="P27" s="31">
        <v>4.3952600363745269</v>
      </c>
      <c r="Q27" s="32">
        <v>6.074848733487217</v>
      </c>
      <c r="R27" s="31">
        <v>4.116580505297712</v>
      </c>
      <c r="S27" s="32">
        <v>10.185604862159073</v>
      </c>
      <c r="T27" s="31">
        <v>3.5415314050294207</v>
      </c>
      <c r="U27" s="32">
        <v>16.454827459227378</v>
      </c>
      <c r="V27" s="31">
        <v>2.370752978739596</v>
      </c>
      <c r="W27" s="32"/>
      <c r="X27" s="31"/>
      <c r="Z27" s="31"/>
    </row>
    <row r="28" spans="1:28">
      <c r="A28" s="32">
        <v>-58.427405196589341</v>
      </c>
      <c r="B28" s="31">
        <v>-13.802286416684252</v>
      </c>
      <c r="C28" s="32">
        <v>-25.375665801304695</v>
      </c>
      <c r="D28" s="31">
        <v>-2.2424296050603196</v>
      </c>
      <c r="E28" s="32">
        <v>-15.024847954713827</v>
      </c>
      <c r="F28" s="31">
        <v>0.95795989289818095</v>
      </c>
      <c r="G28" s="32">
        <v>-9.4964238189352663</v>
      </c>
      <c r="H28" s="31">
        <v>2.3623760948166113</v>
      </c>
      <c r="I28" s="32">
        <v>-5.7225812720019125</v>
      </c>
      <c r="J28" s="31">
        <v>3.0726429473707335</v>
      </c>
      <c r="K28" s="32">
        <v>-2.7102575788684229</v>
      </c>
      <c r="L28" s="31">
        <v>3.4198903901958495</v>
      </c>
      <c r="M28" s="32">
        <v>0</v>
      </c>
      <c r="N28" s="31">
        <v>3.5236631355274488</v>
      </c>
      <c r="O28" s="32">
        <v>2.7095126421937663</v>
      </c>
      <c r="P28" s="31">
        <v>3.4151303233532211</v>
      </c>
      <c r="Q28" s="32">
        <v>5.7191441077098197</v>
      </c>
      <c r="R28" s="31">
        <v>3.0624499233516662</v>
      </c>
      <c r="S28" s="32">
        <v>9.4863893136626078</v>
      </c>
      <c r="T28" s="31">
        <v>2.3451945341865681</v>
      </c>
      <c r="U28" s="32">
        <v>14.997527677027529</v>
      </c>
      <c r="V28" s="31">
        <v>0.93094438513277755</v>
      </c>
      <c r="W28" s="32"/>
      <c r="X28" s="31"/>
      <c r="Z28" s="31"/>
    </row>
    <row r="29" spans="1:28">
      <c r="A29" s="32">
        <v>-46.392019481017577</v>
      </c>
      <c r="B29" s="31">
        <v>-13.827876645206281</v>
      </c>
      <c r="C29" s="32">
        <v>-22.716953004327749</v>
      </c>
      <c r="D29" s="31">
        <v>-3.4612011589171328</v>
      </c>
      <c r="E29" s="32">
        <v>-13.947110634663472</v>
      </c>
      <c r="F29" s="31">
        <v>-0.10572754804286319</v>
      </c>
      <c r="G29" s="32">
        <v>-8.9607722286301819</v>
      </c>
      <c r="H29" s="31">
        <v>1.4466575584375203</v>
      </c>
      <c r="I29" s="32">
        <v>-5.4453852470108952</v>
      </c>
      <c r="J29" s="31">
        <v>2.2517818586600775</v>
      </c>
      <c r="K29" s="32">
        <v>-2.5897338437200634</v>
      </c>
      <c r="L29" s="31">
        <v>2.6508099791233253</v>
      </c>
      <c r="M29" s="32">
        <v>0</v>
      </c>
      <c r="N29" s="31">
        <v>2.7714377036502178</v>
      </c>
      <c r="O29" s="32">
        <v>2.589228396249788</v>
      </c>
      <c r="P29" s="31">
        <v>2.6475811215516094</v>
      </c>
      <c r="Q29" s="32">
        <v>5.4430721846942349</v>
      </c>
      <c r="R29" s="31">
        <v>2.2449244761725282</v>
      </c>
      <c r="S29" s="32">
        <v>8.9541310344050533</v>
      </c>
      <c r="T29" s="31">
        <v>1.435290075035613</v>
      </c>
      <c r="U29" s="32">
        <v>13.929606581364771</v>
      </c>
      <c r="V29" s="31">
        <v>-0.12302888683469146</v>
      </c>
      <c r="W29" s="32"/>
      <c r="X29" s="31"/>
      <c r="Z29" s="31"/>
    </row>
    <row r="30" spans="1:28">
      <c r="A30" s="32">
        <v>-1452.9354644386083</v>
      </c>
      <c r="B30" s="31">
        <v>0.13136046699440104</v>
      </c>
      <c r="C30" s="32">
        <v>-45.853611827568372</v>
      </c>
      <c r="D30" s="31">
        <v>7.1868079181067595</v>
      </c>
      <c r="E30" s="32">
        <v>-21.340127623791105</v>
      </c>
      <c r="F30" s="31">
        <v>7.204982091309331</v>
      </c>
      <c r="G30" s="32">
        <v>-12.325921144597851</v>
      </c>
      <c r="H30" s="31">
        <v>7.2079255331706653</v>
      </c>
      <c r="I30" s="32">
        <v>-7.1175297384085363</v>
      </c>
      <c r="J30" s="31">
        <v>7.2097916834259204</v>
      </c>
      <c r="K30" s="32">
        <v>-3.3037089791954659</v>
      </c>
      <c r="L30" s="31">
        <v>7.2121799592582638</v>
      </c>
      <c r="M30" s="32">
        <v>0</v>
      </c>
      <c r="N30" s="31">
        <v>7.2157055891502733</v>
      </c>
      <c r="O30" s="32">
        <v>3.305101760351334</v>
      </c>
      <c r="P30" s="31">
        <v>7.2210906574198939</v>
      </c>
      <c r="Q30" s="32">
        <v>7.1242252538837452</v>
      </c>
      <c r="R30" s="31">
        <v>7.2296738706849695</v>
      </c>
      <c r="S30" s="32">
        <v>12.347231016799176</v>
      </c>
      <c r="T30" s="31">
        <v>7.2444689377630738</v>
      </c>
      <c r="U30" s="32">
        <v>21.409723137226113</v>
      </c>
      <c r="V30" s="31">
        <v>7.2739411700031802</v>
      </c>
      <c r="W30" s="32"/>
      <c r="X30" s="31"/>
      <c r="Z30" s="31"/>
    </row>
    <row r="31" spans="1:28">
      <c r="A31" s="32">
        <v>0</v>
      </c>
      <c r="B31" s="31">
        <v>0</v>
      </c>
      <c r="C31" s="32">
        <v>-62.048654383988755</v>
      </c>
      <c r="D31" s="31">
        <v>14.680865795644261</v>
      </c>
      <c r="E31" s="32">
        <v>-24.704596670542582</v>
      </c>
      <c r="F31" s="31">
        <v>10.541382018759929</v>
      </c>
      <c r="G31" s="32">
        <v>-13.641351373591549</v>
      </c>
      <c r="H31" s="31">
        <v>9.4651514164540362</v>
      </c>
      <c r="I31" s="32">
        <v>-7.7261212944875375</v>
      </c>
      <c r="J31" s="31">
        <v>9.0180347628556294</v>
      </c>
      <c r="K31" s="32">
        <v>-3.5548244100000437</v>
      </c>
      <c r="L31" s="31">
        <v>8.8196292987944602</v>
      </c>
      <c r="M31" s="32">
        <v>0</v>
      </c>
      <c r="N31" s="31">
        <v>8.7648894899754879</v>
      </c>
      <c r="O31" s="32">
        <v>3.5564228273491425</v>
      </c>
      <c r="P31" s="31">
        <v>8.8298601414899274</v>
      </c>
      <c r="Q31" s="32">
        <v>7.7339413105816366</v>
      </c>
      <c r="R31" s="31">
        <v>9.041267790754123</v>
      </c>
      <c r="S31" s="32">
        <v>13.667221185532764</v>
      </c>
      <c r="T31" s="31">
        <v>9.5095411161443817</v>
      </c>
      <c r="U31" s="32">
        <v>24.797027328127523</v>
      </c>
      <c r="V31" s="31">
        <v>10.633048747051907</v>
      </c>
      <c r="W31" s="32"/>
      <c r="X31" s="31"/>
      <c r="Z31" s="31"/>
    </row>
    <row r="32" spans="1:28">
      <c r="A32" s="32">
        <v>0</v>
      </c>
      <c r="B32" s="31">
        <v>0</v>
      </c>
      <c r="C32" s="32">
        <v>-101.49617389193506</v>
      </c>
      <c r="D32" s="31">
        <v>33.013975496673687</v>
      </c>
      <c r="E32" s="32">
        <v>-29.93066338368498</v>
      </c>
      <c r="F32" s="31">
        <v>15.730713108896154</v>
      </c>
      <c r="G32" s="32">
        <v>-15.470919526927851</v>
      </c>
      <c r="H32" s="31">
        <v>12.607676352731927</v>
      </c>
      <c r="I32" s="32">
        <v>-8.5348828961414327</v>
      </c>
      <c r="J32" s="31">
        <v>11.423086988732235</v>
      </c>
      <c r="K32" s="32">
        <v>-3.8818022755270665</v>
      </c>
      <c r="L32" s="31">
        <v>10.914388001084124</v>
      </c>
      <c r="M32" s="32">
        <v>0</v>
      </c>
      <c r="N32" s="31">
        <v>10.771576191271258</v>
      </c>
      <c r="O32" s="32">
        <v>3.883601525402852</v>
      </c>
      <c r="P32" s="31">
        <v>10.925910487818195</v>
      </c>
      <c r="Q32" s="32">
        <v>8.5438907047307566</v>
      </c>
      <c r="R32" s="31">
        <v>11.449864876222186</v>
      </c>
      <c r="S32" s="32">
        <v>15.502323340519295</v>
      </c>
      <c r="T32" s="31">
        <v>12.661601092795038</v>
      </c>
      <c r="U32" s="32">
        <v>30.058646783726736</v>
      </c>
      <c r="V32" s="31">
        <v>15.857787609143161</v>
      </c>
      <c r="W32" s="32"/>
      <c r="X32" s="31"/>
      <c r="Z32" s="31"/>
    </row>
    <row r="33" spans="1:26">
      <c r="A33" s="32">
        <v>0</v>
      </c>
      <c r="B33" s="31">
        <v>0</v>
      </c>
      <c r="C33" s="32">
        <v>-217.43246837957491</v>
      </c>
      <c r="D33" s="31">
        <v>87.267172248081039</v>
      </c>
      <c r="E33" s="32">
        <v>-36.54274603191395</v>
      </c>
      <c r="F33" s="31">
        <v>22.305385958349063</v>
      </c>
      <c r="G33" s="32">
        <v>-17.477856040126959</v>
      </c>
      <c r="H33" s="31">
        <v>16.0580995903203</v>
      </c>
      <c r="I33" s="32">
        <v>-9.3751918900904663</v>
      </c>
      <c r="J33" s="31">
        <v>13.924002783603854</v>
      </c>
      <c r="K33" s="32">
        <v>-4.2136351604735509</v>
      </c>
      <c r="L33" s="31">
        <v>13.041891565706738</v>
      </c>
      <c r="M33" s="32">
        <v>0</v>
      </c>
      <c r="N33" s="31">
        <v>12.795531503679612</v>
      </c>
      <c r="O33" s="32">
        <v>4.2154937067720466</v>
      </c>
      <c r="P33" s="31">
        <v>13.053799831743508</v>
      </c>
      <c r="Q33" s="32">
        <v>9.384719043802491</v>
      </c>
      <c r="R33" s="31">
        <v>13.952340343828395</v>
      </c>
      <c r="S33" s="32">
        <v>17.51297760427099</v>
      </c>
      <c r="T33" s="31">
        <v>16.118450592325019</v>
      </c>
      <c r="U33" s="32">
        <v>36.709739383959842</v>
      </c>
      <c r="V33" s="31">
        <v>22.471401762624044</v>
      </c>
      <c r="W33" s="32"/>
      <c r="X33" s="31"/>
      <c r="Z33" s="31"/>
    </row>
    <row r="34" spans="1:26">
      <c r="A34" s="32">
        <v>0</v>
      </c>
      <c r="B34" s="31">
        <v>0</v>
      </c>
      <c r="C34" s="32">
        <v>-1934.3857588856213</v>
      </c>
      <c r="D34" s="31">
        <v>898.10176158319155</v>
      </c>
      <c r="E34" s="32">
        <v>-44.675396131479182</v>
      </c>
      <c r="F34" s="31">
        <v>30.40283333764765</v>
      </c>
      <c r="G34" s="32">
        <v>-19.572997056835991</v>
      </c>
      <c r="H34" s="31">
        <v>19.663085220910929</v>
      </c>
      <c r="I34" s="32">
        <v>-10.204203699121187</v>
      </c>
      <c r="J34" s="31">
        <v>16.392997472545119</v>
      </c>
      <c r="K34" s="32">
        <v>-4.5333314976736006</v>
      </c>
      <c r="L34" s="31">
        <v>15.0929077131289</v>
      </c>
      <c r="M34" s="32">
        <v>0</v>
      </c>
      <c r="N34" s="31">
        <v>14.733004007037993</v>
      </c>
      <c r="O34" s="32">
        <v>4.5349646716767653</v>
      </c>
      <c r="P34" s="31">
        <v>15.103376883551073</v>
      </c>
      <c r="Q34" s="32">
        <v>10.212770295013906</v>
      </c>
      <c r="R34" s="31">
        <v>16.418490855624107</v>
      </c>
      <c r="S34" s="32">
        <v>19.606411601784043</v>
      </c>
      <c r="T34" s="31">
        <v>19.720540639499191</v>
      </c>
      <c r="U34" s="32">
        <v>44.86434066451644</v>
      </c>
      <c r="V34" s="31">
        <v>30.590919293169712</v>
      </c>
      <c r="W34" s="32"/>
      <c r="X34" s="31"/>
      <c r="Z34" s="31"/>
    </row>
    <row r="35" spans="1:26">
      <c r="A35" s="32">
        <v>0</v>
      </c>
      <c r="B35" s="31">
        <v>0</v>
      </c>
      <c r="C35" s="32">
        <v>0</v>
      </c>
      <c r="D35" s="31">
        <v>0</v>
      </c>
      <c r="E35" s="32">
        <v>-55.827316194484524</v>
      </c>
      <c r="F35" s="31">
        <v>41.522697355065056</v>
      </c>
      <c r="G35" s="32">
        <v>-21.935300205823612</v>
      </c>
      <c r="H35" s="31">
        <v>23.731024146698953</v>
      </c>
      <c r="I35" s="32">
        <v>-11.08351946478173</v>
      </c>
      <c r="J35" s="31">
        <v>19.013588268884448</v>
      </c>
      <c r="K35" s="32">
        <v>-4.8638728785256715</v>
      </c>
      <c r="L35" s="31">
        <v>17.214856716303668</v>
      </c>
      <c r="M35" s="32">
        <v>0</v>
      </c>
      <c r="N35" s="31">
        <v>16.720287133645396</v>
      </c>
      <c r="O35" s="32">
        <v>4.8639124283761701</v>
      </c>
      <c r="P35" s="31">
        <v>17.215111032762294</v>
      </c>
      <c r="Q35" s="32">
        <v>11.083731986375206</v>
      </c>
      <c r="R35" s="31">
        <v>19.014222446786558</v>
      </c>
      <c r="S35" s="32">
        <v>21.936181267023652</v>
      </c>
      <c r="T35" s="31">
        <v>23.732543190359976</v>
      </c>
      <c r="U35" s="32">
        <v>55.833471648772061</v>
      </c>
      <c r="V35" s="31">
        <v>41.528843354660843</v>
      </c>
      <c r="W35" s="32"/>
      <c r="X35" s="31"/>
      <c r="Z35" s="31"/>
    </row>
    <row r="36" spans="1:26">
      <c r="A36" s="33"/>
      <c r="B36" s="34"/>
      <c r="C36" s="33"/>
      <c r="D36" s="34"/>
      <c r="E36" s="33"/>
      <c r="F36" s="34"/>
      <c r="G36" s="33"/>
      <c r="H36" s="34"/>
      <c r="I36" s="33"/>
      <c r="J36" s="34"/>
      <c r="K36" s="33"/>
      <c r="L36" s="34"/>
      <c r="M36" s="33"/>
      <c r="N36" s="34"/>
      <c r="O36" s="33"/>
      <c r="P36" s="34"/>
      <c r="Q36" s="33"/>
      <c r="R36" s="34"/>
      <c r="S36" s="33"/>
      <c r="T36" s="34"/>
      <c r="U36" s="33"/>
      <c r="V36" s="34"/>
      <c r="W36" s="33"/>
      <c r="X36" s="34"/>
      <c r="Y36" s="35"/>
      <c r="Z36" s="3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VectorGnom">
                <anchor moveWithCells="1" sizeWithCells="1">
                  <from>
                    <xdr:col>4</xdr:col>
                    <xdr:colOff>657225</xdr:colOff>
                    <xdr:row>3</xdr:row>
                    <xdr:rowOff>123825</xdr:rowOff>
                  </from>
                  <to>
                    <xdr:col>7</xdr:col>
                    <xdr:colOff>600075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5" name="List Box 5">
              <controlPr defaultSize="0" autoLine="0" autoPict="0">
                <anchor moveWithCells="1">
                  <from>
                    <xdr:col>0</xdr:col>
                    <xdr:colOff>123825</xdr:colOff>
                    <xdr:row>2</xdr:row>
                    <xdr:rowOff>9525</xdr:rowOff>
                  </from>
                  <to>
                    <xdr:col>2</xdr:col>
                    <xdr:colOff>323850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6" name="Option Button 7">
              <controlPr defaultSize="0" autoFill="0" autoLine="0" autoPict="0">
                <anchor moveWithCells="1">
                  <from>
                    <xdr:col>2</xdr:col>
                    <xdr:colOff>609600</xdr:colOff>
                    <xdr:row>2</xdr:row>
                    <xdr:rowOff>76200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7" name="Option Button 8">
              <controlPr defaultSize="0" autoFill="0" autoLine="0" autoPict="0">
                <anchor moveWithCells="1">
                  <from>
                    <xdr:col>2</xdr:col>
                    <xdr:colOff>600075</xdr:colOff>
                    <xdr:row>3</xdr:row>
                    <xdr:rowOff>161925</xdr:rowOff>
                  </from>
                  <to>
                    <xdr:col>4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0402-2850-40FF-BF84-4451D7BABBC7}">
  <sheetPr codeName="Sheet17"/>
  <dimension ref="A1:V30"/>
  <sheetViews>
    <sheetView workbookViewId="0">
      <selection activeCell="G1" sqref="G1"/>
    </sheetView>
  </sheetViews>
  <sheetFormatPr defaultRowHeight="15"/>
  <cols>
    <col min="2" max="2" width="10.5703125" customWidth="1"/>
    <col min="4" max="4" width="9.7109375" customWidth="1"/>
    <col min="6" max="6" width="10.140625" customWidth="1"/>
    <col min="10" max="10" width="9.7109375" customWidth="1"/>
    <col min="12" max="12" width="9.85546875" customWidth="1"/>
    <col min="14" max="14" width="10.140625" customWidth="1"/>
    <col min="16" max="16" width="10.7109375" customWidth="1"/>
    <col min="18" max="18" width="9.5703125" customWidth="1"/>
    <col min="20" max="20" width="10.85546875" customWidth="1"/>
    <col min="22" max="22" width="10.42578125" customWidth="1"/>
  </cols>
  <sheetData>
    <row r="1" spans="1:22" ht="25.5">
      <c r="A1" s="135" t="s">
        <v>393</v>
      </c>
      <c r="B1" s="135" t="s">
        <v>394</v>
      </c>
      <c r="C1" s="135" t="s">
        <v>389</v>
      </c>
      <c r="D1" s="135" t="s">
        <v>395</v>
      </c>
      <c r="E1" s="135" t="s">
        <v>396</v>
      </c>
      <c r="G1" s="179" t="s">
        <v>494</v>
      </c>
      <c r="K1" s="174" t="s">
        <v>407</v>
      </c>
      <c r="L1" s="174" t="s">
        <v>408</v>
      </c>
      <c r="M1" s="174" t="s">
        <v>405</v>
      </c>
      <c r="N1" s="174" t="s">
        <v>478</v>
      </c>
      <c r="O1" s="171" t="s">
        <v>479</v>
      </c>
      <c r="P1" s="174" t="s">
        <v>481</v>
      </c>
      <c r="Q1" s="174" t="s">
        <v>482</v>
      </c>
    </row>
    <row r="2" spans="1:22">
      <c r="A2" t="str">
        <f>Enter!B2</f>
        <v>Tehran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176">
        <v>44733</v>
      </c>
      <c r="D5" s="176">
        <v>44655</v>
      </c>
      <c r="F5" s="176">
        <v>44671</v>
      </c>
      <c r="H5" s="176">
        <v>44686</v>
      </c>
      <c r="J5" s="176">
        <v>44702</v>
      </c>
      <c r="L5" s="176">
        <v>44827</v>
      </c>
      <c r="N5" s="176">
        <v>44841</v>
      </c>
      <c r="P5" s="176">
        <v>44857</v>
      </c>
      <c r="R5" s="176">
        <v>44872</v>
      </c>
      <c r="T5" s="176">
        <v>44887</v>
      </c>
      <c r="V5" s="176">
        <v>44916</v>
      </c>
    </row>
    <row r="6" spans="1:22">
      <c r="A6">
        <v>-8690.9730844594051</v>
      </c>
      <c r="B6">
        <v>-3773.3817835058035</v>
      </c>
      <c r="C6">
        <v>-4258.0948576907158</v>
      </c>
      <c r="D6">
        <v>-428.89579666024741</v>
      </c>
      <c r="E6">
        <v>-7259.7424461942674</v>
      </c>
      <c r="F6">
        <v>-1481.8887054740153</v>
      </c>
      <c r="G6">
        <v>-8883.6412872773162</v>
      </c>
      <c r="H6">
        <v>-2591.4723196158775</v>
      </c>
      <c r="I6">
        <v>-9125.8823800808059</v>
      </c>
      <c r="J6">
        <v>-3356.857709037019</v>
      </c>
      <c r="K6">
        <v>-1772.4778518613423</v>
      </c>
      <c r="L6">
        <v>-6.9891568629741396</v>
      </c>
    </row>
    <row r="7" spans="1:22">
      <c r="A7">
        <v>-37.219684009124073</v>
      </c>
      <c r="B7">
        <v>-16.719221053001935</v>
      </c>
      <c r="C7">
        <v>-37.253981468668208</v>
      </c>
      <c r="D7">
        <v>-3.8418209656832012</v>
      </c>
      <c r="E7">
        <v>-37.259966275114685</v>
      </c>
      <c r="F7">
        <v>-7.8561780823922218</v>
      </c>
      <c r="G7">
        <v>-37.251977535075774</v>
      </c>
      <c r="H7">
        <v>-11.240328975718377</v>
      </c>
      <c r="I7">
        <v>-37.236974579565654</v>
      </c>
      <c r="J7">
        <v>-14.173102346671621</v>
      </c>
      <c r="K7">
        <v>-37.235058886464209</v>
      </c>
      <c r="L7">
        <v>2.0537194970036878E-4</v>
      </c>
      <c r="M7">
        <v>-37.18152547130255</v>
      </c>
      <c r="N7">
        <v>3.6468242339035761</v>
      </c>
      <c r="O7">
        <v>-37.060101364753415</v>
      </c>
      <c r="P7">
        <v>7.6581497431318439</v>
      </c>
      <c r="Q7">
        <v>-36.822929330821282</v>
      </c>
      <c r="R7">
        <v>11.013023661615359</v>
      </c>
      <c r="S7">
        <v>-36.344454178558379</v>
      </c>
      <c r="T7">
        <v>13.593032953229825</v>
      </c>
    </row>
    <row r="8" spans="1:22">
      <c r="A8">
        <v>-17.302407416570617</v>
      </c>
      <c r="B8">
        <v>-8.6670003138463976</v>
      </c>
      <c r="C8">
        <v>-17.314442915720612</v>
      </c>
      <c r="D8">
        <v>-1.9924794479687231</v>
      </c>
      <c r="E8">
        <v>-17.313467500999142</v>
      </c>
      <c r="F8">
        <v>-4.0732239388225082</v>
      </c>
      <c r="G8">
        <v>-17.310553616454929</v>
      </c>
      <c r="H8">
        <v>-5.8273592934847374</v>
      </c>
      <c r="I8">
        <v>-17.306600035582473</v>
      </c>
      <c r="J8">
        <v>-7.3480553308315395</v>
      </c>
      <c r="K8">
        <v>-17.314167988570539</v>
      </c>
      <c r="L8">
        <v>1.2179331094567052E-2</v>
      </c>
      <c r="M8">
        <v>-17.309466397806187</v>
      </c>
      <c r="N8">
        <v>1.908835594891505</v>
      </c>
      <c r="O8">
        <v>-17.300255626669141</v>
      </c>
      <c r="P8">
        <v>4.0104520980333476</v>
      </c>
      <c r="Q8">
        <v>-17.288055516637517</v>
      </c>
      <c r="R8">
        <v>5.8083097135387272</v>
      </c>
      <c r="S8">
        <v>-17.273800708315925</v>
      </c>
      <c r="T8">
        <v>7.2895059369173367</v>
      </c>
      <c r="U8">
        <v>-17.255976984235144</v>
      </c>
      <c r="V8">
        <v>8.6184655150218656</v>
      </c>
    </row>
    <row r="9" spans="1:22">
      <c r="A9">
        <v>-9.9938926945655933</v>
      </c>
      <c r="B9">
        <v>-6.1305692194908348</v>
      </c>
      <c r="C9">
        <v>-9.9989265345010061</v>
      </c>
      <c r="D9">
        <v>-1.4119377744855828</v>
      </c>
      <c r="E9">
        <v>-9.998327707770013</v>
      </c>
      <c r="F9">
        <v>-2.883478783431209</v>
      </c>
      <c r="G9">
        <v>-9.9970976545412338</v>
      </c>
      <c r="H9">
        <v>-4.1239831970981307</v>
      </c>
      <c r="I9">
        <v>-9.995525337155426</v>
      </c>
      <c r="J9">
        <v>-5.1992990225394395</v>
      </c>
      <c r="K9">
        <v>-9.9991590643103017</v>
      </c>
      <c r="L9">
        <v>1.4116663615046862E-2</v>
      </c>
      <c r="M9">
        <v>-9.9978866585375368</v>
      </c>
      <c r="N9">
        <v>1.3561704668624208</v>
      </c>
      <c r="O9">
        <v>-9.9953241764454912</v>
      </c>
      <c r="P9">
        <v>2.8441957244109868</v>
      </c>
      <c r="Q9">
        <v>-9.9920495282654436</v>
      </c>
      <c r="R9">
        <v>4.1186361740491826</v>
      </c>
      <c r="S9">
        <v>-9.9884812653570378</v>
      </c>
      <c r="T9">
        <v>5.1703851231415188</v>
      </c>
      <c r="U9">
        <v>-9.9844122051153157</v>
      </c>
      <c r="V9">
        <v>6.1153060614761463</v>
      </c>
    </row>
    <row r="10" spans="1:22">
      <c r="A10">
        <v>-5.7709577099587177</v>
      </c>
      <c r="B10">
        <v>-5.0062045720223844</v>
      </c>
      <c r="C10">
        <v>-5.7732864463497275</v>
      </c>
      <c r="D10">
        <v>-1.1556618436259176</v>
      </c>
      <c r="E10">
        <v>-5.7729799200144241</v>
      </c>
      <c r="F10">
        <v>-2.3570788902232289</v>
      </c>
      <c r="G10">
        <v>-5.7724087140495159</v>
      </c>
      <c r="H10">
        <v>-3.3697589376986206</v>
      </c>
      <c r="I10">
        <v>-5.7716937422399601</v>
      </c>
      <c r="J10">
        <v>-4.2473848586430849</v>
      </c>
      <c r="K10">
        <v>-5.7734447681445005</v>
      </c>
      <c r="L10">
        <v>1.5344658126523619E-2</v>
      </c>
      <c r="M10">
        <v>-5.7729544448827035</v>
      </c>
      <c r="N10">
        <v>1.1113158664610117</v>
      </c>
      <c r="O10">
        <v>-5.7719406541362108</v>
      </c>
      <c r="P10">
        <v>2.3266212183683823</v>
      </c>
      <c r="Q10">
        <v>-5.7706479919160012</v>
      </c>
      <c r="R10">
        <v>3.3676620830861603</v>
      </c>
      <c r="S10">
        <v>-5.769257879471299</v>
      </c>
      <c r="T10">
        <v>4.2268841174027045</v>
      </c>
      <c r="U10">
        <v>-5.7676996360109145</v>
      </c>
      <c r="V10">
        <v>4.9979029587868942</v>
      </c>
    </row>
    <row r="11" spans="1:22">
      <c r="A11">
        <v>-2.6785053981759019</v>
      </c>
      <c r="B11">
        <v>-4.4886654222853739</v>
      </c>
      <c r="C11">
        <v>-2.6794560534451537</v>
      </c>
      <c r="D11">
        <v>-1.0388489515742942</v>
      </c>
      <c r="E11">
        <v>-2.6793260282916251</v>
      </c>
      <c r="F11">
        <v>-2.1158469886191487</v>
      </c>
      <c r="G11">
        <v>-2.6790923806964972</v>
      </c>
      <c r="H11">
        <v>-3.0235157142283065</v>
      </c>
      <c r="I11">
        <v>-2.678802493563087</v>
      </c>
      <c r="J11">
        <v>-3.8098992887072214</v>
      </c>
      <c r="K11">
        <v>-2.6795286942345906</v>
      </c>
      <c r="L11">
        <v>1.6915913722453567E-2</v>
      </c>
      <c r="M11">
        <v>-2.6793436330258094</v>
      </c>
      <c r="N11">
        <v>0.99957796779461783</v>
      </c>
      <c r="O11">
        <v>-2.6789555836437535</v>
      </c>
      <c r="P11">
        <v>2.0892012369436808</v>
      </c>
      <c r="Q11">
        <v>-2.6784603189485532</v>
      </c>
      <c r="R11">
        <v>3.0225214827337545</v>
      </c>
      <c r="S11">
        <v>-2.6779296034174123</v>
      </c>
      <c r="T11">
        <v>3.7926780895703525</v>
      </c>
      <c r="U11">
        <v>-2.6773377625565313</v>
      </c>
      <c r="V11">
        <v>4.4826597834963344</v>
      </c>
    </row>
    <row r="12" spans="1:22">
      <c r="A12">
        <v>-5.3096219903703242E-16</v>
      </c>
      <c r="B12">
        <v>-4.3357785739044576</v>
      </c>
      <c r="C12">
        <v>1.2321930003310742E-16</v>
      </c>
      <c r="D12">
        <v>-1.0061951716035251</v>
      </c>
      <c r="E12">
        <v>2.5059146718654131E-16</v>
      </c>
      <c r="F12">
        <v>-2.0463021966558266</v>
      </c>
      <c r="G12">
        <v>3.5791805182170807E-16</v>
      </c>
      <c r="H12">
        <v>-2.9227192126231789</v>
      </c>
      <c r="I12">
        <v>4.5087121117575226E-16</v>
      </c>
      <c r="J12">
        <v>-3.6817644279604052</v>
      </c>
      <c r="K12">
        <v>-5.2146066036806818E-9</v>
      </c>
      <c r="L12">
        <v>1.9234789632971563E-2</v>
      </c>
      <c r="M12">
        <v>0</v>
      </c>
      <c r="N12">
        <v>0.96840553151428233</v>
      </c>
      <c r="O12">
        <v>0</v>
      </c>
      <c r="P12">
        <v>2.0207890484154913</v>
      </c>
      <c r="Q12">
        <v>0</v>
      </c>
      <c r="R12">
        <v>2.9220566273670174</v>
      </c>
      <c r="S12">
        <v>0</v>
      </c>
      <c r="T12">
        <v>3.6655118834967215</v>
      </c>
      <c r="U12">
        <v>0</v>
      </c>
      <c r="V12">
        <v>4.3303862352072899</v>
      </c>
    </row>
    <row r="13" spans="1:22">
      <c r="A13">
        <v>2.6785054352046682</v>
      </c>
      <c r="B13">
        <v>-4.4886693988135962</v>
      </c>
      <c r="C13">
        <v>2.6794560491854176</v>
      </c>
      <c r="D13">
        <v>-1.0446463991722119</v>
      </c>
      <c r="E13">
        <v>2.6793255847162607</v>
      </c>
      <c r="F13">
        <v>-2.1212176013106467</v>
      </c>
      <c r="G13">
        <v>2.6790916746525286</v>
      </c>
      <c r="H13">
        <v>-3.0281682162024133</v>
      </c>
      <c r="I13">
        <v>2.6788017904540222</v>
      </c>
      <c r="J13">
        <v>-3.813354739156682</v>
      </c>
      <c r="K13">
        <v>2.6795282017295121</v>
      </c>
      <c r="L13">
        <v>2.2775161419589993E-2</v>
      </c>
      <c r="M13">
        <v>2.6793426572635943</v>
      </c>
      <c r="N13">
        <v>1.0053874381434993</v>
      </c>
      <c r="O13">
        <v>2.6789540898955679</v>
      </c>
      <c r="P13">
        <v>2.0946866448445749</v>
      </c>
      <c r="Q13">
        <v>2.6784585162163315</v>
      </c>
      <c r="R13">
        <v>3.0273311307543214</v>
      </c>
      <c r="S13">
        <v>2.6779278673590658</v>
      </c>
      <c r="T13">
        <v>3.7963299898876133</v>
      </c>
      <c r="U13">
        <v>2.6773376603119732</v>
      </c>
      <c r="V13">
        <v>4.4827368406237369</v>
      </c>
    </row>
    <row r="14" spans="1:22">
      <c r="A14">
        <v>5.7709579146492276</v>
      </c>
      <c r="B14">
        <v>-5.0062134771000357</v>
      </c>
      <c r="C14">
        <v>5.7732865379782332</v>
      </c>
      <c r="D14">
        <v>-1.1685938601037522</v>
      </c>
      <c r="E14">
        <v>5.7729777205254011</v>
      </c>
      <c r="F14">
        <v>-2.3690586143354753</v>
      </c>
      <c r="G14">
        <v>5.7724052166522766</v>
      </c>
      <c r="H14">
        <v>-3.3801364659103954</v>
      </c>
      <c r="I14">
        <v>5.7716902231698404</v>
      </c>
      <c r="J14">
        <v>-4.2550919758197363</v>
      </c>
      <c r="K14">
        <v>5.7734420528130173</v>
      </c>
      <c r="L14">
        <v>2.8414401301503196E-2</v>
      </c>
      <c r="M14">
        <v>5.77294908741474</v>
      </c>
      <c r="N14">
        <v>1.1242739053119057</v>
      </c>
      <c r="O14">
        <v>5.7719325057170456</v>
      </c>
      <c r="P14">
        <v>2.3388551532014028</v>
      </c>
      <c r="Q14">
        <v>5.7706381908258981</v>
      </c>
      <c r="R14">
        <v>3.3783873829691857</v>
      </c>
      <c r="S14">
        <v>5.7692484962256305</v>
      </c>
      <c r="T14">
        <v>4.2350263590247632</v>
      </c>
      <c r="U14">
        <v>5.7676991478518751</v>
      </c>
      <c r="V14">
        <v>4.9980746913435246</v>
      </c>
    </row>
    <row r="15" spans="1:22">
      <c r="A15">
        <v>9.9938933986819904</v>
      </c>
      <c r="B15">
        <v>-6.1305857110484689</v>
      </c>
      <c r="C15">
        <v>9.9989285031676367</v>
      </c>
      <c r="D15">
        <v>-1.4356931316899979</v>
      </c>
      <c r="E15">
        <v>9.9983213128016466</v>
      </c>
      <c r="F15">
        <v>-2.9054843514110096</v>
      </c>
      <c r="G15">
        <v>9.997086525515023</v>
      </c>
      <c r="H15">
        <v>-4.1430443410841482</v>
      </c>
      <c r="I15">
        <v>9.9955138388117657</v>
      </c>
      <c r="J15">
        <v>-5.213453902610425</v>
      </c>
      <c r="K15">
        <v>9.9991473873677652</v>
      </c>
      <c r="L15">
        <v>3.8124139119151232E-2</v>
      </c>
      <c r="M15">
        <v>9.997864890585582</v>
      </c>
      <c r="N15">
        <v>1.3799695409432933</v>
      </c>
      <c r="O15">
        <v>9.9952912959668225</v>
      </c>
      <c r="P15">
        <v>2.8666587101675289</v>
      </c>
      <c r="Q15">
        <v>9.9920094689659198</v>
      </c>
      <c r="R15">
        <v>4.1383215516562846</v>
      </c>
      <c r="S15">
        <v>9.9884421403324701</v>
      </c>
      <c r="T15">
        <v>5.1853224458681826</v>
      </c>
      <c r="U15">
        <v>9.984410364470282</v>
      </c>
      <c r="V15">
        <v>6.1156207714978654</v>
      </c>
    </row>
    <row r="16" spans="1:22">
      <c r="A16">
        <v>17.302409938892019</v>
      </c>
      <c r="B16">
        <v>-8.6670319375636673</v>
      </c>
      <c r="C16">
        <v>17.314465950293428</v>
      </c>
      <c r="D16">
        <v>-2.037258403596522</v>
      </c>
      <c r="E16">
        <v>17.313454635295844</v>
      </c>
      <c r="F16">
        <v>-4.1147045054169169</v>
      </c>
      <c r="G16">
        <v>17.310520314047366</v>
      </c>
      <c r="H16">
        <v>-5.8632849287315647</v>
      </c>
      <c r="I16">
        <v>17.306562759333918</v>
      </c>
      <c r="J16">
        <v>-7.3747287808709476</v>
      </c>
      <c r="K16">
        <v>17.314101343391954</v>
      </c>
      <c r="L16">
        <v>5.7425828878674902E-2</v>
      </c>
      <c r="M16">
        <v>17.309350192205713</v>
      </c>
      <c r="N16">
        <v>1.9536686967010162</v>
      </c>
      <c r="O16">
        <v>17.300075722485655</v>
      </c>
      <c r="P16">
        <v>4.0527260808903467</v>
      </c>
      <c r="Q16">
        <v>17.287820026694163</v>
      </c>
      <c r="R16">
        <v>5.8452970735124739</v>
      </c>
      <c r="S16">
        <v>17.273546987219156</v>
      </c>
      <c r="T16">
        <v>7.3175058121737324</v>
      </c>
      <c r="U16">
        <v>17.255966556128293</v>
      </c>
      <c r="V16">
        <v>8.619052639230329</v>
      </c>
    </row>
    <row r="17" spans="1:22">
      <c r="A17">
        <v>37.219698776302934</v>
      </c>
      <c r="B17">
        <v>-16.719301189180925</v>
      </c>
      <c r="C17">
        <v>37.254478832094996</v>
      </c>
      <c r="D17">
        <v>-3.9497756213343655</v>
      </c>
      <c r="E17">
        <v>37.260089246336328</v>
      </c>
      <c r="F17">
        <v>-7.9562185661156777</v>
      </c>
      <c r="G17">
        <v>37.251899389400478</v>
      </c>
      <c r="H17">
        <v>-11.326950233433793</v>
      </c>
      <c r="I17">
        <v>37.23682083525155</v>
      </c>
      <c r="J17">
        <v>-14.237382482850174</v>
      </c>
      <c r="K17">
        <v>37.233994590511159</v>
      </c>
      <c r="L17">
        <v>0.1091236075012743</v>
      </c>
      <c r="M17">
        <v>37.179535900219058</v>
      </c>
      <c r="N17">
        <v>3.7543242638483281</v>
      </c>
      <c r="O17">
        <v>37.055914243506137</v>
      </c>
      <c r="P17">
        <v>7.7582377585630278</v>
      </c>
      <c r="Q17">
        <v>36.81382807910299</v>
      </c>
      <c r="R17">
        <v>11.097220888775457</v>
      </c>
      <c r="S17">
        <v>36.328078647001263</v>
      </c>
      <c r="T17">
        <v>13.650164646570209</v>
      </c>
    </row>
    <row r="18" spans="1:22">
      <c r="A18">
        <v>8692.0740788251078</v>
      </c>
      <c r="B18">
        <v>-3773.8798081131367</v>
      </c>
      <c r="C18">
        <v>4358.362997347891</v>
      </c>
      <c r="D18">
        <v>-453.47173584974098</v>
      </c>
      <c r="E18">
        <v>7348.7526406948546</v>
      </c>
      <c r="F18">
        <v>-1522.8385436930603</v>
      </c>
      <c r="G18">
        <v>8931.094939595554</v>
      </c>
      <c r="H18">
        <v>-2629.3475107558306</v>
      </c>
      <c r="I18">
        <v>9138.9562185013638</v>
      </c>
      <c r="J18">
        <v>-3379.9466728061684</v>
      </c>
      <c r="K18">
        <v>1708.3842397773863</v>
      </c>
      <c r="L18">
        <v>-1.1922056715987277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-8690.9730844594051</v>
      </c>
      <c r="B20">
        <v>-3773.3817835058035</v>
      </c>
      <c r="C20">
        <v>-37.219684009124073</v>
      </c>
      <c r="D20">
        <v>-16.719221053001935</v>
      </c>
      <c r="E20">
        <v>-17.302407416570617</v>
      </c>
      <c r="F20">
        <v>-8.6670003138463976</v>
      </c>
      <c r="G20">
        <v>-9.9938926945655933</v>
      </c>
      <c r="H20">
        <v>-6.1305692194908348</v>
      </c>
      <c r="I20">
        <v>-5.7709577099587177</v>
      </c>
      <c r="J20">
        <v>-5.0062045720223844</v>
      </c>
      <c r="K20">
        <v>-2.6785053981759019</v>
      </c>
      <c r="L20">
        <v>-4.4886654222853739</v>
      </c>
      <c r="M20">
        <v>-5.3096219903703242E-16</v>
      </c>
      <c r="N20">
        <v>-4.3357785739044576</v>
      </c>
      <c r="O20">
        <v>2.6785054352046682</v>
      </c>
      <c r="P20">
        <v>-4.4886693988135962</v>
      </c>
      <c r="Q20">
        <v>5.7709579146492276</v>
      </c>
      <c r="R20">
        <v>-5.0062134771000357</v>
      </c>
      <c r="S20">
        <v>9.9938933986819904</v>
      </c>
      <c r="T20">
        <v>-6.1305857110484689</v>
      </c>
      <c r="U20">
        <v>17.302409938892019</v>
      </c>
      <c r="V20">
        <v>-8.6670319375636673</v>
      </c>
    </row>
    <row r="21" spans="1:22">
      <c r="A21">
        <v>-4258.0948576907158</v>
      </c>
      <c r="B21">
        <v>-428.89579666024741</v>
      </c>
      <c r="C21">
        <v>-37.253981468668208</v>
      </c>
      <c r="D21">
        <v>-3.8418209656832012</v>
      </c>
      <c r="E21">
        <v>-17.314442915720612</v>
      </c>
      <c r="F21">
        <v>-1.9924794479687231</v>
      </c>
      <c r="G21">
        <v>-9.9989265345010061</v>
      </c>
      <c r="H21">
        <v>-1.4119377744855828</v>
      </c>
      <c r="I21">
        <v>-5.7732864463497275</v>
      </c>
      <c r="J21">
        <v>-1.1556618436259176</v>
      </c>
      <c r="K21">
        <v>-2.6794560534451537</v>
      </c>
      <c r="L21">
        <v>-1.0388489515742942</v>
      </c>
      <c r="M21">
        <v>1.2321930003310742E-16</v>
      </c>
      <c r="N21">
        <v>-1.0061951716035251</v>
      </c>
      <c r="O21">
        <v>2.6794560491854176</v>
      </c>
      <c r="P21">
        <v>-1.0446463991722119</v>
      </c>
      <c r="Q21">
        <v>5.7732865379782332</v>
      </c>
      <c r="R21">
        <v>-1.1685938601037522</v>
      </c>
      <c r="S21">
        <v>9.9989285031676367</v>
      </c>
      <c r="T21">
        <v>-1.4356931316899979</v>
      </c>
      <c r="U21">
        <v>17.314465950293428</v>
      </c>
      <c r="V21">
        <v>-2.037258403596522</v>
      </c>
    </row>
    <row r="22" spans="1:22">
      <c r="A22">
        <v>-7259.7424461942674</v>
      </c>
      <c r="B22">
        <v>-1481.8887054740153</v>
      </c>
      <c r="C22">
        <v>-37.259966275114685</v>
      </c>
      <c r="D22">
        <v>-7.8561780823922218</v>
      </c>
      <c r="E22">
        <v>-17.313467500999142</v>
      </c>
      <c r="F22">
        <v>-4.0732239388225082</v>
      </c>
      <c r="G22">
        <v>-9.998327707770013</v>
      </c>
      <c r="H22">
        <v>-2.883478783431209</v>
      </c>
      <c r="I22">
        <v>-5.7729799200144241</v>
      </c>
      <c r="J22">
        <v>-2.3570788902232289</v>
      </c>
      <c r="K22">
        <v>-2.6793260282916251</v>
      </c>
      <c r="L22">
        <v>-2.1158469886191487</v>
      </c>
      <c r="M22">
        <v>2.5059146718654131E-16</v>
      </c>
      <c r="N22">
        <v>-2.0463021966558266</v>
      </c>
      <c r="O22">
        <v>2.6793255847162607</v>
      </c>
      <c r="P22">
        <v>-2.1212176013106467</v>
      </c>
      <c r="Q22">
        <v>5.7729777205254011</v>
      </c>
      <c r="R22">
        <v>-2.3690586143354753</v>
      </c>
      <c r="S22">
        <v>9.9983213128016466</v>
      </c>
      <c r="T22">
        <v>-2.9054843514110096</v>
      </c>
      <c r="U22">
        <v>17.313454635295844</v>
      </c>
      <c r="V22">
        <v>-4.1147045054169169</v>
      </c>
    </row>
    <row r="23" spans="1:22">
      <c r="A23">
        <v>-8883.6412872773162</v>
      </c>
      <c r="B23">
        <v>-2591.4723196158775</v>
      </c>
      <c r="C23">
        <v>-37.251977535075774</v>
      </c>
      <c r="D23">
        <v>-11.240328975718377</v>
      </c>
      <c r="E23">
        <v>-17.310553616454929</v>
      </c>
      <c r="F23">
        <v>-5.8273592934847374</v>
      </c>
      <c r="G23">
        <v>-9.9970976545412338</v>
      </c>
      <c r="H23">
        <v>-4.1239831970981307</v>
      </c>
      <c r="I23">
        <v>-5.7724087140495159</v>
      </c>
      <c r="J23">
        <v>-3.3697589376986206</v>
      </c>
      <c r="K23">
        <v>-2.6790923806964972</v>
      </c>
      <c r="L23">
        <v>-3.0235157142283065</v>
      </c>
      <c r="M23">
        <v>3.5791805182170807E-16</v>
      </c>
      <c r="N23">
        <v>-2.9227192126231789</v>
      </c>
      <c r="O23">
        <v>2.6790916746525286</v>
      </c>
      <c r="P23">
        <v>-3.0281682162024133</v>
      </c>
      <c r="Q23">
        <v>5.7724052166522766</v>
      </c>
      <c r="R23">
        <v>-3.3801364659103954</v>
      </c>
      <c r="S23">
        <v>9.997086525515023</v>
      </c>
      <c r="T23">
        <v>-4.1430443410841482</v>
      </c>
      <c r="U23">
        <v>17.310520314047366</v>
      </c>
      <c r="V23">
        <v>-5.8632849287315647</v>
      </c>
    </row>
    <row r="24" spans="1:22">
      <c r="A24">
        <v>-9125.8823800808059</v>
      </c>
      <c r="B24">
        <v>-3356.857709037019</v>
      </c>
      <c r="C24">
        <v>-37.236974579565654</v>
      </c>
      <c r="D24">
        <v>-14.173102346671621</v>
      </c>
      <c r="E24">
        <v>-17.306600035582473</v>
      </c>
      <c r="F24">
        <v>-7.3480553308315395</v>
      </c>
      <c r="G24">
        <v>-9.995525337155426</v>
      </c>
      <c r="H24">
        <v>-5.1992990225394395</v>
      </c>
      <c r="I24">
        <v>-5.7716937422399601</v>
      </c>
      <c r="J24">
        <v>-4.2473848586430849</v>
      </c>
      <c r="K24">
        <v>-2.678802493563087</v>
      </c>
      <c r="L24">
        <v>-3.8098992887072214</v>
      </c>
      <c r="M24">
        <v>4.5087121117575226E-16</v>
      </c>
      <c r="N24">
        <v>-3.6817644279604052</v>
      </c>
      <c r="O24">
        <v>2.6788017904540222</v>
      </c>
      <c r="P24">
        <v>-3.813354739156682</v>
      </c>
      <c r="Q24">
        <v>5.7716902231698404</v>
      </c>
      <c r="R24">
        <v>-4.2550919758197363</v>
      </c>
      <c r="S24">
        <v>9.9955138388117657</v>
      </c>
      <c r="T24">
        <v>-5.213453902610425</v>
      </c>
      <c r="U24">
        <v>17.306562759333918</v>
      </c>
      <c r="V24">
        <v>-7.3747287808709476</v>
      </c>
    </row>
    <row r="25" spans="1:22">
      <c r="A25">
        <v>-1772.4778518613423</v>
      </c>
      <c r="B25">
        <v>-6.9891568629741396</v>
      </c>
      <c r="C25">
        <v>-37.235058886464209</v>
      </c>
      <c r="D25">
        <v>2.0537194970036878E-4</v>
      </c>
      <c r="E25">
        <v>-17.314167988570539</v>
      </c>
      <c r="F25">
        <v>1.2179331094567052E-2</v>
      </c>
      <c r="G25">
        <v>-9.9991590643103017</v>
      </c>
      <c r="H25">
        <v>1.4116663615046862E-2</v>
      </c>
      <c r="I25">
        <v>-5.7734447681445005</v>
      </c>
      <c r="J25">
        <v>1.5344658126523619E-2</v>
      </c>
      <c r="K25">
        <v>-2.6795286942345906</v>
      </c>
      <c r="L25">
        <v>1.6915913722453567E-2</v>
      </c>
      <c r="M25">
        <v>-5.2146066036806818E-9</v>
      </c>
      <c r="N25">
        <v>1.9234789632971563E-2</v>
      </c>
      <c r="O25">
        <v>2.6795282017295121</v>
      </c>
      <c r="P25">
        <v>2.2775161419589993E-2</v>
      </c>
      <c r="Q25">
        <v>5.7734420528130173</v>
      </c>
      <c r="R25">
        <v>2.8414401301503196E-2</v>
      </c>
      <c r="S25">
        <v>9.9991473873677652</v>
      </c>
      <c r="T25">
        <v>3.8124139119151232E-2</v>
      </c>
      <c r="U25">
        <v>17.314101343391954</v>
      </c>
      <c r="V25">
        <v>5.7425828878674902E-2</v>
      </c>
    </row>
    <row r="26" spans="1:22">
      <c r="A26">
        <v>0</v>
      </c>
      <c r="B26">
        <v>0</v>
      </c>
      <c r="C26">
        <v>-37.18152547130255</v>
      </c>
      <c r="D26">
        <v>3.6468242339035761</v>
      </c>
      <c r="E26">
        <v>-17.309466397806187</v>
      </c>
      <c r="F26">
        <v>1.908835594891505</v>
      </c>
      <c r="G26">
        <v>-9.9978866585375368</v>
      </c>
      <c r="H26">
        <v>1.3561704668624208</v>
      </c>
      <c r="I26">
        <v>-5.7729544448827035</v>
      </c>
      <c r="J26">
        <v>1.1113158664610117</v>
      </c>
      <c r="K26">
        <v>-2.6793436330258094</v>
      </c>
      <c r="L26">
        <v>0.99957796779461783</v>
      </c>
      <c r="M26">
        <v>0</v>
      </c>
      <c r="N26">
        <v>0.96840553151428233</v>
      </c>
      <c r="O26">
        <v>2.6793426572635943</v>
      </c>
      <c r="P26">
        <v>1.0053874381434993</v>
      </c>
      <c r="Q26">
        <v>5.77294908741474</v>
      </c>
      <c r="R26">
        <v>1.1242739053119057</v>
      </c>
      <c r="S26">
        <v>9.997864890585582</v>
      </c>
      <c r="T26">
        <v>1.3799695409432933</v>
      </c>
      <c r="U26">
        <v>17.309350192205713</v>
      </c>
      <c r="V26">
        <v>1.9536686967010162</v>
      </c>
    </row>
    <row r="27" spans="1:22">
      <c r="A27">
        <v>0</v>
      </c>
      <c r="B27">
        <v>0</v>
      </c>
      <c r="C27">
        <v>-37.060101364753415</v>
      </c>
      <c r="D27">
        <v>7.6581497431318439</v>
      </c>
      <c r="E27">
        <v>-17.300255626669141</v>
      </c>
      <c r="F27">
        <v>4.0104520980333476</v>
      </c>
      <c r="G27">
        <v>-9.9953241764454912</v>
      </c>
      <c r="H27">
        <v>2.8441957244109868</v>
      </c>
      <c r="I27">
        <v>-5.7719406541362108</v>
      </c>
      <c r="J27">
        <v>2.3266212183683823</v>
      </c>
      <c r="K27">
        <v>-2.6789555836437535</v>
      </c>
      <c r="L27">
        <v>2.0892012369436808</v>
      </c>
      <c r="M27">
        <v>0</v>
      </c>
      <c r="N27">
        <v>2.0207890484154913</v>
      </c>
      <c r="O27">
        <v>2.6789540898955679</v>
      </c>
      <c r="P27">
        <v>2.0946866448445749</v>
      </c>
      <c r="Q27">
        <v>5.7719325057170456</v>
      </c>
      <c r="R27">
        <v>2.3388551532014028</v>
      </c>
      <c r="S27">
        <v>9.9952912959668225</v>
      </c>
      <c r="T27">
        <v>2.8666587101675289</v>
      </c>
      <c r="U27">
        <v>17.300075722485655</v>
      </c>
      <c r="V27">
        <v>4.0527260808903467</v>
      </c>
    </row>
    <row r="28" spans="1:22">
      <c r="A28">
        <v>0</v>
      </c>
      <c r="B28">
        <v>0</v>
      </c>
      <c r="C28">
        <v>-36.822929330821282</v>
      </c>
      <c r="D28">
        <v>11.013023661615359</v>
      </c>
      <c r="E28">
        <v>-17.288055516637517</v>
      </c>
      <c r="F28">
        <v>5.8083097135387272</v>
      </c>
      <c r="G28">
        <v>-9.9920495282654436</v>
      </c>
      <c r="H28">
        <v>4.1186361740491826</v>
      </c>
      <c r="I28">
        <v>-5.7706479919160012</v>
      </c>
      <c r="J28">
        <v>3.3676620830861603</v>
      </c>
      <c r="K28">
        <v>-2.6784603189485532</v>
      </c>
      <c r="L28">
        <v>3.0225214827337545</v>
      </c>
      <c r="M28">
        <v>0</v>
      </c>
      <c r="N28">
        <v>2.9220566273670174</v>
      </c>
      <c r="O28">
        <v>2.6784585162163315</v>
      </c>
      <c r="P28">
        <v>3.0273311307543214</v>
      </c>
      <c r="Q28">
        <v>5.7706381908258981</v>
      </c>
      <c r="R28">
        <v>3.3783873829691857</v>
      </c>
      <c r="S28">
        <v>9.9920094689659198</v>
      </c>
      <c r="T28">
        <v>4.1383215516562846</v>
      </c>
      <c r="U28">
        <v>17.287820026694163</v>
      </c>
      <c r="V28">
        <v>5.8452970735124739</v>
      </c>
    </row>
    <row r="29" spans="1:22">
      <c r="A29">
        <v>0</v>
      </c>
      <c r="B29">
        <v>0</v>
      </c>
      <c r="C29">
        <v>-36.344454178558379</v>
      </c>
      <c r="D29">
        <v>13.593032953229825</v>
      </c>
      <c r="E29">
        <v>-17.273800708315925</v>
      </c>
      <c r="F29">
        <v>7.2895059369173367</v>
      </c>
      <c r="G29">
        <v>-9.9884812653570378</v>
      </c>
      <c r="H29">
        <v>5.1703851231415188</v>
      </c>
      <c r="I29">
        <v>-5.769257879471299</v>
      </c>
      <c r="J29">
        <v>4.2268841174027045</v>
      </c>
      <c r="K29">
        <v>-2.6779296034174123</v>
      </c>
      <c r="L29">
        <v>3.7926780895703525</v>
      </c>
      <c r="M29">
        <v>0</v>
      </c>
      <c r="N29">
        <v>3.6655118834967215</v>
      </c>
      <c r="O29">
        <v>2.6779278673590658</v>
      </c>
      <c r="P29">
        <v>3.7963299898876133</v>
      </c>
      <c r="Q29">
        <v>5.7692484962256305</v>
      </c>
      <c r="R29">
        <v>4.2350263590247632</v>
      </c>
      <c r="S29">
        <v>9.9884421403324701</v>
      </c>
      <c r="T29">
        <v>5.1853224458681826</v>
      </c>
      <c r="U29">
        <v>17.273546987219156</v>
      </c>
      <c r="V29">
        <v>7.3175058121737324</v>
      </c>
    </row>
    <row r="30" spans="1:22">
      <c r="A30">
        <v>0</v>
      </c>
      <c r="B30">
        <v>0</v>
      </c>
      <c r="C30">
        <v>0</v>
      </c>
      <c r="D30">
        <v>0</v>
      </c>
      <c r="E30">
        <v>-17.255976984235144</v>
      </c>
      <c r="F30">
        <v>8.6184655150218656</v>
      </c>
      <c r="G30">
        <v>-9.9844122051153157</v>
      </c>
      <c r="H30">
        <v>6.1153060614761463</v>
      </c>
      <c r="I30">
        <v>-5.7676996360109145</v>
      </c>
      <c r="J30">
        <v>4.9979029587868942</v>
      </c>
      <c r="K30">
        <v>-2.6773377625565313</v>
      </c>
      <c r="L30">
        <v>4.4826597834963344</v>
      </c>
      <c r="M30">
        <v>0</v>
      </c>
      <c r="N30">
        <v>4.3303862352072899</v>
      </c>
      <c r="O30">
        <v>2.6773376603119732</v>
      </c>
      <c r="P30">
        <v>4.4827368406237369</v>
      </c>
      <c r="Q30">
        <v>5.7676991478518751</v>
      </c>
      <c r="R30">
        <v>4.9980746913435246</v>
      </c>
      <c r="S30">
        <v>9.984410364470282</v>
      </c>
      <c r="T30">
        <v>6.1156207714978654</v>
      </c>
      <c r="U30">
        <v>17.255966556128293</v>
      </c>
      <c r="V30">
        <v>8.619052639230329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0187-9D71-4B45-B5EC-E1CAB366531B}">
  <sheetPr codeName="Sheet1"/>
  <dimension ref="A1:Z46"/>
  <sheetViews>
    <sheetView workbookViewId="0">
      <selection activeCell="A5" sqref="A5"/>
    </sheetView>
  </sheetViews>
  <sheetFormatPr defaultRowHeight="15"/>
  <cols>
    <col min="2" max="2" width="10.42578125" customWidth="1"/>
    <col min="5" max="5" width="10.7109375" customWidth="1"/>
    <col min="6" max="6" width="10.85546875" customWidth="1"/>
    <col min="9" max="9" width="9.42578125" style="5" customWidth="1"/>
    <col min="10" max="10" width="10" customWidth="1"/>
    <col min="11" max="17" width="11" customWidth="1"/>
    <col min="18" max="18" width="10.140625" customWidth="1"/>
    <col min="20" max="20" width="10.7109375" customWidth="1"/>
    <col min="22" max="22" width="11.5703125" customWidth="1"/>
  </cols>
  <sheetData>
    <row r="1" spans="1:24" s="2" customFormat="1" ht="25.5">
      <c r="A1" s="135" t="s">
        <v>393</v>
      </c>
      <c r="B1" s="135" t="s">
        <v>394</v>
      </c>
      <c r="C1" s="135" t="s">
        <v>389</v>
      </c>
      <c r="D1" s="135" t="s">
        <v>395</v>
      </c>
      <c r="E1" s="135" t="s">
        <v>396</v>
      </c>
      <c r="F1" s="58"/>
      <c r="G1" s="9" t="s">
        <v>495</v>
      </c>
      <c r="H1" s="58"/>
      <c r="I1" s="61"/>
      <c r="J1" s="60"/>
      <c r="K1" s="174" t="s">
        <v>407</v>
      </c>
      <c r="L1" s="174" t="s">
        <v>408</v>
      </c>
      <c r="M1" s="174" t="s">
        <v>405</v>
      </c>
      <c r="N1" s="174" t="s">
        <v>478</v>
      </c>
      <c r="O1" s="171" t="s">
        <v>479</v>
      </c>
      <c r="P1" s="174" t="s">
        <v>481</v>
      </c>
      <c r="Q1" s="174" t="s">
        <v>482</v>
      </c>
    </row>
    <row r="2" spans="1:24">
      <c r="A2" s="11" t="str">
        <f>VectorDial!F3</f>
        <v>Tehran</v>
      </c>
      <c r="B2" s="2">
        <v>51.3797</v>
      </c>
      <c r="C2" s="2">
        <v>35.7029</v>
      </c>
      <c r="D2" s="2">
        <v>1210</v>
      </c>
      <c r="E2" s="2">
        <v>3.5</v>
      </c>
      <c r="K2" s="2">
        <v>90</v>
      </c>
      <c r="L2" s="2">
        <v>0</v>
      </c>
      <c r="M2" s="2">
        <v>10</v>
      </c>
      <c r="N2" s="2">
        <v>12.314452143536792</v>
      </c>
      <c r="O2" s="2">
        <v>-54.297100000000107</v>
      </c>
      <c r="P2" s="2">
        <v>0</v>
      </c>
      <c r="Q2" s="2">
        <v>-7.1864964757145673</v>
      </c>
    </row>
    <row r="4" spans="1:24" ht="15.75" thickBot="1"/>
    <row r="5" spans="1:24" s="41" customFormat="1">
      <c r="A5" s="54"/>
      <c r="B5" s="118">
        <v>44733</v>
      </c>
      <c r="C5" s="55"/>
      <c r="D5" s="118">
        <v>44655</v>
      </c>
      <c r="E5" s="55"/>
      <c r="F5" s="118">
        <v>44671</v>
      </c>
      <c r="G5" s="55"/>
      <c r="H5" s="118">
        <v>44686</v>
      </c>
      <c r="I5" s="55"/>
      <c r="J5" s="118">
        <v>44702</v>
      </c>
      <c r="K5" s="55"/>
      <c r="L5" s="118">
        <v>44827</v>
      </c>
      <c r="M5" s="55"/>
      <c r="N5" s="118">
        <v>44841</v>
      </c>
      <c r="O5" s="55"/>
      <c r="P5" s="118">
        <v>44857</v>
      </c>
      <c r="Q5" s="55"/>
      <c r="R5" s="118">
        <v>44872</v>
      </c>
      <c r="S5" s="55"/>
      <c r="T5" s="118">
        <v>44887</v>
      </c>
      <c r="U5" s="55"/>
      <c r="V5" s="118">
        <v>44916</v>
      </c>
      <c r="W5" s="57"/>
      <c r="X5" s="119"/>
    </row>
    <row r="6" spans="1:24">
      <c r="A6" s="45">
        <v>99999</v>
      </c>
      <c r="B6" s="31">
        <v>99999</v>
      </c>
      <c r="C6" s="32">
        <v>99999</v>
      </c>
      <c r="D6" s="31">
        <v>99999</v>
      </c>
      <c r="E6" s="32">
        <v>99999</v>
      </c>
      <c r="F6" s="31">
        <v>99999</v>
      </c>
      <c r="G6" s="32">
        <v>99999</v>
      </c>
      <c r="H6" s="31">
        <v>99999</v>
      </c>
      <c r="I6" s="62">
        <v>99999</v>
      </c>
      <c r="J6" s="31">
        <v>99999</v>
      </c>
      <c r="K6" s="32">
        <v>-110606.75255117597</v>
      </c>
      <c r="L6" s="31">
        <v>-761.2640427492978</v>
      </c>
      <c r="M6" s="32"/>
      <c r="N6" s="31"/>
      <c r="O6" s="32"/>
      <c r="P6" s="31"/>
      <c r="Q6" s="32"/>
      <c r="R6" s="31"/>
      <c r="S6" s="32"/>
      <c r="T6" s="31"/>
      <c r="U6" s="32"/>
      <c r="V6" s="31"/>
      <c r="X6" s="46"/>
    </row>
    <row r="7" spans="1:24">
      <c r="A7" s="45">
        <v>99999</v>
      </c>
      <c r="B7" s="31">
        <v>99999</v>
      </c>
      <c r="C7" s="32">
        <v>-137.16199690409394</v>
      </c>
      <c r="D7" s="31">
        <v>-38.152948603678382</v>
      </c>
      <c r="E7" s="32">
        <v>99999</v>
      </c>
      <c r="F7" s="31">
        <v>99999</v>
      </c>
      <c r="G7" s="32">
        <v>99999</v>
      </c>
      <c r="H7" s="31">
        <v>99999</v>
      </c>
      <c r="I7" s="62">
        <v>99999</v>
      </c>
      <c r="J7" s="31">
        <v>99999</v>
      </c>
      <c r="K7" s="32">
        <v>-63.8024730173221</v>
      </c>
      <c r="L7" s="31">
        <v>-13.914383289423307</v>
      </c>
      <c r="M7" s="32">
        <v>-42.264983038260695</v>
      </c>
      <c r="N7" s="31">
        <v>-6.8115873676652541</v>
      </c>
      <c r="O7" s="32">
        <v>-30.743396505568146</v>
      </c>
      <c r="P7" s="31">
        <v>-3.0290202405364481</v>
      </c>
      <c r="Q7" s="32">
        <v>-24.915722920580411</v>
      </c>
      <c r="R7" s="31">
        <v>-1.1459062717848081</v>
      </c>
      <c r="S7" s="32">
        <v>-21.538603325703864</v>
      </c>
      <c r="T7" s="31">
        <v>-0.11134595685882656</v>
      </c>
      <c r="U7" s="32"/>
      <c r="V7" s="31"/>
      <c r="X7" s="46"/>
    </row>
    <row r="8" spans="1:24">
      <c r="A8" s="45">
        <v>99999</v>
      </c>
      <c r="B8" s="31">
        <v>99999</v>
      </c>
      <c r="C8" s="32">
        <v>-41.050669941714794</v>
      </c>
      <c r="D8" s="31">
        <v>-22.009736571921554</v>
      </c>
      <c r="E8" s="32">
        <v>-68.482879174007181</v>
      </c>
      <c r="F8" s="31">
        <v>-41.522933809770201</v>
      </c>
      <c r="G8" s="32">
        <v>-156.84213990689676</v>
      </c>
      <c r="H8" s="31">
        <v>-104.38850388345514</v>
      </c>
      <c r="I8" s="62">
        <v>99999</v>
      </c>
      <c r="J8" s="31">
        <v>99999</v>
      </c>
      <c r="K8" s="32">
        <v>-29.618571362629179</v>
      </c>
      <c r="L8" s="31">
        <v>-13.879285018712253</v>
      </c>
      <c r="M8" s="32">
        <v>-23.435823335666132</v>
      </c>
      <c r="N8" s="31">
        <v>-9.4864221619171918</v>
      </c>
      <c r="O8" s="32">
        <v>-19.026895460167239</v>
      </c>
      <c r="P8" s="31">
        <v>-6.3569908946751355</v>
      </c>
      <c r="Q8" s="32">
        <v>-16.382924778862986</v>
      </c>
      <c r="R8" s="31">
        <v>-4.4832221323912558</v>
      </c>
      <c r="S8" s="32">
        <v>-14.694484436803426</v>
      </c>
      <c r="T8" s="31">
        <v>-3.2891671275969587</v>
      </c>
      <c r="U8" s="32">
        <v>-13.445011945418456</v>
      </c>
      <c r="V8" s="31">
        <v>-2.4083213849256606</v>
      </c>
      <c r="X8" s="46"/>
    </row>
    <row r="9" spans="1:24">
      <c r="A9" s="45">
        <v>-116.55093908173113</v>
      </c>
      <c r="B9" s="31">
        <v>-136.42730902238767</v>
      </c>
      <c r="C9" s="32">
        <v>-21.323067037078875</v>
      </c>
      <c r="D9" s="31">
        <v>-19.074511411032418</v>
      </c>
      <c r="E9" s="32">
        <v>-28.613391084477939</v>
      </c>
      <c r="F9" s="31">
        <v>-28.055220486640781</v>
      </c>
      <c r="G9" s="32">
        <v>-40.198611219321648</v>
      </c>
      <c r="H9" s="31">
        <v>-42.330262408011052</v>
      </c>
      <c r="I9" s="62">
        <v>-61.941211839436662</v>
      </c>
      <c r="J9" s="31">
        <v>-69.124859174001642</v>
      </c>
      <c r="K9" s="32">
        <v>-17.100511219038399</v>
      </c>
      <c r="L9" s="31">
        <v>-13.873617248097601</v>
      </c>
      <c r="M9" s="32">
        <v>-14.412185049546769</v>
      </c>
      <c r="N9" s="31">
        <v>-10.565071344359227</v>
      </c>
      <c r="O9" s="32">
        <v>-12.271031627152672</v>
      </c>
      <c r="P9" s="31">
        <v>-7.9316756872753089</v>
      </c>
      <c r="Q9" s="32">
        <v>-10.884137280268499</v>
      </c>
      <c r="R9" s="31">
        <v>-6.2273869605516055</v>
      </c>
      <c r="S9" s="32">
        <v>-9.9541841155328203</v>
      </c>
      <c r="T9" s="31">
        <v>-5.0856719012565428</v>
      </c>
      <c r="U9" s="32">
        <v>-9.2433011193386925</v>
      </c>
      <c r="V9" s="31">
        <v>-4.2138931460279938</v>
      </c>
      <c r="X9" s="46"/>
    </row>
    <row r="10" spans="1:24">
      <c r="A10" s="45">
        <v>-32.594801834247676</v>
      </c>
      <c r="B10" s="31">
        <v>-62.366452530175756</v>
      </c>
      <c r="C10" s="32">
        <v>-11.788560620817607</v>
      </c>
      <c r="D10" s="31">
        <v>-17.958568983150229</v>
      </c>
      <c r="E10" s="32">
        <v>-14.720426157429443</v>
      </c>
      <c r="F10" s="31">
        <v>-24.213921672228548</v>
      </c>
      <c r="G10" s="32">
        <v>-18.624296314346299</v>
      </c>
      <c r="H10" s="31">
        <v>-32.545271843436844</v>
      </c>
      <c r="I10" s="62">
        <v>-24.182561139608545</v>
      </c>
      <c r="J10" s="31">
        <v>-44.409275088264685</v>
      </c>
      <c r="K10" s="32">
        <v>-9.8720324399531663</v>
      </c>
      <c r="L10" s="31">
        <v>-13.870026263017092</v>
      </c>
      <c r="M10" s="32">
        <v>-8.5674113015295124</v>
      </c>
      <c r="N10" s="31">
        <v>-11.088890498835688</v>
      </c>
      <c r="O10" s="32">
        <v>-7.4716080728092589</v>
      </c>
      <c r="P10" s="31">
        <v>-8.7542010402827124</v>
      </c>
      <c r="Q10" s="32">
        <v>-6.7331154954451558</v>
      </c>
      <c r="R10" s="31">
        <v>-7.1818428618639887</v>
      </c>
      <c r="S10" s="32">
        <v>-6.2247332839592682</v>
      </c>
      <c r="T10" s="31">
        <v>-6.1001656449638872</v>
      </c>
      <c r="U10" s="32">
        <v>-5.8292623717532548</v>
      </c>
      <c r="V10" s="31">
        <v>-5.25939652136302</v>
      </c>
      <c r="X10" s="46"/>
    </row>
    <row r="11" spans="1:24">
      <c r="A11" s="45">
        <v>-12.226238740975186</v>
      </c>
      <c r="B11" s="31">
        <v>-49.023743747705602</v>
      </c>
      <c r="C11" s="32">
        <v>-5.3672617389486206</v>
      </c>
      <c r="D11" s="31">
        <v>-17.48078169857617</v>
      </c>
      <c r="E11" s="32">
        <v>-6.5069439795235517</v>
      </c>
      <c r="F11" s="31">
        <v>-22.720073083350723</v>
      </c>
      <c r="G11" s="32">
        <v>-7.9249837557314304</v>
      </c>
      <c r="H11" s="31">
        <v>-29.240703236185478</v>
      </c>
      <c r="I11" s="62">
        <v>-9.7695944413809865</v>
      </c>
      <c r="J11" s="31">
        <v>-37.724318524359575</v>
      </c>
      <c r="K11" s="32">
        <v>-4.5807356414540044</v>
      </c>
      <c r="L11" s="31">
        <v>-13.865433276055441</v>
      </c>
      <c r="M11" s="32">
        <v>-4.0305825670994357</v>
      </c>
      <c r="N11" s="31">
        <v>-11.338345027003406</v>
      </c>
      <c r="O11" s="32">
        <v>-3.5565917897929649</v>
      </c>
      <c r="P11" s="31">
        <v>-9.1622177982005653</v>
      </c>
      <c r="Q11" s="32">
        <v>-3.2308466446333437</v>
      </c>
      <c r="R11" s="31">
        <v>-7.6675994042878459</v>
      </c>
      <c r="S11" s="32">
        <v>-3.003617052352459</v>
      </c>
      <c r="T11" s="31">
        <v>-6.6256285336597154</v>
      </c>
      <c r="U11" s="32">
        <v>-2.8253926005200167</v>
      </c>
      <c r="V11" s="31">
        <v>-5.8089359468959554</v>
      </c>
      <c r="X11" s="46"/>
    </row>
    <row r="12" spans="1:24">
      <c r="A12" s="45">
        <v>-5.6343075897276082E-15</v>
      </c>
      <c r="B12" s="31">
        <v>-46.009132421542496</v>
      </c>
      <c r="C12" s="32">
        <v>2.1247473152994636E-15</v>
      </c>
      <c r="D12" s="31">
        <v>-17.350451503599231</v>
      </c>
      <c r="E12" s="32">
        <v>2.732764069099781E-15</v>
      </c>
      <c r="F12" s="31">
        <v>-22.315449046707741</v>
      </c>
      <c r="G12" s="32">
        <v>3.475378623669319E-15</v>
      </c>
      <c r="H12" s="31">
        <v>-28.379557339561252</v>
      </c>
      <c r="I12" s="62">
        <v>4.4186681598848807E-15</v>
      </c>
      <c r="J12" s="31">
        <v>-36.082355330697439</v>
      </c>
      <c r="K12" s="32">
        <v>-1.6971401323021322E-15</v>
      </c>
      <c r="L12" s="31">
        <v>-13.858658555909253</v>
      </c>
      <c r="M12" s="32">
        <v>1.3971726115006593E-15</v>
      </c>
      <c r="N12" s="31">
        <v>-11.409156968193486</v>
      </c>
      <c r="O12" s="32">
        <v>1.1368868697366058E-15</v>
      </c>
      <c r="P12" s="31">
        <v>-9.2836923978715973</v>
      </c>
      <c r="Q12" s="32">
        <v>9.5705782403037617E-16</v>
      </c>
      <c r="R12" s="31">
        <v>-7.815228306166313</v>
      </c>
      <c r="S12" s="32">
        <v>-8.3119936249075592E-16</v>
      </c>
      <c r="T12" s="31">
        <v>-6.7874820336863699</v>
      </c>
      <c r="U12" s="32">
        <v>-7.3240749039420441E-16</v>
      </c>
      <c r="V12" s="31">
        <v>-5.9807585360645312</v>
      </c>
      <c r="X12" s="46"/>
    </row>
    <row r="13" spans="1:24">
      <c r="A13" s="45">
        <v>12.226256931159805</v>
      </c>
      <c r="B13" s="31">
        <v>-49.023826600164476</v>
      </c>
      <c r="C13" s="32">
        <v>5.3723280244866434</v>
      </c>
      <c r="D13" s="31">
        <v>-17.504065766213206</v>
      </c>
      <c r="E13" s="32">
        <v>6.5138420821548388</v>
      </c>
      <c r="F13" s="31">
        <v>-22.751782413876374</v>
      </c>
      <c r="G13" s="32">
        <v>7.9338484498399851</v>
      </c>
      <c r="H13" s="31">
        <v>-29.281459426652887</v>
      </c>
      <c r="I13" s="62">
        <v>9.7795998588037829</v>
      </c>
      <c r="J13" s="31">
        <v>-37.77032521722866</v>
      </c>
      <c r="K13" s="32">
        <v>4.5770118630974777</v>
      </c>
      <c r="L13" s="31">
        <v>-13.848323576611881</v>
      </c>
      <c r="M13" s="32">
        <v>4.0277227162841962</v>
      </c>
      <c r="N13" s="31">
        <v>-11.325207692715049</v>
      </c>
      <c r="O13" s="32">
        <v>3.5544877744814576</v>
      </c>
      <c r="P13" s="31">
        <v>-9.1525553052529887</v>
      </c>
      <c r="Q13" s="32">
        <v>3.2293230791857535</v>
      </c>
      <c r="R13" s="31">
        <v>-7.6606046736541202</v>
      </c>
      <c r="S13" s="32">
        <v>3.002616372909126</v>
      </c>
      <c r="T13" s="31">
        <v>-6.6210358631061235</v>
      </c>
      <c r="U13" s="32">
        <v>2.8253738353006237</v>
      </c>
      <c r="V13" s="31">
        <v>-5.8088501322871711</v>
      </c>
      <c r="X13" s="46"/>
    </row>
    <row r="14" spans="1:24">
      <c r="A14" s="45">
        <v>32.59493611951855</v>
      </c>
      <c r="B14" s="31">
        <v>-62.366736610000515</v>
      </c>
      <c r="C14" s="32">
        <v>11.813893531349894</v>
      </c>
      <c r="D14" s="31">
        <v>-18.012603822465639</v>
      </c>
      <c r="E14" s="32">
        <v>14.757026434122565</v>
      </c>
      <c r="F14" s="31">
        <v>-24.292006404662196</v>
      </c>
      <c r="G14" s="32">
        <v>18.675061636438219</v>
      </c>
      <c r="H14" s="31">
        <v>-32.653595161665692</v>
      </c>
      <c r="I14" s="62">
        <v>24.2461260611062</v>
      </c>
      <c r="J14" s="31">
        <v>-44.544928375716928</v>
      </c>
      <c r="K14" s="32">
        <v>9.8541447115217586</v>
      </c>
      <c r="L14" s="31">
        <v>-13.831882570178125</v>
      </c>
      <c r="M14" s="32">
        <v>8.5540451732782348</v>
      </c>
      <c r="N14" s="31">
        <v>-11.060395766870521</v>
      </c>
      <c r="O14" s="32">
        <v>7.4620013398356839</v>
      </c>
      <c r="P14" s="31">
        <v>-8.7337275226425266</v>
      </c>
      <c r="Q14" s="32">
        <v>6.7262687208986183</v>
      </c>
      <c r="R14" s="31">
        <v>-7.16725635525607</v>
      </c>
      <c r="S14" s="32">
        <v>6.220285643071481</v>
      </c>
      <c r="T14" s="31">
        <v>-6.0906937720006651</v>
      </c>
      <c r="U14" s="32">
        <v>5.8291797192308374</v>
      </c>
      <c r="V14" s="31">
        <v>-5.2592211056676605</v>
      </c>
      <c r="X14" s="46"/>
    </row>
    <row r="15" spans="1:24">
      <c r="A15" s="45">
        <v>116.55276762387628</v>
      </c>
      <c r="B15" s="31">
        <v>-136.42955202949318</v>
      </c>
      <c r="C15" s="32">
        <v>21.411152350887573</v>
      </c>
      <c r="D15" s="31">
        <v>-19.182990102717437</v>
      </c>
      <c r="E15" s="32">
        <v>28.760453310379194</v>
      </c>
      <c r="F15" s="31">
        <v>-28.236372507663461</v>
      </c>
      <c r="G15" s="32">
        <v>40.45033013413925</v>
      </c>
      <c r="H15" s="31">
        <v>-42.640385922050825</v>
      </c>
      <c r="I15" s="62">
        <v>62.385514887523925</v>
      </c>
      <c r="J15" s="31">
        <v>-69.67232738477459</v>
      </c>
      <c r="K15" s="32">
        <v>17.0436661719081</v>
      </c>
      <c r="L15" s="31">
        <v>-13.803634311789517</v>
      </c>
      <c r="M15" s="32">
        <v>14.37211429932182</v>
      </c>
      <c r="N15" s="31">
        <v>-10.515754522605659</v>
      </c>
      <c r="O15" s="32">
        <v>12.243572694246961</v>
      </c>
      <c r="P15" s="31">
        <v>-7.8978953188553458</v>
      </c>
      <c r="Q15" s="32">
        <v>10.865174356529016</v>
      </c>
      <c r="R15" s="31">
        <v>-6.2040702626600934</v>
      </c>
      <c r="S15" s="32">
        <v>9.9421268210636349</v>
      </c>
      <c r="T15" s="31">
        <v>-5.0708548932834461</v>
      </c>
      <c r="U15" s="32">
        <v>9.2430807314127179</v>
      </c>
      <c r="V15" s="31">
        <v>-4.2136234282981899</v>
      </c>
      <c r="X15" s="46"/>
    </row>
    <row r="16" spans="1:24">
      <c r="A16" s="45">
        <v>99999</v>
      </c>
      <c r="B16" s="31">
        <v>99999</v>
      </c>
      <c r="C16" s="32">
        <v>41.407711072889242</v>
      </c>
      <c r="D16" s="31">
        <v>-22.263633712785545</v>
      </c>
      <c r="E16" s="32">
        <v>69.407600061206693</v>
      </c>
      <c r="F16" s="31">
        <v>-42.180691492018624</v>
      </c>
      <c r="G16" s="32">
        <v>161.10014643773238</v>
      </c>
      <c r="H16" s="31">
        <v>-107.4178023918552</v>
      </c>
      <c r="I16" s="62">
        <v>99999</v>
      </c>
      <c r="J16" s="31">
        <v>99999</v>
      </c>
      <c r="K16" s="32">
        <v>29.433456549685978</v>
      </c>
      <c r="L16" s="31">
        <v>-13.747705358463293</v>
      </c>
      <c r="M16" s="32">
        <v>23.320712542583468</v>
      </c>
      <c r="N16" s="31">
        <v>-9.4046404167690234</v>
      </c>
      <c r="O16" s="32">
        <v>18.955132660747541</v>
      </c>
      <c r="P16" s="31">
        <v>-6.306049902089903</v>
      </c>
      <c r="Q16" s="32">
        <v>16.336203576324262</v>
      </c>
      <c r="R16" s="31">
        <v>-4.4501006682336239</v>
      </c>
      <c r="S16" s="32">
        <v>14.665901418181205</v>
      </c>
      <c r="T16" s="31">
        <v>-3.2689439320748801</v>
      </c>
      <c r="U16" s="32">
        <v>13.444504382640307</v>
      </c>
      <c r="V16" s="31">
        <v>-2.4079649689732152</v>
      </c>
      <c r="X16" s="46"/>
    </row>
    <row r="17" spans="1:26">
      <c r="A17" s="45">
        <v>99999</v>
      </c>
      <c r="B17" s="31">
        <v>99999</v>
      </c>
      <c r="C17" s="32">
        <v>141.73866618413635</v>
      </c>
      <c r="D17" s="31">
        <v>-39.665159387729865</v>
      </c>
      <c r="E17" s="32">
        <v>99999</v>
      </c>
      <c r="F17" s="31">
        <v>99999</v>
      </c>
      <c r="G17" s="32">
        <v>99999</v>
      </c>
      <c r="H17" s="31">
        <v>99999</v>
      </c>
      <c r="I17" s="62">
        <v>99999</v>
      </c>
      <c r="J17" s="31">
        <v>99999</v>
      </c>
      <c r="K17" s="32">
        <v>62.848152626863289</v>
      </c>
      <c r="L17" s="31">
        <v>-13.599362692628286</v>
      </c>
      <c r="M17" s="32">
        <v>41.847465236913024</v>
      </c>
      <c r="N17" s="31">
        <v>-6.6740479208401275</v>
      </c>
      <c r="O17" s="32">
        <v>30.534051354357707</v>
      </c>
      <c r="P17" s="31">
        <v>-2.9606047853864581</v>
      </c>
      <c r="Q17" s="32">
        <v>24.794855174307671</v>
      </c>
      <c r="R17" s="31">
        <v>-1.1075352341596363</v>
      </c>
      <c r="S17" s="32">
        <v>21.46986906106018</v>
      </c>
      <c r="T17" s="31">
        <v>-9.1336124503371155E-2</v>
      </c>
      <c r="U17" s="32"/>
      <c r="V17" s="31"/>
      <c r="X17" s="46"/>
    </row>
    <row r="18" spans="1:26" ht="15.75" thickBot="1">
      <c r="A18" s="45">
        <v>99999</v>
      </c>
      <c r="B18" s="31">
        <v>99999</v>
      </c>
      <c r="C18" s="32">
        <v>99999</v>
      </c>
      <c r="D18" s="31">
        <v>99999</v>
      </c>
      <c r="E18" s="32">
        <v>99999</v>
      </c>
      <c r="F18" s="31">
        <v>99999</v>
      </c>
      <c r="G18" s="32">
        <v>99999</v>
      </c>
      <c r="H18" s="31">
        <v>99999</v>
      </c>
      <c r="I18" s="62">
        <v>99999</v>
      </c>
      <c r="J18" s="31">
        <v>99999</v>
      </c>
      <c r="K18" s="32">
        <v>3509.6421997021444</v>
      </c>
      <c r="L18" s="31">
        <v>-18.111864339653678</v>
      </c>
      <c r="M18" s="32"/>
      <c r="N18" s="31"/>
      <c r="O18" s="32"/>
      <c r="P18" s="31"/>
      <c r="Q18" s="32"/>
      <c r="R18" s="31"/>
      <c r="S18" s="32"/>
      <c r="T18" s="31"/>
      <c r="U18" s="32"/>
      <c r="V18" s="31"/>
      <c r="X18" s="46"/>
    </row>
    <row r="19" spans="1:26" s="9" customFormat="1">
      <c r="A19" s="52"/>
      <c r="B19" s="40">
        <v>6</v>
      </c>
      <c r="C19" s="53"/>
      <c r="D19" s="40">
        <v>7</v>
      </c>
      <c r="E19" s="53"/>
      <c r="F19" s="40">
        <v>8</v>
      </c>
      <c r="G19" s="53"/>
      <c r="H19" s="40">
        <v>9</v>
      </c>
      <c r="I19" s="55"/>
      <c r="J19" s="40">
        <v>10</v>
      </c>
      <c r="K19" s="53"/>
      <c r="L19" s="40">
        <v>11</v>
      </c>
      <c r="M19" s="53"/>
      <c r="N19" s="40">
        <v>12</v>
      </c>
      <c r="O19" s="53"/>
      <c r="P19" s="40">
        <v>13</v>
      </c>
      <c r="Q19" s="53"/>
      <c r="R19" s="40">
        <v>14</v>
      </c>
      <c r="S19" s="53"/>
      <c r="T19" s="40">
        <v>15</v>
      </c>
      <c r="U19" s="53"/>
      <c r="V19" s="40">
        <v>16</v>
      </c>
      <c r="W19" s="53"/>
      <c r="X19" s="40"/>
      <c r="Y19" s="39"/>
      <c r="Z19" s="29"/>
    </row>
    <row r="20" spans="1:26">
      <c r="A20" s="45">
        <v>99999</v>
      </c>
      <c r="B20" s="31">
        <v>99999</v>
      </c>
      <c r="C20" s="32">
        <v>99999</v>
      </c>
      <c r="D20" s="31">
        <v>99999</v>
      </c>
      <c r="E20" s="32">
        <v>99999</v>
      </c>
      <c r="F20" s="31">
        <v>99999</v>
      </c>
      <c r="G20" s="32">
        <v>-116.55093908173113</v>
      </c>
      <c r="H20" s="31">
        <v>-136.42730902238767</v>
      </c>
      <c r="I20" s="62">
        <v>-32.594801834247676</v>
      </c>
      <c r="J20" s="31">
        <v>-62.366452530175756</v>
      </c>
      <c r="K20" s="32">
        <v>-12.226238740975186</v>
      </c>
      <c r="L20" s="31">
        <v>-49.023743747705602</v>
      </c>
      <c r="M20" s="32">
        <v>-5.6343075897276082E-15</v>
      </c>
      <c r="N20" s="31">
        <v>-46.009132421542496</v>
      </c>
      <c r="O20" s="32">
        <v>12.226256931159805</v>
      </c>
      <c r="P20" s="31">
        <v>-49.023826600164476</v>
      </c>
      <c r="Q20" s="32">
        <v>32.59493611951855</v>
      </c>
      <c r="R20" s="31">
        <v>-62.366736610000515</v>
      </c>
      <c r="S20" s="32">
        <v>116.55276762387628</v>
      </c>
      <c r="T20" s="31">
        <v>-136.42955202949318</v>
      </c>
      <c r="U20" s="32">
        <v>99999</v>
      </c>
      <c r="V20" s="31">
        <v>99999</v>
      </c>
      <c r="W20" s="32"/>
      <c r="X20" s="31"/>
      <c r="Z20" s="46"/>
    </row>
    <row r="21" spans="1:26">
      <c r="A21" s="45">
        <v>99999</v>
      </c>
      <c r="B21" s="31">
        <v>99999</v>
      </c>
      <c r="C21" s="32">
        <v>-137.16199690409394</v>
      </c>
      <c r="D21" s="31">
        <v>-38.152948603678382</v>
      </c>
      <c r="E21" s="32">
        <v>-41.050669941714794</v>
      </c>
      <c r="F21" s="31">
        <v>-22.009736571921554</v>
      </c>
      <c r="G21" s="32">
        <v>-21.323067037078875</v>
      </c>
      <c r="H21" s="31">
        <v>-19.074511411032418</v>
      </c>
      <c r="I21" s="62">
        <v>-11.788560620817607</v>
      </c>
      <c r="J21" s="31">
        <v>-17.958568983150229</v>
      </c>
      <c r="K21" s="32">
        <v>-5.3672617389486206</v>
      </c>
      <c r="L21" s="31">
        <v>-17.48078169857617</v>
      </c>
      <c r="M21" s="32">
        <v>2.1247473152994636E-15</v>
      </c>
      <c r="N21" s="31">
        <v>-17.350451503599231</v>
      </c>
      <c r="O21" s="32">
        <v>5.3723280244866434</v>
      </c>
      <c r="P21" s="31">
        <v>-17.504065766213206</v>
      </c>
      <c r="Q21" s="32">
        <v>11.813893531349894</v>
      </c>
      <c r="R21" s="31">
        <v>-18.012603822465639</v>
      </c>
      <c r="S21" s="32">
        <v>21.411152350887573</v>
      </c>
      <c r="T21" s="31">
        <v>-19.182990102717437</v>
      </c>
      <c r="U21" s="32">
        <v>41.407711072889242</v>
      </c>
      <c r="V21" s="31">
        <v>-22.263633712785545</v>
      </c>
      <c r="W21" s="32"/>
      <c r="X21" s="31"/>
      <c r="Z21" s="46"/>
    </row>
    <row r="22" spans="1:26">
      <c r="A22" s="45">
        <v>99999</v>
      </c>
      <c r="B22" s="31">
        <v>99999</v>
      </c>
      <c r="C22" s="32">
        <v>99999</v>
      </c>
      <c r="D22" s="31">
        <v>99999</v>
      </c>
      <c r="E22" s="32">
        <v>-68.482879174007181</v>
      </c>
      <c r="F22" s="31">
        <v>-41.522933809770201</v>
      </c>
      <c r="G22" s="32">
        <v>-28.613391084477939</v>
      </c>
      <c r="H22" s="31">
        <v>-28.055220486640781</v>
      </c>
      <c r="I22" s="62">
        <v>-14.720426157429443</v>
      </c>
      <c r="J22" s="31">
        <v>-24.213921672228548</v>
      </c>
      <c r="K22" s="32">
        <v>-6.5069439795235517</v>
      </c>
      <c r="L22" s="31">
        <v>-22.720073083350723</v>
      </c>
      <c r="M22" s="32">
        <v>2.732764069099781E-15</v>
      </c>
      <c r="N22" s="31">
        <v>-22.315449046707741</v>
      </c>
      <c r="O22" s="32">
        <v>6.5138420821548388</v>
      </c>
      <c r="P22" s="31">
        <v>-22.751782413876374</v>
      </c>
      <c r="Q22" s="32">
        <v>14.757026434122565</v>
      </c>
      <c r="R22" s="31">
        <v>-24.292006404662196</v>
      </c>
      <c r="S22" s="32">
        <v>28.760453310379194</v>
      </c>
      <c r="T22" s="31">
        <v>-28.236372507663461</v>
      </c>
      <c r="U22" s="32">
        <v>69.407600061206693</v>
      </c>
      <c r="V22" s="31">
        <v>-42.180691492018624</v>
      </c>
      <c r="W22" s="32"/>
      <c r="X22" s="31"/>
      <c r="Z22" s="46"/>
    </row>
    <row r="23" spans="1:26">
      <c r="A23" s="45">
        <v>99999</v>
      </c>
      <c r="B23" s="31">
        <v>99999</v>
      </c>
      <c r="C23" s="32">
        <v>99999</v>
      </c>
      <c r="D23" s="31">
        <v>99999</v>
      </c>
      <c r="E23" s="32">
        <v>-156.84213990689676</v>
      </c>
      <c r="F23" s="31">
        <v>-104.38850388345514</v>
      </c>
      <c r="G23" s="32">
        <v>-40.198611219321648</v>
      </c>
      <c r="H23" s="31">
        <v>-42.330262408011052</v>
      </c>
      <c r="I23" s="62">
        <v>-18.624296314346299</v>
      </c>
      <c r="J23" s="31">
        <v>-32.545271843436844</v>
      </c>
      <c r="K23" s="32">
        <v>-7.9249837557314304</v>
      </c>
      <c r="L23" s="31">
        <v>-29.240703236185478</v>
      </c>
      <c r="M23" s="32">
        <v>3.475378623669319E-15</v>
      </c>
      <c r="N23" s="31">
        <v>-28.379557339561252</v>
      </c>
      <c r="O23" s="32">
        <v>7.9338484498399851</v>
      </c>
      <c r="P23" s="31">
        <v>-29.281459426652887</v>
      </c>
      <c r="Q23" s="32">
        <v>18.675061636438219</v>
      </c>
      <c r="R23" s="31">
        <v>-32.653595161665692</v>
      </c>
      <c r="S23" s="32">
        <v>40.45033013413925</v>
      </c>
      <c r="T23" s="31">
        <v>-42.640385922050825</v>
      </c>
      <c r="U23" s="32">
        <v>161.10014643773238</v>
      </c>
      <c r="V23" s="31">
        <v>-107.4178023918552</v>
      </c>
      <c r="W23" s="32"/>
      <c r="X23" s="31"/>
      <c r="Z23" s="46"/>
    </row>
    <row r="24" spans="1:26">
      <c r="A24" s="45">
        <v>99999</v>
      </c>
      <c r="B24" s="31">
        <v>99999</v>
      </c>
      <c r="C24" s="32">
        <v>99999</v>
      </c>
      <c r="D24" s="31">
        <v>99999</v>
      </c>
      <c r="E24" s="32">
        <v>99999</v>
      </c>
      <c r="F24" s="31">
        <v>99999</v>
      </c>
      <c r="G24" s="32">
        <v>-61.941211839436662</v>
      </c>
      <c r="H24" s="31">
        <v>-69.124859174001642</v>
      </c>
      <c r="I24" s="62">
        <v>-24.182561139608545</v>
      </c>
      <c r="J24" s="31">
        <v>-44.409275088264685</v>
      </c>
      <c r="K24" s="32">
        <v>-9.7695944413809865</v>
      </c>
      <c r="L24" s="31">
        <v>-37.724318524359575</v>
      </c>
      <c r="M24" s="32">
        <v>4.4186681598848807E-15</v>
      </c>
      <c r="N24" s="31">
        <v>-36.082355330697439</v>
      </c>
      <c r="O24" s="32">
        <v>9.7795998588037829</v>
      </c>
      <c r="P24" s="31">
        <v>-37.77032521722866</v>
      </c>
      <c r="Q24" s="32">
        <v>24.2461260611062</v>
      </c>
      <c r="R24" s="31">
        <v>-44.544928375716928</v>
      </c>
      <c r="S24" s="32">
        <v>62.385514887523925</v>
      </c>
      <c r="T24" s="31">
        <v>-69.67232738477459</v>
      </c>
      <c r="U24" s="32">
        <v>99999</v>
      </c>
      <c r="V24" s="31">
        <v>99999</v>
      </c>
      <c r="W24" s="32"/>
      <c r="X24" s="31"/>
      <c r="Z24" s="46"/>
    </row>
    <row r="25" spans="1:26">
      <c r="A25" s="45">
        <v>-110606.75255117597</v>
      </c>
      <c r="B25" s="31">
        <v>-761.2640427492978</v>
      </c>
      <c r="C25" s="32">
        <v>-63.8024730173221</v>
      </c>
      <c r="D25" s="31">
        <v>-13.914383289423307</v>
      </c>
      <c r="E25" s="32">
        <v>-29.618571362629179</v>
      </c>
      <c r="F25" s="31">
        <v>-13.879285018712253</v>
      </c>
      <c r="G25" s="32">
        <v>-17.100511219038399</v>
      </c>
      <c r="H25" s="31">
        <v>-13.873617248097601</v>
      </c>
      <c r="I25" s="62">
        <v>-9.8720324399531663</v>
      </c>
      <c r="J25" s="31">
        <v>-13.870026263017092</v>
      </c>
      <c r="K25" s="32">
        <v>-4.5807356414540044</v>
      </c>
      <c r="L25" s="31">
        <v>-13.865433276055441</v>
      </c>
      <c r="M25" s="32">
        <v>-1.6971401323021322E-15</v>
      </c>
      <c r="N25" s="31">
        <v>-13.858658555909253</v>
      </c>
      <c r="O25" s="32">
        <v>4.5770118630974777</v>
      </c>
      <c r="P25" s="31">
        <v>-13.848323576611881</v>
      </c>
      <c r="Q25" s="32">
        <v>9.8541447115217586</v>
      </c>
      <c r="R25" s="31">
        <v>-13.831882570178125</v>
      </c>
      <c r="S25" s="32">
        <v>17.0436661719081</v>
      </c>
      <c r="T25" s="31">
        <v>-13.803634311789517</v>
      </c>
      <c r="U25" s="32">
        <v>29.433456549685978</v>
      </c>
      <c r="V25" s="31">
        <v>-13.747705358463293</v>
      </c>
      <c r="W25" s="32"/>
      <c r="X25" s="31"/>
      <c r="Z25" s="46"/>
    </row>
    <row r="26" spans="1:26">
      <c r="A26" s="45">
        <v>0</v>
      </c>
      <c r="B26" s="31">
        <v>0</v>
      </c>
      <c r="C26" s="32">
        <v>-42.264983038260695</v>
      </c>
      <c r="D26" s="31">
        <v>-6.8115873676652541</v>
      </c>
      <c r="E26" s="32">
        <v>-23.435823335666132</v>
      </c>
      <c r="F26" s="31">
        <v>-9.4864221619171918</v>
      </c>
      <c r="G26" s="32">
        <v>-14.412185049546769</v>
      </c>
      <c r="H26" s="31">
        <v>-10.565071344359227</v>
      </c>
      <c r="I26" s="62">
        <v>-8.5674113015295124</v>
      </c>
      <c r="J26" s="31">
        <v>-11.088890498835688</v>
      </c>
      <c r="K26" s="32">
        <v>-4.0305825670994357</v>
      </c>
      <c r="L26" s="31">
        <v>-11.338345027003406</v>
      </c>
      <c r="M26" s="32">
        <v>1.3971726115006593E-15</v>
      </c>
      <c r="N26" s="31">
        <v>-11.409156968193486</v>
      </c>
      <c r="O26" s="32">
        <v>4.0277227162841962</v>
      </c>
      <c r="P26" s="31">
        <v>-11.325207692715049</v>
      </c>
      <c r="Q26" s="32">
        <v>8.5540451732782348</v>
      </c>
      <c r="R26" s="31">
        <v>-11.060395766870521</v>
      </c>
      <c r="S26" s="32">
        <v>14.37211429932182</v>
      </c>
      <c r="T26" s="31">
        <v>-10.515754522605659</v>
      </c>
      <c r="U26" s="32">
        <v>23.320712542583468</v>
      </c>
      <c r="V26" s="31">
        <v>-9.4046404167690234</v>
      </c>
      <c r="W26" s="32"/>
      <c r="X26" s="31"/>
      <c r="Z26" s="46"/>
    </row>
    <row r="27" spans="1:26">
      <c r="A27" s="45">
        <v>0</v>
      </c>
      <c r="B27" s="31">
        <v>0</v>
      </c>
      <c r="C27" s="32">
        <v>-30.743396505568146</v>
      </c>
      <c r="D27" s="31">
        <v>-3.0290202405364481</v>
      </c>
      <c r="E27" s="32">
        <v>-19.026895460167239</v>
      </c>
      <c r="F27" s="31">
        <v>-6.3569908946751355</v>
      </c>
      <c r="G27" s="32">
        <v>-12.271031627152672</v>
      </c>
      <c r="H27" s="31">
        <v>-7.9316756872753089</v>
      </c>
      <c r="I27" s="62">
        <v>-7.4716080728092589</v>
      </c>
      <c r="J27" s="31">
        <v>-8.7542010402827124</v>
      </c>
      <c r="K27" s="32">
        <v>-3.5565917897929649</v>
      </c>
      <c r="L27" s="31">
        <v>-9.1622177982005653</v>
      </c>
      <c r="M27" s="32">
        <v>1.1368868697366058E-15</v>
      </c>
      <c r="N27" s="31">
        <v>-9.2836923978715973</v>
      </c>
      <c r="O27" s="32">
        <v>3.5544877744814576</v>
      </c>
      <c r="P27" s="31">
        <v>-9.1525553052529887</v>
      </c>
      <c r="Q27" s="32">
        <v>7.4620013398356839</v>
      </c>
      <c r="R27" s="31">
        <v>-8.7337275226425266</v>
      </c>
      <c r="S27" s="32">
        <v>12.243572694246961</v>
      </c>
      <c r="T27" s="31">
        <v>-7.8978953188553458</v>
      </c>
      <c r="U27" s="32">
        <v>18.955132660747541</v>
      </c>
      <c r="V27" s="31">
        <v>-6.306049902089903</v>
      </c>
      <c r="W27" s="32"/>
      <c r="X27" s="31"/>
      <c r="Z27" s="46"/>
    </row>
    <row r="28" spans="1:26">
      <c r="A28" s="45">
        <v>0</v>
      </c>
      <c r="B28" s="31">
        <v>0</v>
      </c>
      <c r="C28" s="32">
        <v>-24.915722920580411</v>
      </c>
      <c r="D28" s="31">
        <v>-1.1459062717848081</v>
      </c>
      <c r="E28" s="32">
        <v>-16.382924778862986</v>
      </c>
      <c r="F28" s="31">
        <v>-4.4832221323912558</v>
      </c>
      <c r="G28" s="32">
        <v>-10.884137280268499</v>
      </c>
      <c r="H28" s="31">
        <v>-6.2273869605516055</v>
      </c>
      <c r="I28" s="62">
        <v>-6.7331154954451558</v>
      </c>
      <c r="J28" s="31">
        <v>-7.1818428618639887</v>
      </c>
      <c r="K28" s="32">
        <v>-3.2308466446333437</v>
      </c>
      <c r="L28" s="31">
        <v>-7.6675994042878459</v>
      </c>
      <c r="M28" s="32">
        <v>9.5705782403037617E-16</v>
      </c>
      <c r="N28" s="31">
        <v>-7.815228306166313</v>
      </c>
      <c r="O28" s="32">
        <v>3.2293230791857535</v>
      </c>
      <c r="P28" s="31">
        <v>-7.6606046736541202</v>
      </c>
      <c r="Q28" s="32">
        <v>6.7262687208986183</v>
      </c>
      <c r="R28" s="31">
        <v>-7.16725635525607</v>
      </c>
      <c r="S28" s="32">
        <v>10.865174356529016</v>
      </c>
      <c r="T28" s="31">
        <v>-6.2040702626600934</v>
      </c>
      <c r="U28" s="32">
        <v>16.336203576324262</v>
      </c>
      <c r="V28" s="31">
        <v>-4.4501006682336239</v>
      </c>
      <c r="W28" s="32"/>
      <c r="X28" s="31"/>
      <c r="Z28" s="46"/>
    </row>
    <row r="29" spans="1:26">
      <c r="A29" s="45">
        <v>0</v>
      </c>
      <c r="B29" s="31">
        <v>0</v>
      </c>
      <c r="C29" s="32">
        <v>-21.538603325703864</v>
      </c>
      <c r="D29" s="31">
        <v>-0.11134595685882656</v>
      </c>
      <c r="E29" s="32">
        <v>-14.694484436803426</v>
      </c>
      <c r="F29" s="31">
        <v>-3.2891671275969587</v>
      </c>
      <c r="G29" s="32">
        <v>-9.9541841155328203</v>
      </c>
      <c r="H29" s="31">
        <v>-5.0856719012565428</v>
      </c>
      <c r="I29" s="62">
        <v>-6.2247332839592682</v>
      </c>
      <c r="J29" s="31">
        <v>-6.1001656449638872</v>
      </c>
      <c r="K29" s="32">
        <v>-3.003617052352459</v>
      </c>
      <c r="L29" s="31">
        <v>-6.6256285336597154</v>
      </c>
      <c r="M29" s="32">
        <v>-8.3119936249075592E-16</v>
      </c>
      <c r="N29" s="31">
        <v>-6.7874820336863699</v>
      </c>
      <c r="O29" s="32">
        <v>3.002616372909126</v>
      </c>
      <c r="P29" s="31">
        <v>-6.6210358631061235</v>
      </c>
      <c r="Q29" s="32">
        <v>6.220285643071481</v>
      </c>
      <c r="R29" s="31">
        <v>-6.0906937720006651</v>
      </c>
      <c r="S29" s="32">
        <v>9.9421268210636349</v>
      </c>
      <c r="T29" s="31">
        <v>-5.0708548932834461</v>
      </c>
      <c r="U29" s="32">
        <v>14.665901418181205</v>
      </c>
      <c r="V29" s="31">
        <v>-3.2689439320748801</v>
      </c>
      <c r="W29" s="32"/>
      <c r="X29" s="31"/>
      <c r="Z29" s="46"/>
    </row>
    <row r="30" spans="1:26">
      <c r="A30" s="45">
        <v>0</v>
      </c>
      <c r="B30" s="31">
        <v>0</v>
      </c>
      <c r="C30" s="32">
        <v>0</v>
      </c>
      <c r="D30" s="31">
        <v>0</v>
      </c>
      <c r="E30" s="32">
        <v>-13.445011945418456</v>
      </c>
      <c r="F30" s="31">
        <v>-2.4083213849256606</v>
      </c>
      <c r="G30" s="32">
        <v>-9.2433011193386925</v>
      </c>
      <c r="H30" s="31">
        <v>-4.2138931460279938</v>
      </c>
      <c r="I30" s="62">
        <v>-5.8292623717532548</v>
      </c>
      <c r="J30" s="31">
        <v>-5.25939652136302</v>
      </c>
      <c r="K30" s="32">
        <v>-2.8253926005200167</v>
      </c>
      <c r="L30" s="31">
        <v>-5.8089359468959554</v>
      </c>
      <c r="M30" s="32">
        <v>-7.3240749039420441E-16</v>
      </c>
      <c r="N30" s="31">
        <v>-5.9807585360645312</v>
      </c>
      <c r="O30" s="32">
        <v>2.8253738353006237</v>
      </c>
      <c r="P30" s="31">
        <v>-5.8088501322871711</v>
      </c>
      <c r="Q30" s="32">
        <v>5.8291797192308374</v>
      </c>
      <c r="R30" s="31">
        <v>-5.2592211056676605</v>
      </c>
      <c r="S30" s="32">
        <v>9.2430807314127179</v>
      </c>
      <c r="T30" s="31">
        <v>-4.2136234282981899</v>
      </c>
      <c r="U30" s="32">
        <v>13.444504382640307</v>
      </c>
      <c r="V30" s="31">
        <v>-2.4079649689732152</v>
      </c>
      <c r="W30" s="32"/>
      <c r="X30" s="31"/>
      <c r="Z30" s="46"/>
    </row>
    <row r="31" spans="1:26" ht="15.75" thickBot="1">
      <c r="A31" s="47"/>
      <c r="B31" s="49"/>
      <c r="C31" s="51"/>
      <c r="D31" s="49"/>
      <c r="E31" s="51"/>
      <c r="F31" s="49"/>
      <c r="G31" s="51"/>
      <c r="H31" s="49"/>
      <c r="I31" s="63"/>
      <c r="J31" s="49"/>
      <c r="K31" s="51"/>
      <c r="L31" s="49"/>
      <c r="M31" s="51"/>
      <c r="N31" s="49"/>
      <c r="O31" s="51"/>
      <c r="P31" s="49"/>
      <c r="Q31" s="51"/>
      <c r="R31" s="49"/>
      <c r="S31" s="51"/>
      <c r="T31" s="49"/>
      <c r="U31" s="51"/>
      <c r="V31" s="49"/>
      <c r="W31" s="51"/>
      <c r="X31" s="49"/>
      <c r="Y31" s="4"/>
      <c r="Z31" s="24"/>
    </row>
    <row r="34" spans="1:9">
      <c r="I34"/>
    </row>
    <row r="35" spans="1:9">
      <c r="I35"/>
    </row>
    <row r="36" spans="1:9">
      <c r="I36"/>
    </row>
    <row r="37" spans="1:9">
      <c r="I37"/>
    </row>
    <row r="38" spans="1:9">
      <c r="I38"/>
    </row>
    <row r="39" spans="1:9">
      <c r="I39"/>
    </row>
    <row r="40" spans="1:9">
      <c r="A40" s="45"/>
    </row>
    <row r="41" spans="1:9">
      <c r="A41" s="45"/>
    </row>
    <row r="42" spans="1:9">
      <c r="A42" s="45"/>
    </row>
    <row r="43" spans="1:9">
      <c r="A43" s="45"/>
    </row>
    <row r="44" spans="1:9">
      <c r="A44" s="45"/>
    </row>
    <row r="45" spans="1:9">
      <c r="A45" s="45"/>
    </row>
    <row r="46" spans="1:9">
      <c r="A46" s="4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3FD54-7DED-4ECA-A98D-94CF0F877521}">
  <sheetPr codeName="Sheet2"/>
  <dimension ref="A1:Z31"/>
  <sheetViews>
    <sheetView workbookViewId="0">
      <selection activeCell="A5" sqref="A5"/>
    </sheetView>
  </sheetViews>
  <sheetFormatPr defaultRowHeight="15"/>
  <cols>
    <col min="2" max="2" width="10.5703125" customWidth="1"/>
    <col min="3" max="3" width="9.5703125" customWidth="1"/>
    <col min="4" max="4" width="9.85546875" customWidth="1"/>
    <col min="5" max="5" width="10.140625" customWidth="1"/>
    <col min="6" max="6" width="10.7109375" customWidth="1"/>
    <col min="10" max="10" width="11" customWidth="1"/>
    <col min="11" max="11" width="9.7109375" customWidth="1"/>
    <col min="12" max="12" width="10" customWidth="1"/>
    <col min="13" max="13" width="11.42578125" customWidth="1"/>
    <col min="14" max="14" width="9.85546875" customWidth="1"/>
    <col min="15" max="16" width="11" customWidth="1"/>
    <col min="18" max="18" width="10.140625" customWidth="1"/>
    <col min="20" max="20" width="11.5703125" customWidth="1"/>
    <col min="22" max="22" width="11" customWidth="1"/>
  </cols>
  <sheetData>
    <row r="1" spans="1:24" s="26" customFormat="1" ht="25.5">
      <c r="A1" s="135" t="s">
        <v>393</v>
      </c>
      <c r="B1" s="135" t="s">
        <v>394</v>
      </c>
      <c r="C1" s="135" t="s">
        <v>389</v>
      </c>
      <c r="D1" s="135" t="s">
        <v>395</v>
      </c>
      <c r="E1" s="135" t="s">
        <v>396</v>
      </c>
      <c r="F1" s="172"/>
      <c r="G1" s="179" t="s">
        <v>502</v>
      </c>
      <c r="H1" s="58"/>
      <c r="I1" s="61"/>
      <c r="J1" s="60"/>
      <c r="K1" s="174" t="s">
        <v>407</v>
      </c>
      <c r="L1" s="174" t="s">
        <v>408</v>
      </c>
      <c r="M1" s="174" t="s">
        <v>405</v>
      </c>
      <c r="N1" s="174" t="s">
        <v>478</v>
      </c>
      <c r="O1" s="171" t="s">
        <v>479</v>
      </c>
      <c r="P1" s="174" t="s">
        <v>481</v>
      </c>
      <c r="Q1" s="174" t="s">
        <v>482</v>
      </c>
    </row>
    <row r="2" spans="1:24" s="2" customFormat="1">
      <c r="A2" s="2" t="str">
        <f>Enter!B2</f>
        <v>Tehran</v>
      </c>
      <c r="B2" s="2">
        <v>51.3797</v>
      </c>
      <c r="C2" s="2">
        <v>35.7029</v>
      </c>
      <c r="D2" s="2">
        <v>1210</v>
      </c>
      <c r="E2" s="2">
        <v>3.5</v>
      </c>
      <c r="K2" s="2">
        <v>125.7029</v>
      </c>
      <c r="L2" s="2">
        <v>0</v>
      </c>
      <c r="M2" s="2">
        <v>10</v>
      </c>
      <c r="N2" s="2">
        <v>1.6331778728383843E+17</v>
      </c>
      <c r="O2" s="2">
        <v>-8.7464757658750614E-14</v>
      </c>
      <c r="P2" s="2">
        <v>0</v>
      </c>
      <c r="Q2" s="2">
        <v>-1.6331778728383843E+17</v>
      </c>
    </row>
    <row r="4" spans="1:24" ht="15.75" thickBot="1"/>
    <row r="5" spans="1:24" s="41" customFormat="1">
      <c r="A5" s="54"/>
      <c r="B5" s="118">
        <v>44733</v>
      </c>
      <c r="C5" s="55"/>
      <c r="D5" s="118">
        <v>44655</v>
      </c>
      <c r="E5" s="55"/>
      <c r="F5" s="118">
        <v>44671</v>
      </c>
      <c r="G5" s="55"/>
      <c r="H5" s="118">
        <v>44686</v>
      </c>
      <c r="I5" s="55"/>
      <c r="J5" s="118">
        <v>44702</v>
      </c>
      <c r="K5" s="55"/>
      <c r="L5" s="118">
        <v>44827</v>
      </c>
      <c r="M5" s="57"/>
      <c r="N5" s="118">
        <v>44841</v>
      </c>
      <c r="O5" s="57"/>
      <c r="P5" s="118">
        <v>44857</v>
      </c>
      <c r="Q5" s="55"/>
      <c r="R5" s="118">
        <v>44872</v>
      </c>
      <c r="S5" s="55"/>
      <c r="T5" s="118">
        <v>44887</v>
      </c>
      <c r="U5" s="55"/>
      <c r="V5" s="118">
        <v>44916</v>
      </c>
      <c r="W5" s="57"/>
      <c r="X5" s="119"/>
    </row>
    <row r="6" spans="1:24">
      <c r="A6" s="45">
        <v>99999</v>
      </c>
      <c r="B6" s="31">
        <v>99999</v>
      </c>
      <c r="C6" s="32">
        <v>99999</v>
      </c>
      <c r="D6" s="31">
        <v>99999</v>
      </c>
      <c r="E6" s="32">
        <v>99999</v>
      </c>
      <c r="F6" s="31">
        <v>99999</v>
      </c>
      <c r="G6" s="32">
        <v>99999</v>
      </c>
      <c r="H6" s="31">
        <v>99999</v>
      </c>
      <c r="I6" s="32">
        <v>99999</v>
      </c>
      <c r="J6" s="31">
        <v>99999</v>
      </c>
      <c r="K6" s="32">
        <v>99999</v>
      </c>
      <c r="L6" s="31">
        <v>99999</v>
      </c>
      <c r="N6" s="31"/>
      <c r="P6" s="31"/>
      <c r="Q6" s="32"/>
      <c r="R6" s="31"/>
      <c r="S6" s="32"/>
      <c r="T6" s="31"/>
      <c r="U6" s="32"/>
      <c r="V6" s="31"/>
      <c r="X6" s="46"/>
    </row>
    <row r="7" spans="1:24">
      <c r="A7" s="45">
        <v>99999</v>
      </c>
      <c r="B7" s="31">
        <v>99999</v>
      </c>
      <c r="C7" s="32">
        <v>99999</v>
      </c>
      <c r="D7" s="31">
        <v>99999</v>
      </c>
      <c r="E7" s="32">
        <v>99999</v>
      </c>
      <c r="F7" s="31">
        <v>99999</v>
      </c>
      <c r="G7" s="32">
        <v>99999</v>
      </c>
      <c r="H7" s="31">
        <v>99999</v>
      </c>
      <c r="I7" s="32">
        <v>99999</v>
      </c>
      <c r="J7" s="31">
        <v>99999</v>
      </c>
      <c r="K7" s="32">
        <v>-1813051.3340446255</v>
      </c>
      <c r="L7" s="31">
        <v>-486920.49596938048</v>
      </c>
      <c r="M7">
        <v>-101.95590213982668</v>
      </c>
      <c r="N7" s="31">
        <v>-27.421118646279883</v>
      </c>
      <c r="O7">
        <v>-48.393022607047257</v>
      </c>
      <c r="P7" s="31">
        <v>-13.057984415841936</v>
      </c>
      <c r="Q7" s="32">
        <v>-33.435803338154415</v>
      </c>
      <c r="R7" s="31">
        <v>-9.0801584626153673</v>
      </c>
      <c r="S7" s="32">
        <v>-26.737560560332913</v>
      </c>
      <c r="T7" s="31">
        <v>-7.3567098927865784</v>
      </c>
      <c r="U7" s="32"/>
      <c r="V7" s="31"/>
      <c r="X7" s="46"/>
    </row>
    <row r="8" spans="1:24">
      <c r="A8" s="45">
        <v>99999</v>
      </c>
      <c r="B8" s="31">
        <v>99999</v>
      </c>
      <c r="C8" s="32">
        <v>99999</v>
      </c>
      <c r="D8" s="31">
        <v>99999</v>
      </c>
      <c r="E8" s="32">
        <v>99999</v>
      </c>
      <c r="F8" s="31">
        <v>99999</v>
      </c>
      <c r="G8" s="32">
        <v>99999</v>
      </c>
      <c r="H8" s="31">
        <v>99999</v>
      </c>
      <c r="I8" s="32">
        <v>99999</v>
      </c>
      <c r="J8" s="31">
        <v>99999</v>
      </c>
      <c r="K8" s="32">
        <v>-14216.025373366268</v>
      </c>
      <c r="L8" s="31">
        <v>-8210.6315375654085</v>
      </c>
      <c r="M8">
        <v>-90.680760795376912</v>
      </c>
      <c r="N8" s="31">
        <v>-52.387958537456626</v>
      </c>
      <c r="O8">
        <v>-43.137918628058884</v>
      </c>
      <c r="P8" s="31">
        <v>-24.934844639844364</v>
      </c>
      <c r="Q8" s="32">
        <v>-29.764348613057461</v>
      </c>
      <c r="R8" s="31">
        <v>-17.21671276703913</v>
      </c>
      <c r="S8" s="32">
        <v>-23.69680587107225</v>
      </c>
      <c r="T8" s="31">
        <v>-13.718350854692996</v>
      </c>
      <c r="U8" s="32">
        <v>-20.022099008411843</v>
      </c>
      <c r="V8" s="31">
        <v>-11.602993575329736</v>
      </c>
      <c r="X8" s="46"/>
    </row>
    <row r="9" spans="1:24">
      <c r="A9" s="45">
        <v>99999</v>
      </c>
      <c r="B9" s="31">
        <v>99999</v>
      </c>
      <c r="C9" s="32">
        <v>99999</v>
      </c>
      <c r="D9" s="31">
        <v>99999</v>
      </c>
      <c r="E9" s="32">
        <v>99999</v>
      </c>
      <c r="F9" s="31">
        <v>99999</v>
      </c>
      <c r="G9" s="32">
        <v>99999</v>
      </c>
      <c r="H9" s="31">
        <v>99999</v>
      </c>
      <c r="I9" s="32">
        <v>99999</v>
      </c>
      <c r="J9" s="31">
        <v>99999</v>
      </c>
      <c r="K9" s="32">
        <v>-7083.231092069539</v>
      </c>
      <c r="L9" s="31">
        <v>-7083.8267963468061</v>
      </c>
      <c r="M9">
        <v>-73.721459822584123</v>
      </c>
      <c r="N9" s="31">
        <v>-73.737042977608525</v>
      </c>
      <c r="O9">
        <v>-35.142884474011943</v>
      </c>
      <c r="P9" s="31">
        <v>-35.15932435370928</v>
      </c>
      <c r="Q9" s="32">
        <v>-24.260578274001439</v>
      </c>
      <c r="R9" s="31">
        <v>-24.279881925498128</v>
      </c>
      <c r="S9" s="32">
        <v>-19.31864073461519</v>
      </c>
      <c r="T9" s="31">
        <v>-19.340919026016337</v>
      </c>
      <c r="U9" s="32">
        <v>-16.326921506043465</v>
      </c>
      <c r="V9" s="31">
        <v>-16.352411309379509</v>
      </c>
      <c r="X9" s="46"/>
    </row>
    <row r="10" spans="1:24">
      <c r="A10" s="45">
        <v>99999</v>
      </c>
      <c r="B10" s="31">
        <v>99999</v>
      </c>
      <c r="C10" s="32">
        <v>99999</v>
      </c>
      <c r="D10" s="31">
        <v>99999</v>
      </c>
      <c r="E10" s="32">
        <v>99999</v>
      </c>
      <c r="F10" s="31">
        <v>99999</v>
      </c>
      <c r="G10" s="32">
        <v>99999</v>
      </c>
      <c r="H10" s="31">
        <v>99999</v>
      </c>
      <c r="I10" s="32">
        <v>99999</v>
      </c>
      <c r="J10" s="31">
        <v>99999</v>
      </c>
      <c r="K10" s="32">
        <v>-3762.5111751521213</v>
      </c>
      <c r="L10" s="31">
        <v>-6516.9259016941051</v>
      </c>
      <c r="M10">
        <v>-51.94701721722523</v>
      </c>
      <c r="N10" s="31">
        <v>-89.983417872407472</v>
      </c>
      <c r="O10">
        <v>-24.808252450237269</v>
      </c>
      <c r="P10" s="31">
        <v>-42.980782265076641</v>
      </c>
      <c r="Q10" s="32">
        <v>-17.135472174891394</v>
      </c>
      <c r="R10" s="31">
        <v>-29.694190667835176</v>
      </c>
      <c r="S10" s="32">
        <v>-13.648961549994702</v>
      </c>
      <c r="T10" s="31">
        <v>-23.658088848067738</v>
      </c>
      <c r="U10" s="32">
        <v>-11.540239343524288</v>
      </c>
      <c r="V10" s="31">
        <v>-20.008391684393942</v>
      </c>
      <c r="X10" s="46"/>
    </row>
    <row r="11" spans="1:24">
      <c r="A11" s="45">
        <v>99999</v>
      </c>
      <c r="B11" s="31">
        <v>99999</v>
      </c>
      <c r="C11" s="32">
        <v>99999</v>
      </c>
      <c r="D11" s="31">
        <v>99999</v>
      </c>
      <c r="E11" s="32">
        <v>99999</v>
      </c>
      <c r="F11" s="31">
        <v>99999</v>
      </c>
      <c r="G11" s="32">
        <v>99999</v>
      </c>
      <c r="H11" s="31">
        <v>99999</v>
      </c>
      <c r="I11" s="32">
        <v>99999</v>
      </c>
      <c r="J11" s="31">
        <v>99999</v>
      </c>
      <c r="K11" s="32">
        <v>-1584.0283523674982</v>
      </c>
      <c r="L11" s="31">
        <v>-5911.5931685141859</v>
      </c>
      <c r="M11">
        <v>-26.804748797507134</v>
      </c>
      <c r="N11" s="31">
        <v>-100.04222103917405</v>
      </c>
      <c r="O11">
        <v>-12.822869986247953</v>
      </c>
      <c r="P11" s="31">
        <v>-47.865183224900861</v>
      </c>
      <c r="Q11" s="32">
        <v>-8.8616750426732178</v>
      </c>
      <c r="R11" s="31">
        <v>-33.084959220721004</v>
      </c>
      <c r="S11" s="32">
        <v>-7.0607880241182492</v>
      </c>
      <c r="T11" s="31">
        <v>-26.366593113977611</v>
      </c>
      <c r="U11" s="32">
        <v>-5.9726543879452878</v>
      </c>
      <c r="V11" s="31">
        <v>-22.308184165161592</v>
      </c>
      <c r="X11" s="46"/>
    </row>
    <row r="12" spans="1:24">
      <c r="A12" s="45">
        <v>99999</v>
      </c>
      <c r="B12" s="31">
        <v>99999</v>
      </c>
      <c r="C12" s="32">
        <v>99999</v>
      </c>
      <c r="D12" s="31">
        <v>99999</v>
      </c>
      <c r="E12" s="32">
        <v>99999</v>
      </c>
      <c r="F12" s="31">
        <v>99999</v>
      </c>
      <c r="G12" s="32">
        <v>99999</v>
      </c>
      <c r="H12" s="31">
        <v>99999</v>
      </c>
      <c r="I12" s="32">
        <v>99999</v>
      </c>
      <c r="J12" s="31">
        <v>99999</v>
      </c>
      <c r="K12" s="32">
        <v>-6.3666220279331178E-13</v>
      </c>
      <c r="L12" s="31">
        <v>-5198.9131103729051</v>
      </c>
      <c r="M12">
        <v>1.2645594371063242E-14</v>
      </c>
      <c r="N12" s="31">
        <v>-103.26252457855057</v>
      </c>
      <c r="O12">
        <v>6.0600405311112688E-15</v>
      </c>
      <c r="P12" s="31">
        <v>-49.485620519573473</v>
      </c>
      <c r="Q12" s="32">
        <v>4.1909056188477354E-15</v>
      </c>
      <c r="R12" s="31">
        <v>-34.222471619280888</v>
      </c>
      <c r="S12" s="32">
        <v>-3.3408876924828184E-15</v>
      </c>
      <c r="T12" s="31">
        <v>-27.281319275005139</v>
      </c>
      <c r="U12" s="32">
        <v>-2.8279379420384473E-15</v>
      </c>
      <c r="V12" s="31">
        <v>-23.092628363486547</v>
      </c>
      <c r="X12" s="46"/>
    </row>
    <row r="13" spans="1:24">
      <c r="A13" s="45">
        <v>99999</v>
      </c>
      <c r="B13" s="31">
        <v>99999</v>
      </c>
      <c r="C13" s="32">
        <v>99999</v>
      </c>
      <c r="D13" s="31">
        <v>99999</v>
      </c>
      <c r="E13" s="32">
        <v>99999</v>
      </c>
      <c r="F13" s="31">
        <v>99999</v>
      </c>
      <c r="G13" s="32">
        <v>99999</v>
      </c>
      <c r="H13" s="31">
        <v>99999</v>
      </c>
      <c r="I13" s="32">
        <v>99999</v>
      </c>
      <c r="J13" s="31">
        <v>99999</v>
      </c>
      <c r="K13" s="32">
        <v>1176.5133745417088</v>
      </c>
      <c r="L13" s="31">
        <v>-4390.7482435987149</v>
      </c>
      <c r="M13">
        <v>26.64985214268307</v>
      </c>
      <c r="N13" s="31">
        <v>-99.464143081648828</v>
      </c>
      <c r="O13">
        <v>12.789283287259039</v>
      </c>
      <c r="P13" s="31">
        <v>-47.739837481715114</v>
      </c>
      <c r="Q13" s="32">
        <v>8.8475901727635886</v>
      </c>
      <c r="R13" s="31">
        <v>-33.032395757474418</v>
      </c>
      <c r="S13" s="32">
        <v>7.0539912876180901</v>
      </c>
      <c r="T13" s="31">
        <v>-26.341229626078931</v>
      </c>
      <c r="U13" s="32">
        <v>5.9725514914219984</v>
      </c>
      <c r="V13" s="31">
        <v>-22.307800693043887</v>
      </c>
      <c r="X13" s="46"/>
    </row>
    <row r="14" spans="1:24">
      <c r="A14" s="45">
        <v>99999</v>
      </c>
      <c r="B14" s="31">
        <v>99999</v>
      </c>
      <c r="C14" s="32">
        <v>99999</v>
      </c>
      <c r="D14" s="31">
        <v>99999</v>
      </c>
      <c r="E14" s="32">
        <v>99999</v>
      </c>
      <c r="F14" s="31">
        <v>99999</v>
      </c>
      <c r="G14" s="32">
        <v>99999</v>
      </c>
      <c r="H14" s="31">
        <v>99999</v>
      </c>
      <c r="I14" s="32">
        <v>99999</v>
      </c>
      <c r="J14" s="31">
        <v>99999</v>
      </c>
      <c r="K14" s="32">
        <v>2031.8717932730522</v>
      </c>
      <c r="L14" s="31">
        <v>-3519.3421440560837</v>
      </c>
      <c r="M14">
        <v>51.348244054575773</v>
      </c>
      <c r="N14" s="31">
        <v>-88.946296385182038</v>
      </c>
      <c r="O14">
        <v>24.678452181258116</v>
      </c>
      <c r="P14" s="31">
        <v>-42.755961121884845</v>
      </c>
      <c r="Q14" s="32">
        <v>17.081043517733555</v>
      </c>
      <c r="R14" s="31">
        <v>-29.599921105587303</v>
      </c>
      <c r="S14" s="32">
        <v>13.622697964869683</v>
      </c>
      <c r="T14" s="31">
        <v>-23.612603918485995</v>
      </c>
      <c r="U14" s="32">
        <v>11.539841847184256</v>
      </c>
      <c r="V14" s="31">
        <v>-20.007704201218896</v>
      </c>
      <c r="X14" s="46"/>
    </row>
    <row r="15" spans="1:24">
      <c r="A15" s="45">
        <v>99999</v>
      </c>
      <c r="B15" s="31">
        <v>99999</v>
      </c>
      <c r="C15" s="32">
        <v>99999</v>
      </c>
      <c r="D15" s="31">
        <v>99999</v>
      </c>
      <c r="E15" s="32">
        <v>99999</v>
      </c>
      <c r="F15" s="31">
        <v>99999</v>
      </c>
      <c r="G15" s="32">
        <v>99999</v>
      </c>
      <c r="H15" s="31">
        <v>99999</v>
      </c>
      <c r="I15" s="32">
        <v>99999</v>
      </c>
      <c r="J15" s="31">
        <v>99999</v>
      </c>
      <c r="K15" s="32">
        <v>2622.7864073144738</v>
      </c>
      <c r="L15" s="31">
        <v>-2623.0100484646532</v>
      </c>
      <c r="M15">
        <v>72.449895406758202</v>
      </c>
      <c r="N15" s="31">
        <v>-72.465367555606946</v>
      </c>
      <c r="O15">
        <v>34.867391993735545</v>
      </c>
      <c r="P15" s="31">
        <v>-34.88381775106923</v>
      </c>
      <c r="Q15" s="32">
        <v>24.145077525371995</v>
      </c>
      <c r="R15" s="31">
        <v>-24.164386153119594</v>
      </c>
      <c r="S15" s="32">
        <v>19.262914205637358</v>
      </c>
      <c r="T15" s="31">
        <v>-19.28520377352476</v>
      </c>
      <c r="U15" s="32">
        <v>16.326078312447141</v>
      </c>
      <c r="V15" s="31">
        <v>-16.351569813820749</v>
      </c>
      <c r="X15" s="46"/>
    </row>
    <row r="16" spans="1:24">
      <c r="A16" s="45">
        <v>99999</v>
      </c>
      <c r="B16" s="31">
        <v>99999</v>
      </c>
      <c r="C16" s="32">
        <v>99999</v>
      </c>
      <c r="D16" s="31">
        <v>99999</v>
      </c>
      <c r="E16" s="32">
        <v>99999</v>
      </c>
      <c r="F16" s="31">
        <v>99999</v>
      </c>
      <c r="G16" s="32">
        <v>99999</v>
      </c>
      <c r="H16" s="31">
        <v>99999</v>
      </c>
      <c r="I16" s="32">
        <v>99999</v>
      </c>
      <c r="J16" s="31">
        <v>99999</v>
      </c>
      <c r="K16" s="32">
        <v>3015.0372543316862</v>
      </c>
      <c r="L16" s="31">
        <v>-1741.3766932133585</v>
      </c>
      <c r="M16">
        <v>88.599209381990079</v>
      </c>
      <c r="N16" s="31">
        <v>-51.185751283653389</v>
      </c>
      <c r="O16">
        <v>42.687503120578242</v>
      </c>
      <c r="P16" s="31">
        <v>-24.674749293204226</v>
      </c>
      <c r="Q16" s="32">
        <v>29.575605498363057</v>
      </c>
      <c r="R16" s="31">
        <v>-17.107770356641417</v>
      </c>
      <c r="S16" s="32">
        <v>23.605785127607376</v>
      </c>
      <c r="T16" s="31">
        <v>-13.665858636372404</v>
      </c>
      <c r="U16" s="32">
        <v>20.020723017267944</v>
      </c>
      <c r="V16" s="31">
        <v>-11.602203187023298</v>
      </c>
      <c r="X16" s="46"/>
    </row>
    <row r="17" spans="1:26">
      <c r="A17" s="45">
        <v>99999</v>
      </c>
      <c r="B17" s="31">
        <v>99999</v>
      </c>
      <c r="C17" s="32">
        <v>99999</v>
      </c>
      <c r="D17" s="31">
        <v>99999</v>
      </c>
      <c r="E17" s="32">
        <v>99999</v>
      </c>
      <c r="F17" s="31">
        <v>99999</v>
      </c>
      <c r="G17" s="32">
        <v>99999</v>
      </c>
      <c r="H17" s="31">
        <v>99999</v>
      </c>
      <c r="I17" s="32">
        <v>99999</v>
      </c>
      <c r="J17" s="31">
        <v>99999</v>
      </c>
      <c r="K17" s="32">
        <v>3412.0934455224283</v>
      </c>
      <c r="L17" s="31">
        <v>-916.39199152485878</v>
      </c>
      <c r="M17">
        <v>99.031232486316298</v>
      </c>
      <c r="N17" s="31">
        <v>-26.635951764457829</v>
      </c>
      <c r="O17">
        <v>47.76331352130326</v>
      </c>
      <c r="P17" s="31">
        <v>-12.889525058654694</v>
      </c>
      <c r="Q17" s="32">
        <v>33.173916648211552</v>
      </c>
      <c r="R17" s="31">
        <v>-9.0112651628974074</v>
      </c>
      <c r="S17" s="32">
        <v>26.613656016324413</v>
      </c>
      <c r="T17" s="31">
        <v>-7.3259189606277717</v>
      </c>
      <c r="U17" s="32"/>
      <c r="V17" s="31"/>
      <c r="X17" s="46"/>
    </row>
    <row r="18" spans="1:26" ht="15.75" thickBot="1">
      <c r="A18" s="45">
        <v>99999</v>
      </c>
      <c r="B18" s="31">
        <v>99999</v>
      </c>
      <c r="C18" s="32">
        <v>99999</v>
      </c>
      <c r="D18" s="31">
        <v>99999</v>
      </c>
      <c r="E18" s="32">
        <v>99999</v>
      </c>
      <c r="F18" s="31">
        <v>99999</v>
      </c>
      <c r="G18" s="32">
        <v>99999</v>
      </c>
      <c r="H18" s="31">
        <v>99999</v>
      </c>
      <c r="I18" s="32">
        <v>99999</v>
      </c>
      <c r="J18" s="31">
        <v>99999</v>
      </c>
      <c r="K18" s="32">
        <v>99999</v>
      </c>
      <c r="L18" s="31">
        <v>99999</v>
      </c>
      <c r="N18" s="49"/>
      <c r="P18" s="31"/>
      <c r="Q18" s="32"/>
      <c r="R18" s="31"/>
      <c r="S18" s="32"/>
      <c r="T18" s="31"/>
      <c r="U18" s="32"/>
      <c r="V18" s="31"/>
      <c r="X18" s="46"/>
    </row>
    <row r="19" spans="1:26" s="6" customFormat="1">
      <c r="A19" s="42"/>
      <c r="B19" s="48">
        <v>6</v>
      </c>
      <c r="C19" s="50"/>
      <c r="D19" s="48">
        <v>7</v>
      </c>
      <c r="E19" s="50"/>
      <c r="F19" s="48">
        <v>8</v>
      </c>
      <c r="G19" s="50"/>
      <c r="H19" s="48">
        <v>9</v>
      </c>
      <c r="I19" s="50"/>
      <c r="J19" s="48">
        <v>10</v>
      </c>
      <c r="K19" s="50"/>
      <c r="L19" s="48">
        <v>11</v>
      </c>
      <c r="M19" s="50"/>
      <c r="N19" s="48">
        <v>12</v>
      </c>
      <c r="O19" s="50"/>
      <c r="P19" s="48">
        <v>13</v>
      </c>
      <c r="Q19" s="50"/>
      <c r="R19" s="48">
        <v>14</v>
      </c>
      <c r="S19" s="50"/>
      <c r="T19" s="48">
        <v>15</v>
      </c>
      <c r="U19" s="50"/>
      <c r="V19" s="48">
        <v>16</v>
      </c>
      <c r="W19" s="50"/>
      <c r="X19" s="48"/>
      <c r="Y19" s="43"/>
      <c r="Z19" s="44"/>
    </row>
    <row r="20" spans="1:26">
      <c r="A20" s="45">
        <v>99999</v>
      </c>
      <c r="B20" s="31">
        <v>99999</v>
      </c>
      <c r="C20" s="32">
        <v>99999</v>
      </c>
      <c r="D20" s="31">
        <v>99999</v>
      </c>
      <c r="E20" s="32">
        <v>99999</v>
      </c>
      <c r="F20" s="31">
        <v>99999</v>
      </c>
      <c r="G20" s="32">
        <v>99999</v>
      </c>
      <c r="H20" s="31">
        <v>99999</v>
      </c>
      <c r="I20" s="32">
        <v>99999</v>
      </c>
      <c r="J20" s="31">
        <v>99999</v>
      </c>
      <c r="K20" s="32">
        <v>99999</v>
      </c>
      <c r="L20" s="31">
        <v>99999</v>
      </c>
      <c r="M20" s="32">
        <v>99999</v>
      </c>
      <c r="N20" s="31">
        <v>99999</v>
      </c>
      <c r="O20" s="32">
        <v>99999</v>
      </c>
      <c r="P20" s="31">
        <v>99999</v>
      </c>
      <c r="Q20" s="32">
        <v>99999</v>
      </c>
      <c r="R20" s="31">
        <v>99999</v>
      </c>
      <c r="S20" s="32">
        <v>99999</v>
      </c>
      <c r="T20" s="31">
        <v>99999</v>
      </c>
      <c r="U20" s="32">
        <v>99999</v>
      </c>
      <c r="V20" s="31">
        <v>99999</v>
      </c>
      <c r="W20" s="32"/>
      <c r="X20" s="31"/>
      <c r="Z20" s="46"/>
    </row>
    <row r="21" spans="1:26">
      <c r="A21" s="45">
        <v>99999</v>
      </c>
      <c r="B21" s="31">
        <v>99999</v>
      </c>
      <c r="C21" s="32">
        <v>99999</v>
      </c>
      <c r="D21" s="31">
        <v>99999</v>
      </c>
      <c r="E21" s="32">
        <v>99999</v>
      </c>
      <c r="F21" s="31">
        <v>99999</v>
      </c>
      <c r="G21" s="32">
        <v>99999</v>
      </c>
      <c r="H21" s="31">
        <v>99999</v>
      </c>
      <c r="I21" s="32">
        <v>99999</v>
      </c>
      <c r="J21" s="31">
        <v>99999</v>
      </c>
      <c r="K21" s="32">
        <v>99999</v>
      </c>
      <c r="L21" s="31">
        <v>99999</v>
      </c>
      <c r="M21" s="32">
        <v>99999</v>
      </c>
      <c r="N21" s="31">
        <v>99999</v>
      </c>
      <c r="O21" s="32">
        <v>99999</v>
      </c>
      <c r="P21" s="31">
        <v>99999</v>
      </c>
      <c r="Q21" s="32">
        <v>99999</v>
      </c>
      <c r="R21" s="31">
        <v>99999</v>
      </c>
      <c r="S21" s="32">
        <v>99999</v>
      </c>
      <c r="T21" s="31">
        <v>99999</v>
      </c>
      <c r="U21" s="32">
        <v>99999</v>
      </c>
      <c r="V21" s="31">
        <v>99999</v>
      </c>
      <c r="W21" s="32"/>
      <c r="X21" s="31"/>
      <c r="Z21" s="46"/>
    </row>
    <row r="22" spans="1:26">
      <c r="A22" s="45">
        <v>99999</v>
      </c>
      <c r="B22" s="31">
        <v>99999</v>
      </c>
      <c r="C22" s="32">
        <v>99999</v>
      </c>
      <c r="D22" s="31">
        <v>99999</v>
      </c>
      <c r="E22" s="32">
        <v>99999</v>
      </c>
      <c r="F22" s="31">
        <v>99999</v>
      </c>
      <c r="G22" s="32">
        <v>99999</v>
      </c>
      <c r="H22" s="31">
        <v>99999</v>
      </c>
      <c r="I22" s="32">
        <v>99999</v>
      </c>
      <c r="J22" s="31">
        <v>99999</v>
      </c>
      <c r="K22" s="32">
        <v>99999</v>
      </c>
      <c r="L22" s="31">
        <v>99999</v>
      </c>
      <c r="M22" s="32">
        <v>99999</v>
      </c>
      <c r="N22" s="31">
        <v>99999</v>
      </c>
      <c r="O22" s="32">
        <v>99999</v>
      </c>
      <c r="P22" s="31">
        <v>99999</v>
      </c>
      <c r="Q22" s="32">
        <v>99999</v>
      </c>
      <c r="R22" s="31">
        <v>99999</v>
      </c>
      <c r="S22" s="32">
        <v>99999</v>
      </c>
      <c r="T22" s="31">
        <v>99999</v>
      </c>
      <c r="U22" s="32">
        <v>99999</v>
      </c>
      <c r="V22" s="31">
        <v>99999</v>
      </c>
      <c r="W22" s="32"/>
      <c r="X22" s="31"/>
      <c r="Z22" s="46"/>
    </row>
    <row r="23" spans="1:26">
      <c r="A23" s="45">
        <v>99999</v>
      </c>
      <c r="B23" s="31">
        <v>99999</v>
      </c>
      <c r="C23" s="32">
        <v>99999</v>
      </c>
      <c r="D23" s="31">
        <v>99999</v>
      </c>
      <c r="E23" s="32">
        <v>99999</v>
      </c>
      <c r="F23" s="31">
        <v>99999</v>
      </c>
      <c r="G23" s="32">
        <v>99999</v>
      </c>
      <c r="H23" s="31">
        <v>99999</v>
      </c>
      <c r="I23" s="32">
        <v>99999</v>
      </c>
      <c r="J23" s="31">
        <v>99999</v>
      </c>
      <c r="K23" s="32">
        <v>99999</v>
      </c>
      <c r="L23" s="31">
        <v>99999</v>
      </c>
      <c r="M23" s="32">
        <v>99999</v>
      </c>
      <c r="N23" s="31">
        <v>99999</v>
      </c>
      <c r="O23" s="32">
        <v>99999</v>
      </c>
      <c r="P23" s="31">
        <v>99999</v>
      </c>
      <c r="Q23" s="32">
        <v>99999</v>
      </c>
      <c r="R23" s="31">
        <v>99999</v>
      </c>
      <c r="S23" s="32">
        <v>99999</v>
      </c>
      <c r="T23" s="31">
        <v>99999</v>
      </c>
      <c r="U23" s="32">
        <v>99999</v>
      </c>
      <c r="V23" s="31">
        <v>99999</v>
      </c>
      <c r="W23" s="32"/>
      <c r="X23" s="31"/>
      <c r="Z23" s="46"/>
    </row>
    <row r="24" spans="1:26">
      <c r="A24" s="45">
        <v>99999</v>
      </c>
      <c r="B24" s="31">
        <v>99999</v>
      </c>
      <c r="C24" s="32">
        <v>99999</v>
      </c>
      <c r="D24" s="31">
        <v>99999</v>
      </c>
      <c r="E24" s="32">
        <v>99999</v>
      </c>
      <c r="F24" s="31">
        <v>99999</v>
      </c>
      <c r="G24" s="32">
        <v>99999</v>
      </c>
      <c r="H24" s="31">
        <v>99999</v>
      </c>
      <c r="I24" s="32">
        <v>99999</v>
      </c>
      <c r="J24" s="31">
        <v>99999</v>
      </c>
      <c r="K24" s="32">
        <v>99999</v>
      </c>
      <c r="L24" s="31">
        <v>99999</v>
      </c>
      <c r="M24" s="32">
        <v>99999</v>
      </c>
      <c r="N24" s="31">
        <v>99999</v>
      </c>
      <c r="O24" s="32">
        <v>99999</v>
      </c>
      <c r="P24" s="31">
        <v>99999</v>
      </c>
      <c r="Q24" s="32">
        <v>99999</v>
      </c>
      <c r="R24" s="31">
        <v>99999</v>
      </c>
      <c r="S24" s="32">
        <v>99999</v>
      </c>
      <c r="T24" s="31">
        <v>99999</v>
      </c>
      <c r="U24" s="32">
        <v>99999</v>
      </c>
      <c r="V24" s="31">
        <v>99999</v>
      </c>
      <c r="W24" s="32"/>
      <c r="X24" s="31"/>
      <c r="Z24" s="46"/>
    </row>
    <row r="25" spans="1:26">
      <c r="A25" s="45">
        <v>99999</v>
      </c>
      <c r="B25" s="31">
        <v>99999</v>
      </c>
      <c r="C25" s="32">
        <v>-1813051.3340446255</v>
      </c>
      <c r="D25" s="31">
        <v>-486920.49596938048</v>
      </c>
      <c r="E25" s="32">
        <v>-14216.025373366268</v>
      </c>
      <c r="F25" s="31">
        <v>-8210.6315375654085</v>
      </c>
      <c r="G25" s="32">
        <v>-7083.231092069539</v>
      </c>
      <c r="H25" s="31">
        <v>-7083.8267963468061</v>
      </c>
      <c r="I25" s="32">
        <v>-3762.5111751521213</v>
      </c>
      <c r="J25" s="31">
        <v>-6516.9259016941051</v>
      </c>
      <c r="K25" s="32">
        <v>-1584.0283523674982</v>
      </c>
      <c r="L25" s="31">
        <v>-5911.5931685141859</v>
      </c>
      <c r="M25" s="32">
        <v>-6.3666220279331178E-13</v>
      </c>
      <c r="N25" s="31">
        <v>-5198.9131103729051</v>
      </c>
      <c r="O25" s="32">
        <v>1176.5133745417088</v>
      </c>
      <c r="P25" s="31">
        <v>-4390.7482435987149</v>
      </c>
      <c r="Q25" s="32">
        <v>2031.8717932730522</v>
      </c>
      <c r="R25" s="31">
        <v>-3519.3421440560837</v>
      </c>
      <c r="S25" s="32">
        <v>2622.7864073144738</v>
      </c>
      <c r="T25" s="31">
        <v>-2623.0100484646532</v>
      </c>
      <c r="U25" s="32">
        <v>3015.0372543316862</v>
      </c>
      <c r="V25" s="31">
        <v>-1741.3766932133585</v>
      </c>
      <c r="W25" s="32"/>
      <c r="X25" s="31"/>
      <c r="Z25" s="46"/>
    </row>
    <row r="26" spans="1:26">
      <c r="A26" s="45">
        <v>0</v>
      </c>
      <c r="B26" s="31">
        <v>0</v>
      </c>
      <c r="C26" s="32">
        <v>-101.95590213982668</v>
      </c>
      <c r="D26" s="31">
        <v>-27.421118646279883</v>
      </c>
      <c r="E26" s="32">
        <v>-90.680760795376912</v>
      </c>
      <c r="F26" s="31">
        <v>-52.387958537456626</v>
      </c>
      <c r="G26" s="32">
        <v>-73.721459822584123</v>
      </c>
      <c r="H26" s="31">
        <v>-73.737042977608525</v>
      </c>
      <c r="I26" s="32">
        <v>-51.94701721722523</v>
      </c>
      <c r="J26" s="31">
        <v>-89.983417872407472</v>
      </c>
      <c r="K26" s="32">
        <v>-26.804748797507134</v>
      </c>
      <c r="L26" s="31">
        <v>-100.04222103917405</v>
      </c>
      <c r="M26" s="32">
        <v>1.2645594371063242E-14</v>
      </c>
      <c r="N26" s="31">
        <v>-103.26252457855057</v>
      </c>
      <c r="O26" s="32">
        <v>26.64985214268307</v>
      </c>
      <c r="P26" s="31">
        <v>-99.464143081648828</v>
      </c>
      <c r="Q26" s="32">
        <v>51.348244054575773</v>
      </c>
      <c r="R26" s="31">
        <v>-88.946296385182038</v>
      </c>
      <c r="S26" s="32">
        <v>72.449895406758202</v>
      </c>
      <c r="T26" s="31">
        <v>-72.465367555606946</v>
      </c>
      <c r="U26" s="32">
        <v>88.599209381990079</v>
      </c>
      <c r="V26" s="31">
        <v>-51.185751283653389</v>
      </c>
      <c r="W26" s="32"/>
      <c r="X26" s="31"/>
      <c r="Z26" s="46"/>
    </row>
    <row r="27" spans="1:26">
      <c r="A27" s="45">
        <v>0</v>
      </c>
      <c r="B27" s="31">
        <v>0</v>
      </c>
      <c r="C27" s="32">
        <v>-48.393022607047257</v>
      </c>
      <c r="D27" s="31">
        <v>-13.057984415841936</v>
      </c>
      <c r="E27" s="32">
        <v>-43.137918628058884</v>
      </c>
      <c r="F27" s="31">
        <v>-24.934844639844364</v>
      </c>
      <c r="G27" s="32">
        <v>-35.142884474011943</v>
      </c>
      <c r="H27" s="31">
        <v>-35.15932435370928</v>
      </c>
      <c r="I27" s="32">
        <v>-24.808252450237269</v>
      </c>
      <c r="J27" s="31">
        <v>-42.980782265076641</v>
      </c>
      <c r="K27" s="32">
        <v>-12.822869986247953</v>
      </c>
      <c r="L27" s="31">
        <v>-47.865183224900861</v>
      </c>
      <c r="M27" s="32">
        <v>6.0600405311112688E-15</v>
      </c>
      <c r="N27" s="31">
        <v>-49.485620519573473</v>
      </c>
      <c r="O27" s="32">
        <v>12.789283287259039</v>
      </c>
      <c r="P27" s="31">
        <v>-47.739837481715114</v>
      </c>
      <c r="Q27" s="32">
        <v>24.678452181258116</v>
      </c>
      <c r="R27" s="31">
        <v>-42.755961121884845</v>
      </c>
      <c r="S27" s="32">
        <v>34.867391993735545</v>
      </c>
      <c r="T27" s="31">
        <v>-34.88381775106923</v>
      </c>
      <c r="U27" s="32">
        <v>42.687503120578242</v>
      </c>
      <c r="V27" s="31">
        <v>-24.674749293204226</v>
      </c>
      <c r="W27" s="32"/>
      <c r="X27" s="31"/>
      <c r="Z27" s="46"/>
    </row>
    <row r="28" spans="1:26">
      <c r="A28" s="45">
        <v>0</v>
      </c>
      <c r="B28" s="31">
        <v>0</v>
      </c>
      <c r="C28" s="32">
        <v>-33.435803338154415</v>
      </c>
      <c r="D28" s="31">
        <v>-9.0801584626153673</v>
      </c>
      <c r="E28" s="32">
        <v>-29.764348613057461</v>
      </c>
      <c r="F28" s="31">
        <v>-17.21671276703913</v>
      </c>
      <c r="G28" s="32">
        <v>-24.260578274001439</v>
      </c>
      <c r="H28" s="31">
        <v>-24.279881925498128</v>
      </c>
      <c r="I28" s="32">
        <v>-17.135472174891394</v>
      </c>
      <c r="J28" s="31">
        <v>-29.694190667835176</v>
      </c>
      <c r="K28" s="32">
        <v>-8.8616750426732178</v>
      </c>
      <c r="L28" s="31">
        <v>-33.084959220721004</v>
      </c>
      <c r="M28" s="32">
        <v>4.1909056188477354E-15</v>
      </c>
      <c r="N28" s="31">
        <v>-34.222471619280888</v>
      </c>
      <c r="O28" s="32">
        <v>8.8475901727635886</v>
      </c>
      <c r="P28" s="31">
        <v>-33.032395757474418</v>
      </c>
      <c r="Q28" s="32">
        <v>17.081043517733555</v>
      </c>
      <c r="R28" s="31">
        <v>-29.599921105587303</v>
      </c>
      <c r="S28" s="32">
        <v>24.145077525371995</v>
      </c>
      <c r="T28" s="31">
        <v>-24.164386153119594</v>
      </c>
      <c r="U28" s="32">
        <v>29.575605498363057</v>
      </c>
      <c r="V28" s="31">
        <v>-17.107770356641417</v>
      </c>
      <c r="W28" s="32"/>
      <c r="X28" s="31"/>
      <c r="Z28" s="46"/>
    </row>
    <row r="29" spans="1:26">
      <c r="A29" s="45">
        <v>0</v>
      </c>
      <c r="B29" s="31">
        <v>0</v>
      </c>
      <c r="C29" s="32">
        <v>-26.737560560332913</v>
      </c>
      <c r="D29" s="31">
        <v>-7.3567098927865784</v>
      </c>
      <c r="E29" s="32">
        <v>-23.69680587107225</v>
      </c>
      <c r="F29" s="31">
        <v>-13.718350854692996</v>
      </c>
      <c r="G29" s="32">
        <v>-19.31864073461519</v>
      </c>
      <c r="H29" s="31">
        <v>-19.340919026016337</v>
      </c>
      <c r="I29" s="32">
        <v>-13.648961549994702</v>
      </c>
      <c r="J29" s="31">
        <v>-23.658088848067738</v>
      </c>
      <c r="K29" s="32">
        <v>-7.0607880241182492</v>
      </c>
      <c r="L29" s="31">
        <v>-26.366593113977611</v>
      </c>
      <c r="M29" s="32">
        <v>-3.3408876924828184E-15</v>
      </c>
      <c r="N29" s="31">
        <v>-27.281319275005139</v>
      </c>
      <c r="O29" s="32">
        <v>7.0539912876180901</v>
      </c>
      <c r="P29" s="31">
        <v>-26.341229626078931</v>
      </c>
      <c r="Q29" s="32">
        <v>13.622697964869683</v>
      </c>
      <c r="R29" s="31">
        <v>-23.612603918485995</v>
      </c>
      <c r="S29" s="32">
        <v>19.262914205637358</v>
      </c>
      <c r="T29" s="31">
        <v>-19.28520377352476</v>
      </c>
      <c r="U29" s="32">
        <v>23.605785127607376</v>
      </c>
      <c r="V29" s="31">
        <v>-13.665858636372404</v>
      </c>
      <c r="W29" s="32"/>
      <c r="X29" s="31"/>
      <c r="Z29" s="46"/>
    </row>
    <row r="30" spans="1:26">
      <c r="A30" s="45">
        <v>0</v>
      </c>
      <c r="B30" s="31">
        <v>0</v>
      </c>
      <c r="C30" s="32">
        <v>0</v>
      </c>
      <c r="D30" s="31">
        <v>0</v>
      </c>
      <c r="E30" s="32">
        <v>-20.022099008411843</v>
      </c>
      <c r="F30" s="31">
        <v>-11.602993575329736</v>
      </c>
      <c r="G30" s="32">
        <v>-16.326921506043465</v>
      </c>
      <c r="H30" s="31">
        <v>-16.352411309379509</v>
      </c>
      <c r="I30" s="32">
        <v>-11.540239343524288</v>
      </c>
      <c r="J30" s="31">
        <v>-20.008391684393942</v>
      </c>
      <c r="K30" s="32">
        <v>-5.9726543879452878</v>
      </c>
      <c r="L30" s="31">
        <v>-22.308184165161592</v>
      </c>
      <c r="M30" s="32">
        <v>-2.8279379420384473E-15</v>
      </c>
      <c r="N30" s="31">
        <v>-23.092628363486547</v>
      </c>
      <c r="O30" s="32">
        <v>5.9725514914219984</v>
      </c>
      <c r="P30" s="31">
        <v>-22.307800693043887</v>
      </c>
      <c r="Q30" s="32">
        <v>11.539841847184256</v>
      </c>
      <c r="R30" s="31">
        <v>-20.007704201218896</v>
      </c>
      <c r="S30" s="32">
        <v>16.326078312447141</v>
      </c>
      <c r="T30" s="31">
        <v>-16.351569813820749</v>
      </c>
      <c r="U30" s="32">
        <v>20.020723017267944</v>
      </c>
      <c r="V30" s="31">
        <v>-11.602203187023298</v>
      </c>
      <c r="W30" s="32"/>
      <c r="X30" s="31"/>
      <c r="Z30" s="46"/>
    </row>
    <row r="31" spans="1:26" ht="15.75" thickBot="1">
      <c r="A31" s="47"/>
      <c r="B31" s="49"/>
      <c r="C31" s="51"/>
      <c r="D31" s="49"/>
      <c r="E31" s="51"/>
      <c r="F31" s="49"/>
      <c r="G31" s="51"/>
      <c r="H31" s="49"/>
      <c r="I31" s="51"/>
      <c r="J31" s="49"/>
      <c r="K31" s="51"/>
      <c r="L31" s="49"/>
      <c r="M31" s="51"/>
      <c r="N31" s="49"/>
      <c r="O31" s="51"/>
      <c r="P31" s="49"/>
      <c r="Q31" s="51"/>
      <c r="R31" s="49"/>
      <c r="S31" s="51"/>
      <c r="T31" s="49"/>
      <c r="U31" s="51"/>
      <c r="V31" s="49"/>
      <c r="W31" s="51"/>
      <c r="X31" s="49"/>
      <c r="Y31" s="4"/>
      <c r="Z31" s="2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85AE9-56B3-4253-97E2-D2907F5B0774}">
  <sheetPr codeName="Sheet4"/>
  <dimension ref="A1:V30"/>
  <sheetViews>
    <sheetView workbookViewId="0">
      <selection activeCell="A5" sqref="A5"/>
    </sheetView>
  </sheetViews>
  <sheetFormatPr defaultRowHeight="15"/>
  <cols>
    <col min="2" max="2" width="9.85546875" customWidth="1"/>
    <col min="6" max="6" width="10.28515625" customWidth="1"/>
    <col min="10" max="10" width="9.5703125" customWidth="1"/>
    <col min="12" max="12" width="9.85546875" customWidth="1"/>
    <col min="14" max="14" width="10" customWidth="1"/>
    <col min="16" max="16" width="11.28515625" customWidth="1"/>
    <col min="18" max="18" width="10.85546875" customWidth="1"/>
    <col min="20" max="20" width="10.85546875" customWidth="1"/>
    <col min="22" max="22" width="11" customWidth="1"/>
  </cols>
  <sheetData>
    <row r="1" spans="1:22" ht="25.5">
      <c r="A1" s="135" t="s">
        <v>393</v>
      </c>
      <c r="B1" s="135" t="s">
        <v>394</v>
      </c>
      <c r="C1" s="135" t="s">
        <v>389</v>
      </c>
      <c r="D1" s="135" t="s">
        <v>395</v>
      </c>
      <c r="E1" s="135" t="s">
        <v>396</v>
      </c>
      <c r="G1" s="6" t="s">
        <v>503</v>
      </c>
      <c r="K1" s="174" t="s">
        <v>407</v>
      </c>
      <c r="L1" s="174" t="s">
        <v>408</v>
      </c>
      <c r="M1" s="174" t="s">
        <v>405</v>
      </c>
      <c r="N1" s="174" t="s">
        <v>478</v>
      </c>
      <c r="O1" s="171" t="s">
        <v>479</v>
      </c>
      <c r="P1" s="174" t="s">
        <v>481</v>
      </c>
      <c r="Q1" s="174" t="s">
        <v>482</v>
      </c>
    </row>
    <row r="2" spans="1:22">
      <c r="A2" t="str">
        <f>Enter!B2</f>
        <v>Tehran</v>
      </c>
      <c r="B2">
        <v>51.3797</v>
      </c>
      <c r="C2">
        <v>35.7029</v>
      </c>
      <c r="D2">
        <v>1210</v>
      </c>
      <c r="E2">
        <v>3.5</v>
      </c>
      <c r="K2">
        <v>90</v>
      </c>
      <c r="L2">
        <v>0</v>
      </c>
      <c r="M2">
        <v>10</v>
      </c>
      <c r="N2">
        <v>12.314452143536792</v>
      </c>
      <c r="O2">
        <v>-54.297100000000107</v>
      </c>
      <c r="P2">
        <v>0</v>
      </c>
      <c r="Q2">
        <v>-7.1864964757145673</v>
      </c>
    </row>
    <row r="5" spans="1:22" s="6" customFormat="1">
      <c r="B5" s="176">
        <v>44733</v>
      </c>
      <c r="D5" s="176">
        <v>44655</v>
      </c>
      <c r="F5" s="176">
        <v>44671</v>
      </c>
      <c r="H5" s="176">
        <v>44686</v>
      </c>
      <c r="J5" s="176">
        <v>44702</v>
      </c>
      <c r="L5" s="176">
        <v>44827</v>
      </c>
      <c r="N5" s="176">
        <v>44841</v>
      </c>
      <c r="P5" s="176">
        <v>44857</v>
      </c>
      <c r="R5" s="176">
        <v>44872</v>
      </c>
      <c r="T5" s="176">
        <v>44887</v>
      </c>
      <c r="V5" s="176">
        <v>44916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  <c r="K6">
        <v>-110606.75255117597</v>
      </c>
      <c r="L6">
        <v>-761.2640427492978</v>
      </c>
    </row>
    <row r="7" spans="1:22">
      <c r="A7">
        <v>99999</v>
      </c>
      <c r="B7">
        <v>99999</v>
      </c>
      <c r="C7">
        <v>-137.16199690409394</v>
      </c>
      <c r="D7">
        <v>-38.152948603678382</v>
      </c>
      <c r="E7">
        <v>99999</v>
      </c>
      <c r="F7">
        <v>99999</v>
      </c>
      <c r="G7">
        <v>99999</v>
      </c>
      <c r="H7">
        <v>99999</v>
      </c>
      <c r="I7">
        <v>99999</v>
      </c>
      <c r="J7">
        <v>99999</v>
      </c>
      <c r="K7">
        <v>-63.8024730173221</v>
      </c>
      <c r="L7">
        <v>-13.914383289423307</v>
      </c>
      <c r="M7">
        <v>-42.264983038260695</v>
      </c>
      <c r="N7">
        <v>-6.8115873676652541</v>
      </c>
      <c r="O7">
        <v>-30.743396505568146</v>
      </c>
      <c r="P7">
        <v>-3.0290202405364481</v>
      </c>
      <c r="Q7">
        <v>-24.915722920580411</v>
      </c>
      <c r="R7">
        <v>-1.1459062717848081</v>
      </c>
      <c r="S7">
        <v>-21.538603325703864</v>
      </c>
      <c r="T7">
        <v>-0.11134595685882656</v>
      </c>
    </row>
    <row r="8" spans="1:22">
      <c r="A8">
        <v>99999</v>
      </c>
      <c r="B8">
        <v>99999</v>
      </c>
      <c r="C8">
        <v>-41.050669941714794</v>
      </c>
      <c r="D8">
        <v>-22.009736571921554</v>
      </c>
      <c r="E8">
        <v>-68.482879174007181</v>
      </c>
      <c r="F8">
        <v>-41.522933809770201</v>
      </c>
      <c r="G8">
        <v>-156.84213990689676</v>
      </c>
      <c r="H8">
        <v>-104.38850388345514</v>
      </c>
      <c r="I8">
        <v>99999</v>
      </c>
      <c r="J8">
        <v>99999</v>
      </c>
      <c r="K8">
        <v>-29.618571362629179</v>
      </c>
      <c r="L8">
        <v>-13.879285018712253</v>
      </c>
      <c r="M8">
        <v>-23.435823335666132</v>
      </c>
      <c r="N8">
        <v>-9.4864221619171918</v>
      </c>
      <c r="O8">
        <v>-19.026895460167239</v>
      </c>
      <c r="P8">
        <v>-6.3569908946751355</v>
      </c>
      <c r="Q8">
        <v>-16.382924778862986</v>
      </c>
      <c r="R8">
        <v>-4.4832221323912558</v>
      </c>
      <c r="S8">
        <v>-14.694484436803426</v>
      </c>
      <c r="T8">
        <v>-3.2891671275969587</v>
      </c>
      <c r="U8">
        <v>-13.445011945418456</v>
      </c>
      <c r="V8">
        <v>-2.4083213849256606</v>
      </c>
    </row>
    <row r="9" spans="1:22">
      <c r="A9">
        <v>-116.55093908173113</v>
      </c>
      <c r="B9">
        <v>-136.42730902238767</v>
      </c>
      <c r="C9">
        <v>-21.323067037078875</v>
      </c>
      <c r="D9">
        <v>-19.074511411032418</v>
      </c>
      <c r="E9">
        <v>-28.613391084477939</v>
      </c>
      <c r="F9">
        <v>-28.055220486640781</v>
      </c>
      <c r="G9">
        <v>-40.198611219321648</v>
      </c>
      <c r="H9">
        <v>-42.330262408011052</v>
      </c>
      <c r="I9">
        <v>-61.941211839436662</v>
      </c>
      <c r="J9">
        <v>-69.124859174001642</v>
      </c>
      <c r="K9">
        <v>-17.100511219038399</v>
      </c>
      <c r="L9">
        <v>-13.873617248097601</v>
      </c>
      <c r="M9">
        <v>-14.412185049546769</v>
      </c>
      <c r="N9">
        <v>-10.565071344359227</v>
      </c>
      <c r="O9">
        <v>-12.271031627152672</v>
      </c>
      <c r="P9">
        <v>-7.9316756872753089</v>
      </c>
      <c r="Q9">
        <v>-10.884137280268499</v>
      </c>
      <c r="R9">
        <v>-6.2273869605516055</v>
      </c>
      <c r="S9">
        <v>-9.9541841155328203</v>
      </c>
      <c r="T9">
        <v>-5.0856719012565428</v>
      </c>
      <c r="U9">
        <v>-9.2433011193386925</v>
      </c>
      <c r="V9">
        <v>-4.2138931460279938</v>
      </c>
    </row>
    <row r="10" spans="1:22">
      <c r="A10">
        <v>-32.594801834247676</v>
      </c>
      <c r="B10">
        <v>-62.366452530175756</v>
      </c>
      <c r="C10">
        <v>-11.788560620817607</v>
      </c>
      <c r="D10">
        <v>-17.958568983150229</v>
      </c>
      <c r="E10">
        <v>-14.720426157429443</v>
      </c>
      <c r="F10">
        <v>-24.213921672228548</v>
      </c>
      <c r="G10">
        <v>-18.624296314346299</v>
      </c>
      <c r="H10">
        <v>-32.545271843436844</v>
      </c>
      <c r="I10">
        <v>-24.182561139608545</v>
      </c>
      <c r="J10">
        <v>-44.409275088264685</v>
      </c>
      <c r="K10">
        <v>-9.8720324399531663</v>
      </c>
      <c r="L10">
        <v>-13.870026263017092</v>
      </c>
      <c r="M10">
        <v>-8.5674113015295124</v>
      </c>
      <c r="N10">
        <v>-11.088890498835688</v>
      </c>
      <c r="O10">
        <v>-7.4716080728092589</v>
      </c>
      <c r="P10">
        <v>-8.7542010402827124</v>
      </c>
      <c r="Q10">
        <v>-6.7331154954451558</v>
      </c>
      <c r="R10">
        <v>-7.1818428618639887</v>
      </c>
      <c r="S10">
        <v>-6.2247332839592682</v>
      </c>
      <c r="T10">
        <v>-6.1001656449638872</v>
      </c>
      <c r="U10">
        <v>-5.8292623717532548</v>
      </c>
      <c r="V10">
        <v>-5.25939652136302</v>
      </c>
    </row>
    <row r="11" spans="1:22">
      <c r="A11">
        <v>-12.226238740975186</v>
      </c>
      <c r="B11">
        <v>-49.023743747705602</v>
      </c>
      <c r="C11">
        <v>-5.3672617389486206</v>
      </c>
      <c r="D11">
        <v>-17.48078169857617</v>
      </c>
      <c r="E11">
        <v>-6.5069439795235517</v>
      </c>
      <c r="F11">
        <v>-22.720073083350723</v>
      </c>
      <c r="G11">
        <v>-7.9249837557314304</v>
      </c>
      <c r="H11">
        <v>-29.240703236185478</v>
      </c>
      <c r="I11">
        <v>-9.7695944413809865</v>
      </c>
      <c r="J11">
        <v>-37.724318524359575</v>
      </c>
      <c r="K11">
        <v>-4.5807356414540044</v>
      </c>
      <c r="L11">
        <v>-13.865433276055441</v>
      </c>
      <c r="M11">
        <v>-4.0305825670994357</v>
      </c>
      <c r="N11">
        <v>-11.338345027003406</v>
      </c>
      <c r="O11">
        <v>-3.5565917897929649</v>
      </c>
      <c r="P11">
        <v>-9.1622177982005653</v>
      </c>
      <c r="Q11">
        <v>-3.2308466446333437</v>
      </c>
      <c r="R11">
        <v>-7.6675994042878459</v>
      </c>
      <c r="S11">
        <v>-3.003617052352459</v>
      </c>
      <c r="T11">
        <v>-6.6256285336597154</v>
      </c>
      <c r="U11">
        <v>-2.8253926005200167</v>
      </c>
      <c r="V11">
        <v>-5.8089359468959554</v>
      </c>
    </row>
    <row r="12" spans="1:22">
      <c r="A12">
        <v>-5.6343075897276082E-15</v>
      </c>
      <c r="B12">
        <v>-46.009132421542496</v>
      </c>
      <c r="C12">
        <v>2.1247473152994636E-15</v>
      </c>
      <c r="D12">
        <v>-17.350451503599231</v>
      </c>
      <c r="E12">
        <v>2.732764069099781E-15</v>
      </c>
      <c r="F12">
        <v>-22.315449046707741</v>
      </c>
      <c r="G12">
        <v>3.475378623669319E-15</v>
      </c>
      <c r="H12">
        <v>-28.379557339561252</v>
      </c>
      <c r="I12">
        <v>4.4186681598848807E-15</v>
      </c>
      <c r="J12">
        <v>-36.082355330697439</v>
      </c>
      <c r="K12">
        <v>-1.6971401323021322E-15</v>
      </c>
      <c r="L12">
        <v>-13.858658555909253</v>
      </c>
      <c r="M12">
        <v>1.3971726115006593E-15</v>
      </c>
      <c r="N12">
        <v>-11.409156968193486</v>
      </c>
      <c r="O12">
        <v>1.1368868697366058E-15</v>
      </c>
      <c r="P12">
        <v>-9.2836923978715973</v>
      </c>
      <c r="Q12">
        <v>9.5705782403037617E-16</v>
      </c>
      <c r="R12">
        <v>-7.815228306166313</v>
      </c>
      <c r="S12">
        <v>-8.3119936249075592E-16</v>
      </c>
      <c r="T12">
        <v>-6.7874820336863699</v>
      </c>
      <c r="U12">
        <v>-7.3240749039420441E-16</v>
      </c>
      <c r="V12">
        <v>-5.9807585360645312</v>
      </c>
    </row>
    <row r="13" spans="1:22">
      <c r="A13">
        <v>12.226256931159805</v>
      </c>
      <c r="B13">
        <v>-49.023826600164476</v>
      </c>
      <c r="C13">
        <v>5.3723280244866434</v>
      </c>
      <c r="D13">
        <v>-17.504065766213206</v>
      </c>
      <c r="E13">
        <v>6.5138420821548388</v>
      </c>
      <c r="F13">
        <v>-22.751782413876374</v>
      </c>
      <c r="G13">
        <v>7.9338484498399851</v>
      </c>
      <c r="H13">
        <v>-29.281459426652887</v>
      </c>
      <c r="I13">
        <v>9.7795998588037829</v>
      </c>
      <c r="J13">
        <v>-37.77032521722866</v>
      </c>
      <c r="K13">
        <v>4.5770118630974777</v>
      </c>
      <c r="L13">
        <v>-13.848323576611881</v>
      </c>
      <c r="M13">
        <v>4.0277227162841962</v>
      </c>
      <c r="N13">
        <v>-11.325207692715049</v>
      </c>
      <c r="O13">
        <v>3.5544877744814576</v>
      </c>
      <c r="P13">
        <v>-9.1525553052529887</v>
      </c>
      <c r="Q13">
        <v>3.2293230791857535</v>
      </c>
      <c r="R13">
        <v>-7.6606046736541202</v>
      </c>
      <c r="S13">
        <v>3.002616372909126</v>
      </c>
      <c r="T13">
        <v>-6.6210358631061235</v>
      </c>
      <c r="U13">
        <v>2.8253738353006237</v>
      </c>
      <c r="V13">
        <v>-5.8088501322871711</v>
      </c>
    </row>
    <row r="14" spans="1:22">
      <c r="A14">
        <v>32.59493611951855</v>
      </c>
      <c r="B14">
        <v>-62.366736610000515</v>
      </c>
      <c r="C14">
        <v>11.813893531349894</v>
      </c>
      <c r="D14">
        <v>-18.012603822465639</v>
      </c>
      <c r="E14">
        <v>14.757026434122565</v>
      </c>
      <c r="F14">
        <v>-24.292006404662196</v>
      </c>
      <c r="G14">
        <v>18.675061636438219</v>
      </c>
      <c r="H14">
        <v>-32.653595161665692</v>
      </c>
      <c r="I14">
        <v>24.2461260611062</v>
      </c>
      <c r="J14">
        <v>-44.544928375716928</v>
      </c>
      <c r="K14">
        <v>9.8541447115217586</v>
      </c>
      <c r="L14">
        <v>-13.831882570178125</v>
      </c>
      <c r="M14">
        <v>8.5540451732782348</v>
      </c>
      <c r="N14">
        <v>-11.060395766870521</v>
      </c>
      <c r="O14">
        <v>7.4620013398356839</v>
      </c>
      <c r="P14">
        <v>-8.7337275226425266</v>
      </c>
      <c r="Q14">
        <v>6.7262687208986183</v>
      </c>
      <c r="R14">
        <v>-7.16725635525607</v>
      </c>
      <c r="S14">
        <v>6.220285643071481</v>
      </c>
      <c r="T14">
        <v>-6.0906937720006651</v>
      </c>
      <c r="U14">
        <v>5.8291797192308374</v>
      </c>
      <c r="V14">
        <v>-5.2592211056676605</v>
      </c>
    </row>
    <row r="15" spans="1:22">
      <c r="A15">
        <v>116.55276762387628</v>
      </c>
      <c r="B15">
        <v>-136.42955202949318</v>
      </c>
      <c r="C15">
        <v>21.411152350887573</v>
      </c>
      <c r="D15">
        <v>-19.182990102717437</v>
      </c>
      <c r="E15">
        <v>28.760453310379194</v>
      </c>
      <c r="F15">
        <v>-28.236372507663461</v>
      </c>
      <c r="G15">
        <v>40.45033013413925</v>
      </c>
      <c r="H15">
        <v>-42.640385922050825</v>
      </c>
      <c r="I15">
        <v>62.385514887523925</v>
      </c>
      <c r="J15">
        <v>-69.67232738477459</v>
      </c>
      <c r="K15">
        <v>17.0436661719081</v>
      </c>
      <c r="L15">
        <v>-13.803634311789517</v>
      </c>
      <c r="M15">
        <v>14.37211429932182</v>
      </c>
      <c r="N15">
        <v>-10.515754522605659</v>
      </c>
      <c r="O15">
        <v>12.243572694246961</v>
      </c>
      <c r="P15">
        <v>-7.8978953188553458</v>
      </c>
      <c r="Q15">
        <v>10.865174356529016</v>
      </c>
      <c r="R15">
        <v>-6.2040702626600934</v>
      </c>
      <c r="S15">
        <v>9.9421268210636349</v>
      </c>
      <c r="T15">
        <v>-5.0708548932834461</v>
      </c>
      <c r="U15">
        <v>9.2430807314127179</v>
      </c>
      <c r="V15">
        <v>-4.2136234282981899</v>
      </c>
    </row>
    <row r="16" spans="1:22">
      <c r="A16">
        <v>99999</v>
      </c>
      <c r="B16">
        <v>99999</v>
      </c>
      <c r="C16">
        <v>41.407711072889242</v>
      </c>
      <c r="D16">
        <v>-22.263633712785545</v>
      </c>
      <c r="E16">
        <v>69.407600061206693</v>
      </c>
      <c r="F16">
        <v>-42.180691492018624</v>
      </c>
      <c r="G16">
        <v>161.10014643773238</v>
      </c>
      <c r="H16">
        <v>-107.4178023918552</v>
      </c>
      <c r="I16">
        <v>99999</v>
      </c>
      <c r="J16">
        <v>99999</v>
      </c>
      <c r="K16">
        <v>29.433456549685978</v>
      </c>
      <c r="L16">
        <v>-13.747705358463293</v>
      </c>
      <c r="M16">
        <v>23.320712542583468</v>
      </c>
      <c r="N16">
        <v>-9.4046404167690234</v>
      </c>
      <c r="O16">
        <v>18.955132660747541</v>
      </c>
      <c r="P16">
        <v>-6.306049902089903</v>
      </c>
      <c r="Q16">
        <v>16.336203576324262</v>
      </c>
      <c r="R16">
        <v>-4.4501006682336239</v>
      </c>
      <c r="S16">
        <v>14.665901418181205</v>
      </c>
      <c r="T16">
        <v>-3.2689439320748801</v>
      </c>
      <c r="U16">
        <v>13.444504382640307</v>
      </c>
      <c r="V16">
        <v>-2.4079649689732152</v>
      </c>
    </row>
    <row r="17" spans="1:22">
      <c r="A17">
        <v>99999</v>
      </c>
      <c r="B17">
        <v>99999</v>
      </c>
      <c r="C17">
        <v>141.73866618413635</v>
      </c>
      <c r="D17">
        <v>-39.665159387729865</v>
      </c>
      <c r="E17">
        <v>99999</v>
      </c>
      <c r="F17">
        <v>99999</v>
      </c>
      <c r="G17">
        <v>99999</v>
      </c>
      <c r="H17">
        <v>99999</v>
      </c>
      <c r="I17">
        <v>99999</v>
      </c>
      <c r="J17">
        <v>99999</v>
      </c>
      <c r="K17">
        <v>62.848152626863289</v>
      </c>
      <c r="L17">
        <v>-13.599362692628286</v>
      </c>
      <c r="M17">
        <v>41.847465236913024</v>
      </c>
      <c r="N17">
        <v>-6.6740479208401275</v>
      </c>
      <c r="O17">
        <v>30.534051354357707</v>
      </c>
      <c r="P17">
        <v>-2.9606047853864581</v>
      </c>
      <c r="Q17">
        <v>24.794855174307671</v>
      </c>
      <c r="R17">
        <v>-1.1075352341596363</v>
      </c>
      <c r="S17">
        <v>21.46986906106018</v>
      </c>
      <c r="T17">
        <v>-9.1336124503371155E-2</v>
      </c>
    </row>
    <row r="18" spans="1:22">
      <c r="A18">
        <v>99999</v>
      </c>
      <c r="B18">
        <v>99999</v>
      </c>
      <c r="C18">
        <v>99999</v>
      </c>
      <c r="D18">
        <v>99999</v>
      </c>
      <c r="E18">
        <v>99999</v>
      </c>
      <c r="F18">
        <v>99999</v>
      </c>
      <c r="G18">
        <v>99999</v>
      </c>
      <c r="H18">
        <v>99999</v>
      </c>
      <c r="I18">
        <v>99999</v>
      </c>
      <c r="J18">
        <v>99999</v>
      </c>
      <c r="K18">
        <v>3509.6421997021444</v>
      </c>
      <c r="L18">
        <v>-18.111864339653678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99999</v>
      </c>
      <c r="D20">
        <v>99999</v>
      </c>
      <c r="E20">
        <v>99999</v>
      </c>
      <c r="F20">
        <v>99999</v>
      </c>
      <c r="G20">
        <v>-116.55093908173113</v>
      </c>
      <c r="H20">
        <v>-136.42730902238767</v>
      </c>
      <c r="I20">
        <v>-32.594801834247676</v>
      </c>
      <c r="J20">
        <v>-62.366452530175756</v>
      </c>
      <c r="K20">
        <v>-12.226238740975186</v>
      </c>
      <c r="L20">
        <v>-49.023743747705602</v>
      </c>
      <c r="M20">
        <v>-5.6343075897276082E-15</v>
      </c>
      <c r="N20">
        <v>-46.009132421542496</v>
      </c>
      <c r="O20">
        <v>12.226256931159805</v>
      </c>
      <c r="P20">
        <v>-49.023826600164476</v>
      </c>
      <c r="Q20">
        <v>32.59493611951855</v>
      </c>
      <c r="R20">
        <v>-62.366736610000515</v>
      </c>
      <c r="S20">
        <v>116.55276762387628</v>
      </c>
      <c r="T20">
        <v>-136.42955202949318</v>
      </c>
      <c r="U20">
        <v>99999</v>
      </c>
      <c r="V20">
        <v>99999</v>
      </c>
    </row>
    <row r="21" spans="1:22">
      <c r="A21">
        <v>99999</v>
      </c>
      <c r="B21">
        <v>99999</v>
      </c>
      <c r="C21">
        <v>-137.16199690409394</v>
      </c>
      <c r="D21">
        <v>-38.152948603678382</v>
      </c>
      <c r="E21">
        <v>-41.050669941714794</v>
      </c>
      <c r="F21">
        <v>-22.009736571921554</v>
      </c>
      <c r="G21">
        <v>-21.323067037078875</v>
      </c>
      <c r="H21">
        <v>-19.074511411032418</v>
      </c>
      <c r="I21">
        <v>-11.788560620817607</v>
      </c>
      <c r="J21">
        <v>-17.958568983150229</v>
      </c>
      <c r="K21">
        <v>-5.3672617389486206</v>
      </c>
      <c r="L21">
        <v>-17.48078169857617</v>
      </c>
      <c r="M21">
        <v>2.1247473152994636E-15</v>
      </c>
      <c r="N21">
        <v>-17.350451503599231</v>
      </c>
      <c r="O21">
        <v>5.3723280244866434</v>
      </c>
      <c r="P21">
        <v>-17.504065766213206</v>
      </c>
      <c r="Q21">
        <v>11.813893531349894</v>
      </c>
      <c r="R21">
        <v>-18.012603822465639</v>
      </c>
      <c r="S21">
        <v>21.411152350887573</v>
      </c>
      <c r="T21">
        <v>-19.182990102717437</v>
      </c>
      <c r="U21">
        <v>41.407711072889242</v>
      </c>
      <c r="V21">
        <v>-22.263633712785545</v>
      </c>
    </row>
    <row r="22" spans="1:22">
      <c r="A22">
        <v>99999</v>
      </c>
      <c r="B22">
        <v>99999</v>
      </c>
      <c r="C22">
        <v>99999</v>
      </c>
      <c r="D22">
        <v>99999</v>
      </c>
      <c r="E22">
        <v>-68.482879174007181</v>
      </c>
      <c r="F22">
        <v>-41.522933809770201</v>
      </c>
      <c r="G22">
        <v>-28.613391084477939</v>
      </c>
      <c r="H22">
        <v>-28.055220486640781</v>
      </c>
      <c r="I22">
        <v>-14.720426157429443</v>
      </c>
      <c r="J22">
        <v>-24.213921672228548</v>
      </c>
      <c r="K22">
        <v>-6.5069439795235517</v>
      </c>
      <c r="L22">
        <v>-22.720073083350723</v>
      </c>
      <c r="M22">
        <v>2.732764069099781E-15</v>
      </c>
      <c r="N22">
        <v>-22.315449046707741</v>
      </c>
      <c r="O22">
        <v>6.5138420821548388</v>
      </c>
      <c r="P22">
        <v>-22.751782413876374</v>
      </c>
      <c r="Q22">
        <v>14.757026434122565</v>
      </c>
      <c r="R22">
        <v>-24.292006404662196</v>
      </c>
      <c r="S22">
        <v>28.760453310379194</v>
      </c>
      <c r="T22">
        <v>-28.236372507663461</v>
      </c>
      <c r="U22">
        <v>69.407600061206693</v>
      </c>
      <c r="V22">
        <v>-42.180691492018624</v>
      </c>
    </row>
    <row r="23" spans="1:22">
      <c r="A23">
        <v>99999</v>
      </c>
      <c r="B23">
        <v>99999</v>
      </c>
      <c r="C23">
        <v>99999</v>
      </c>
      <c r="D23">
        <v>99999</v>
      </c>
      <c r="E23">
        <v>-156.84213990689676</v>
      </c>
      <c r="F23">
        <v>-104.38850388345514</v>
      </c>
      <c r="G23">
        <v>-40.198611219321648</v>
      </c>
      <c r="H23">
        <v>-42.330262408011052</v>
      </c>
      <c r="I23">
        <v>-18.624296314346299</v>
      </c>
      <c r="J23">
        <v>-32.545271843436844</v>
      </c>
      <c r="K23">
        <v>-7.9249837557314304</v>
      </c>
      <c r="L23">
        <v>-29.240703236185478</v>
      </c>
      <c r="M23">
        <v>3.475378623669319E-15</v>
      </c>
      <c r="N23">
        <v>-28.379557339561252</v>
      </c>
      <c r="O23">
        <v>7.9338484498399851</v>
      </c>
      <c r="P23">
        <v>-29.281459426652887</v>
      </c>
      <c r="Q23">
        <v>18.675061636438219</v>
      </c>
      <c r="R23">
        <v>-32.653595161665692</v>
      </c>
      <c r="S23">
        <v>40.45033013413925</v>
      </c>
      <c r="T23">
        <v>-42.640385922050825</v>
      </c>
      <c r="U23">
        <v>161.10014643773238</v>
      </c>
      <c r="V23">
        <v>-107.4178023918552</v>
      </c>
    </row>
    <row r="24" spans="1:22">
      <c r="A24">
        <v>99999</v>
      </c>
      <c r="B24">
        <v>99999</v>
      </c>
      <c r="C24">
        <v>99999</v>
      </c>
      <c r="D24">
        <v>99999</v>
      </c>
      <c r="E24">
        <v>99999</v>
      </c>
      <c r="F24">
        <v>99999</v>
      </c>
      <c r="G24">
        <v>-61.941211839436662</v>
      </c>
      <c r="H24">
        <v>-69.124859174001642</v>
      </c>
      <c r="I24">
        <v>-24.182561139608545</v>
      </c>
      <c r="J24">
        <v>-44.409275088264685</v>
      </c>
      <c r="K24">
        <v>-9.7695944413809865</v>
      </c>
      <c r="L24">
        <v>-37.724318524359575</v>
      </c>
      <c r="M24">
        <v>4.4186681598848807E-15</v>
      </c>
      <c r="N24">
        <v>-36.082355330697439</v>
      </c>
      <c r="O24">
        <v>9.7795998588037829</v>
      </c>
      <c r="P24">
        <v>-37.77032521722866</v>
      </c>
      <c r="Q24">
        <v>24.2461260611062</v>
      </c>
      <c r="R24">
        <v>-44.544928375716928</v>
      </c>
      <c r="S24">
        <v>62.385514887523925</v>
      </c>
      <c r="T24">
        <v>-69.67232738477459</v>
      </c>
      <c r="U24">
        <v>99999</v>
      </c>
      <c r="V24">
        <v>99999</v>
      </c>
    </row>
    <row r="25" spans="1:22">
      <c r="A25">
        <v>-110606.75255117597</v>
      </c>
      <c r="B25">
        <v>-761.2640427492978</v>
      </c>
      <c r="C25">
        <v>-63.8024730173221</v>
      </c>
      <c r="D25">
        <v>-13.914383289423307</v>
      </c>
      <c r="E25">
        <v>-29.618571362629179</v>
      </c>
      <c r="F25">
        <v>-13.879285018712253</v>
      </c>
      <c r="G25">
        <v>-17.100511219038399</v>
      </c>
      <c r="H25">
        <v>-13.873617248097601</v>
      </c>
      <c r="I25">
        <v>-9.8720324399531663</v>
      </c>
      <c r="J25">
        <v>-13.870026263017092</v>
      </c>
      <c r="K25">
        <v>-4.5807356414540044</v>
      </c>
      <c r="L25">
        <v>-13.865433276055441</v>
      </c>
      <c r="M25">
        <v>-1.6971401323021322E-15</v>
      </c>
      <c r="N25">
        <v>-13.858658555909253</v>
      </c>
      <c r="O25">
        <v>4.5770118630974777</v>
      </c>
      <c r="P25">
        <v>-13.848323576611881</v>
      </c>
      <c r="Q25">
        <v>9.8541447115217586</v>
      </c>
      <c r="R25">
        <v>-13.831882570178125</v>
      </c>
      <c r="S25">
        <v>17.0436661719081</v>
      </c>
      <c r="T25">
        <v>-13.803634311789517</v>
      </c>
      <c r="U25">
        <v>29.433456549685978</v>
      </c>
      <c r="V25">
        <v>-13.747705358463293</v>
      </c>
    </row>
    <row r="26" spans="1:22">
      <c r="A26">
        <v>0</v>
      </c>
      <c r="B26">
        <v>0</v>
      </c>
      <c r="C26">
        <v>-42.264983038260695</v>
      </c>
      <c r="D26">
        <v>-6.8115873676652541</v>
      </c>
      <c r="E26">
        <v>-23.435823335666132</v>
      </c>
      <c r="F26">
        <v>-9.4864221619171918</v>
      </c>
      <c r="G26">
        <v>-14.412185049546769</v>
      </c>
      <c r="H26">
        <v>-10.565071344359227</v>
      </c>
      <c r="I26">
        <v>-8.5674113015295124</v>
      </c>
      <c r="J26">
        <v>-11.088890498835688</v>
      </c>
      <c r="K26">
        <v>-4.0305825670994357</v>
      </c>
      <c r="L26">
        <v>-11.338345027003406</v>
      </c>
      <c r="M26">
        <v>1.3971726115006593E-15</v>
      </c>
      <c r="N26">
        <v>-11.409156968193486</v>
      </c>
      <c r="O26">
        <v>4.0277227162841962</v>
      </c>
      <c r="P26">
        <v>-11.325207692715049</v>
      </c>
      <c r="Q26">
        <v>8.5540451732782348</v>
      </c>
      <c r="R26">
        <v>-11.060395766870521</v>
      </c>
      <c r="S26">
        <v>14.37211429932182</v>
      </c>
      <c r="T26">
        <v>-10.515754522605659</v>
      </c>
      <c r="U26">
        <v>23.320712542583468</v>
      </c>
      <c r="V26">
        <v>-9.4046404167690234</v>
      </c>
    </row>
    <row r="27" spans="1:22">
      <c r="A27">
        <v>0</v>
      </c>
      <c r="B27">
        <v>0</v>
      </c>
      <c r="C27">
        <v>-30.743396505568146</v>
      </c>
      <c r="D27">
        <v>-3.0290202405364481</v>
      </c>
      <c r="E27">
        <v>-19.026895460167239</v>
      </c>
      <c r="F27">
        <v>-6.3569908946751355</v>
      </c>
      <c r="G27">
        <v>-12.271031627152672</v>
      </c>
      <c r="H27">
        <v>-7.9316756872753089</v>
      </c>
      <c r="I27">
        <v>-7.4716080728092589</v>
      </c>
      <c r="J27">
        <v>-8.7542010402827124</v>
      </c>
      <c r="K27">
        <v>-3.5565917897929649</v>
      </c>
      <c r="L27">
        <v>-9.1622177982005653</v>
      </c>
      <c r="M27">
        <v>1.1368868697366058E-15</v>
      </c>
      <c r="N27">
        <v>-9.2836923978715973</v>
      </c>
      <c r="O27">
        <v>3.5544877744814576</v>
      </c>
      <c r="P27">
        <v>-9.1525553052529887</v>
      </c>
      <c r="Q27">
        <v>7.4620013398356839</v>
      </c>
      <c r="R27">
        <v>-8.7337275226425266</v>
      </c>
      <c r="S27">
        <v>12.243572694246961</v>
      </c>
      <c r="T27">
        <v>-7.8978953188553458</v>
      </c>
      <c r="U27">
        <v>18.955132660747541</v>
      </c>
      <c r="V27">
        <v>-6.306049902089903</v>
      </c>
    </row>
    <row r="28" spans="1:22">
      <c r="A28">
        <v>0</v>
      </c>
      <c r="B28">
        <v>0</v>
      </c>
      <c r="C28">
        <v>-24.915722920580411</v>
      </c>
      <c r="D28">
        <v>-1.1459062717848081</v>
      </c>
      <c r="E28">
        <v>-16.382924778862986</v>
      </c>
      <c r="F28">
        <v>-4.4832221323912558</v>
      </c>
      <c r="G28">
        <v>-10.884137280268499</v>
      </c>
      <c r="H28">
        <v>-6.2273869605516055</v>
      </c>
      <c r="I28">
        <v>-6.7331154954451558</v>
      </c>
      <c r="J28">
        <v>-7.1818428618639887</v>
      </c>
      <c r="K28">
        <v>-3.2308466446333437</v>
      </c>
      <c r="L28">
        <v>-7.6675994042878459</v>
      </c>
      <c r="M28">
        <v>9.5705782403037617E-16</v>
      </c>
      <c r="N28">
        <v>-7.815228306166313</v>
      </c>
      <c r="O28">
        <v>3.2293230791857535</v>
      </c>
      <c r="P28">
        <v>-7.6606046736541202</v>
      </c>
      <c r="Q28">
        <v>6.7262687208986183</v>
      </c>
      <c r="R28">
        <v>-7.16725635525607</v>
      </c>
      <c r="S28">
        <v>10.865174356529016</v>
      </c>
      <c r="T28">
        <v>-6.2040702626600934</v>
      </c>
      <c r="U28">
        <v>16.336203576324262</v>
      </c>
      <c r="V28">
        <v>-4.4501006682336239</v>
      </c>
    </row>
    <row r="29" spans="1:22">
      <c r="A29">
        <v>0</v>
      </c>
      <c r="B29">
        <v>0</v>
      </c>
      <c r="C29">
        <v>-21.538603325703864</v>
      </c>
      <c r="D29">
        <v>-0.11134595685882656</v>
      </c>
      <c r="E29">
        <v>-14.694484436803426</v>
      </c>
      <c r="F29">
        <v>-3.2891671275969587</v>
      </c>
      <c r="G29">
        <v>-9.9541841155328203</v>
      </c>
      <c r="H29">
        <v>-5.0856719012565428</v>
      </c>
      <c r="I29">
        <v>-6.2247332839592682</v>
      </c>
      <c r="J29">
        <v>-6.1001656449638872</v>
      </c>
      <c r="K29">
        <v>-3.003617052352459</v>
      </c>
      <c r="L29">
        <v>-6.6256285336597154</v>
      </c>
      <c r="M29">
        <v>-8.3119936249075592E-16</v>
      </c>
      <c r="N29">
        <v>-6.7874820336863699</v>
      </c>
      <c r="O29">
        <v>3.002616372909126</v>
      </c>
      <c r="P29">
        <v>-6.6210358631061235</v>
      </c>
      <c r="Q29">
        <v>6.220285643071481</v>
      </c>
      <c r="R29">
        <v>-6.0906937720006651</v>
      </c>
      <c r="S29">
        <v>9.9421268210636349</v>
      </c>
      <c r="T29">
        <v>-5.0708548932834461</v>
      </c>
      <c r="U29">
        <v>14.665901418181205</v>
      </c>
      <c r="V29">
        <v>-3.2689439320748801</v>
      </c>
    </row>
    <row r="30" spans="1:22">
      <c r="A30">
        <v>0</v>
      </c>
      <c r="B30">
        <v>0</v>
      </c>
      <c r="C30">
        <v>0</v>
      </c>
      <c r="D30">
        <v>0</v>
      </c>
      <c r="E30">
        <v>-13.445011945418456</v>
      </c>
      <c r="F30">
        <v>-2.4083213849256606</v>
      </c>
      <c r="G30">
        <v>-9.2433011193386925</v>
      </c>
      <c r="H30">
        <v>-4.2138931460279938</v>
      </c>
      <c r="I30">
        <v>-5.8292623717532548</v>
      </c>
      <c r="J30">
        <v>-5.25939652136302</v>
      </c>
      <c r="K30">
        <v>-2.8253926005200167</v>
      </c>
      <c r="L30">
        <v>-5.8089359468959554</v>
      </c>
      <c r="M30">
        <v>-7.3240749039420441E-16</v>
      </c>
      <c r="N30">
        <v>-5.9807585360645312</v>
      </c>
      <c r="O30">
        <v>2.8253738353006237</v>
      </c>
      <c r="P30">
        <v>-5.8088501322871711</v>
      </c>
      <c r="Q30">
        <v>5.8291797192308374</v>
      </c>
      <c r="R30">
        <v>-5.2592211056676605</v>
      </c>
      <c r="S30">
        <v>9.2430807314127179</v>
      </c>
      <c r="T30">
        <v>-4.2136234282981899</v>
      </c>
      <c r="U30">
        <v>13.444504382640307</v>
      </c>
      <c r="V30">
        <v>-2.4079649689732152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Enter</vt:lpstr>
      <vt:lpstr>EquSol</vt:lpstr>
      <vt:lpstr>HourLines</vt:lpstr>
      <vt:lpstr>Average</vt:lpstr>
      <vt:lpstr>Equatorial</vt:lpstr>
      <vt:lpstr>Polar</vt:lpstr>
      <vt:lpstr>Horizontal</vt:lpstr>
      <vt:lpstr>Vertical</vt:lpstr>
      <vt:lpstr>General</vt:lpstr>
      <vt:lpstr>Bifilar</vt:lpstr>
      <vt:lpstr>VectorDial</vt:lpstr>
      <vt:lpstr>V_Polar</vt:lpstr>
      <vt:lpstr>V_Vertical</vt:lpstr>
      <vt:lpstr>V_Equatorial</vt:lpstr>
      <vt:lpstr>V_General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 Khiabani</dc:creator>
  <cp:lastModifiedBy>Amin Khiabani</cp:lastModifiedBy>
  <cp:lastPrinted>2022-08-16T04:33:40Z</cp:lastPrinted>
  <dcterms:created xsi:type="dcterms:W3CDTF">2021-09-08T08:25:56Z</dcterms:created>
  <dcterms:modified xsi:type="dcterms:W3CDTF">2022-10-29T05:38:09Z</dcterms:modified>
</cp:coreProperties>
</file>