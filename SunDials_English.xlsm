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Khiabani\Documents\Sundials\MySundials\"/>
    </mc:Choice>
  </mc:AlternateContent>
  <xr:revisionPtr revIDLastSave="0" documentId="13_ncr:1_{DDEBD7CB-944C-4631-854B-F909823BF794}" xr6:coauthVersionLast="47" xr6:coauthVersionMax="47" xr10:uidLastSave="{00000000-0000-0000-0000-000000000000}"/>
  <bookViews>
    <workbookView xWindow="-120" yWindow="330" windowWidth="20730" windowHeight="11310" xr2:uid="{54216032-FD36-4E36-8E0B-D8CA01283E68}"/>
  </bookViews>
  <sheets>
    <sheet name="Enter" sheetId="13" r:id="rId1"/>
    <sheet name="EquSol" sheetId="14" r:id="rId2"/>
    <sheet name="Average" sheetId="27" r:id="rId3"/>
    <sheet name="HourLines" sheetId="21" r:id="rId4"/>
    <sheet name="VectorDial" sheetId="11" r:id="rId5"/>
    <sheet name="Wall_Dec" sheetId="32" r:id="rId6"/>
    <sheet name="Equatorial" sheetId="7" r:id="rId7"/>
    <sheet name="Polar" sheetId="30" r:id="rId8"/>
    <sheet name="Horizontal" sheetId="8" r:id="rId9"/>
    <sheet name="Vertical" sheetId="9" r:id="rId10"/>
    <sheet name="General" sheetId="28" r:id="rId11"/>
    <sheet name="Bifilar" sheetId="23" r:id="rId12"/>
    <sheet name="V_Polar" sheetId="29" r:id="rId13"/>
    <sheet name="V_Vertical" sheetId="19" r:id="rId14"/>
    <sheet name="V_Equatorial" sheetId="20" r:id="rId15"/>
    <sheet name="V_General" sheetId="31" r:id="rId16"/>
  </sheets>
  <functionGroups builtInGroupCount="19"/>
  <externalReferences>
    <externalReference r:id="rId1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4" l="1"/>
  <c r="C3" i="14"/>
  <c r="B3" i="14"/>
  <c r="C1" i="14"/>
  <c r="E1" i="14"/>
  <c r="E3" i="14"/>
  <c r="F1" i="14"/>
  <c r="L13" i="32"/>
  <c r="C2" i="32" a="1"/>
  <c r="D7" i="32" s="1"/>
  <c r="C7" i="32" s="1"/>
  <c r="E7" i="32" s="1"/>
  <c r="H13" i="32"/>
  <c r="B10" i="32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C82" i="21"/>
  <c r="K13" i="32" a="1"/>
  <c r="K13" i="32" l="1"/>
  <c r="M13" i="32" s="1"/>
  <c r="C2" i="32"/>
  <c r="E3" i="32"/>
  <c r="E4" i="32"/>
  <c r="D46" i="21"/>
  <c r="E46" i="21" s="1"/>
  <c r="A8" i="27" a="1"/>
  <c r="A8" i="27" s="1"/>
  <c r="A7" i="27"/>
  <c r="A2" i="27" a="1"/>
  <c r="A2" i="27" s="1"/>
  <c r="F4" i="32" l="1"/>
  <c r="G4" i="32"/>
  <c r="F46" i="21"/>
  <c r="G46" i="21" s="1"/>
  <c r="H46" i="21" s="1"/>
  <c r="I46" i="21" s="1"/>
  <c r="F66" i="21"/>
  <c r="E66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C55" i="21"/>
  <c r="I51" i="21"/>
  <c r="H51" i="21"/>
  <c r="A2" i="20" l="1"/>
  <c r="A2" i="31"/>
  <c r="A2" i="29"/>
  <c r="D10" i="27" l="1"/>
  <c r="D13" i="21"/>
  <c r="E13" i="21" s="1"/>
  <c r="F13" i="21" l="1"/>
  <c r="G13" i="21" l="1"/>
  <c r="H13" i="21" l="1"/>
  <c r="I13" i="21" l="1"/>
  <c r="H14" i="21" s="1"/>
  <c r="H15" i="21" l="1"/>
  <c r="C14" i="21"/>
  <c r="J13" i="21"/>
  <c r="I14" i="21"/>
  <c r="E14" i="21"/>
  <c r="D14" i="21"/>
  <c r="F14" i="21"/>
  <c r="G14" i="21"/>
  <c r="F15" i="21" l="1"/>
  <c r="C15" i="21"/>
  <c r="E15" i="21"/>
  <c r="K13" i="21"/>
  <c r="J14" i="21"/>
  <c r="D15" i="21"/>
  <c r="G15" i="21"/>
  <c r="I15" i="21"/>
  <c r="J15" i="21" l="1"/>
  <c r="L13" i="21"/>
  <c r="K14" i="21"/>
  <c r="K15" i="21" l="1"/>
  <c r="M13" i="21"/>
  <c r="L14" i="21"/>
  <c r="L15" i="21" l="1"/>
  <c r="N13" i="21"/>
  <c r="M14" i="21"/>
  <c r="M15" i="21" l="1"/>
  <c r="O13" i="21"/>
  <c r="O14" i="21" s="1"/>
  <c r="N14" i="21"/>
  <c r="O15" i="21" l="1"/>
  <c r="N15" i="21"/>
  <c r="A2" i="30" l="1"/>
  <c r="G3" i="11" l="1"/>
  <c r="A2" i="28"/>
  <c r="D33" i="21"/>
  <c r="E33" i="21" l="1"/>
  <c r="D8" i="27"/>
  <c r="D9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7" i="27"/>
  <c r="F5" i="27"/>
  <c r="G5" i="27" s="1"/>
  <c r="H5" i="27" s="1"/>
  <c r="I5" i="27" s="1"/>
  <c r="J5" i="27" s="1"/>
  <c r="K5" i="27" s="1"/>
  <c r="L5" i="27" s="1"/>
  <c r="M5" i="27" s="1"/>
  <c r="N5" i="27" s="1"/>
  <c r="O5" i="27" s="1"/>
  <c r="P5" i="27" s="1"/>
  <c r="K2" i="27"/>
  <c r="B3" i="27"/>
  <c r="B4" i="27"/>
  <c r="B5" i="27"/>
  <c r="B6" i="27"/>
  <c r="B8" i="27"/>
  <c r="B9" i="27"/>
  <c r="B2" i="27"/>
  <c r="A2" i="23"/>
  <c r="F33" i="21" l="1"/>
  <c r="G33" i="21" l="1"/>
  <c r="G77" i="21"/>
  <c r="E77" i="21"/>
  <c r="D61" i="21"/>
  <c r="C2" i="21" a="1"/>
  <c r="A2" i="9"/>
  <c r="A2" i="8"/>
  <c r="A2" i="7"/>
  <c r="J3" i="11"/>
  <c r="I3" i="11"/>
  <c r="H3" i="11"/>
  <c r="E75" i="21" l="1"/>
  <c r="F75" i="21"/>
  <c r="G75" i="21"/>
  <c r="D75" i="21"/>
  <c r="H75" i="21"/>
  <c r="L75" i="21"/>
  <c r="I75" i="21"/>
  <c r="M75" i="21"/>
  <c r="J75" i="21"/>
  <c r="N75" i="21"/>
  <c r="C75" i="21"/>
  <c r="K75" i="21"/>
  <c r="J66" i="21"/>
  <c r="D18" i="21"/>
  <c r="J38" i="21"/>
  <c r="E4" i="21"/>
  <c r="H77" i="21"/>
  <c r="I77" i="21" s="1"/>
  <c r="H33" i="21"/>
  <c r="C27" i="21"/>
  <c r="D27" i="21" s="1"/>
  <c r="C23" i="21"/>
  <c r="D23" i="21" s="1"/>
  <c r="C2" i="21"/>
  <c r="D7" i="21"/>
  <c r="C8" i="21"/>
  <c r="E3" i="21"/>
  <c r="F3" i="11"/>
  <c r="A2" i="19" s="1"/>
  <c r="D42" i="21" l="1"/>
  <c r="L42" i="21"/>
  <c r="F42" i="21"/>
  <c r="O42" i="21"/>
  <c r="I38" i="21"/>
  <c r="N42" i="21"/>
  <c r="J42" i="21"/>
  <c r="E42" i="21"/>
  <c r="H42" i="21"/>
  <c r="M42" i="21"/>
  <c r="K42" i="21"/>
  <c r="H38" i="21"/>
  <c r="G39" i="21" s="1"/>
  <c r="I42" i="21"/>
  <c r="G42" i="21"/>
  <c r="C42" i="21"/>
  <c r="K66" i="21"/>
  <c r="L66" i="21"/>
  <c r="E18" i="21"/>
  <c r="F19" i="21" s="1"/>
  <c r="G52" i="21"/>
  <c r="E28" i="21"/>
  <c r="I28" i="21"/>
  <c r="M28" i="21"/>
  <c r="F28" i="21"/>
  <c r="G28" i="21"/>
  <c r="K28" i="21"/>
  <c r="O28" i="21"/>
  <c r="D28" i="21"/>
  <c r="H28" i="21"/>
  <c r="L28" i="21"/>
  <c r="C28" i="21"/>
  <c r="J28" i="21"/>
  <c r="N28" i="21"/>
  <c r="F24" i="21"/>
  <c r="J24" i="21"/>
  <c r="N24" i="21"/>
  <c r="G24" i="21"/>
  <c r="K24" i="21"/>
  <c r="O24" i="21"/>
  <c r="D24" i="21"/>
  <c r="H24" i="21"/>
  <c r="L24" i="21"/>
  <c r="E24" i="21"/>
  <c r="I24" i="21"/>
  <c r="M24" i="21"/>
  <c r="C24" i="21"/>
  <c r="H16" i="21"/>
  <c r="H17" i="21" s="1"/>
  <c r="H25" i="21" s="1"/>
  <c r="E16" i="21"/>
  <c r="E17" i="21" s="1"/>
  <c r="E25" i="21" s="1"/>
  <c r="I16" i="21"/>
  <c r="I17" i="21" s="1"/>
  <c r="C16" i="21"/>
  <c r="C17" i="21" s="1"/>
  <c r="C25" i="21" s="1"/>
  <c r="F16" i="21"/>
  <c r="F17" i="21" s="1"/>
  <c r="D16" i="21"/>
  <c r="D17" i="21" s="1"/>
  <c r="D29" i="21" s="1"/>
  <c r="G16" i="21"/>
  <c r="G17" i="21" s="1"/>
  <c r="G29" i="21" s="1"/>
  <c r="J16" i="21"/>
  <c r="J17" i="21" s="1"/>
  <c r="J25" i="21" s="1"/>
  <c r="K16" i="21"/>
  <c r="K17" i="21" s="1"/>
  <c r="K29" i="21" s="1"/>
  <c r="L16" i="21"/>
  <c r="L17" i="21" s="1"/>
  <c r="L25" i="21" s="1"/>
  <c r="M16" i="21"/>
  <c r="M17" i="21" s="1"/>
  <c r="M25" i="21" s="1"/>
  <c r="O16" i="21"/>
  <c r="O17" i="21" s="1"/>
  <c r="O29" i="21" s="1"/>
  <c r="N16" i="21"/>
  <c r="N17" i="21" s="1"/>
  <c r="N29" i="21" s="1"/>
  <c r="I33" i="21"/>
  <c r="J33" i="21" s="1"/>
  <c r="J34" i="21" s="1"/>
  <c r="E8" i="21"/>
  <c r="C7" i="21"/>
  <c r="E7" i="21" s="1"/>
  <c r="G4" i="21"/>
  <c r="F4" i="21"/>
  <c r="J77" i="21"/>
  <c r="H78" i="21" s="1"/>
  <c r="H80" i="21" s="1"/>
  <c r="H81" i="21" s="1"/>
  <c r="F61" i="21"/>
  <c r="C7" i="13"/>
  <c r="B7" i="27" s="1"/>
  <c r="D11" i="13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F9" i="13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F94" i="21" l="1"/>
  <c r="G95" i="21"/>
  <c r="H96" i="21"/>
  <c r="F98" i="21"/>
  <c r="G99" i="21"/>
  <c r="H100" i="21"/>
  <c r="F102" i="21"/>
  <c r="G103" i="21"/>
  <c r="H104" i="21"/>
  <c r="G94" i="21"/>
  <c r="H95" i="21"/>
  <c r="F97" i="21"/>
  <c r="G98" i="21"/>
  <c r="H99" i="21"/>
  <c r="F101" i="21"/>
  <c r="G102" i="21"/>
  <c r="H103" i="21"/>
  <c r="G93" i="21"/>
  <c r="H94" i="21"/>
  <c r="F96" i="21"/>
  <c r="G97" i="21"/>
  <c r="H98" i="21"/>
  <c r="F100" i="21"/>
  <c r="G101" i="21"/>
  <c r="H102" i="21"/>
  <c r="F104" i="21"/>
  <c r="H93" i="21"/>
  <c r="F95" i="21"/>
  <c r="G96" i="21"/>
  <c r="H97" i="21"/>
  <c r="F99" i="21"/>
  <c r="G100" i="21"/>
  <c r="H101" i="21"/>
  <c r="F103" i="21"/>
  <c r="G104" i="21"/>
  <c r="F93" i="21"/>
  <c r="N74" i="21"/>
  <c r="K74" i="21"/>
  <c r="I74" i="21"/>
  <c r="J74" i="21"/>
  <c r="M74" i="21"/>
  <c r="C74" i="21"/>
  <c r="L74" i="21"/>
  <c r="H74" i="21"/>
  <c r="G74" i="21"/>
  <c r="F74" i="21"/>
  <c r="E74" i="21"/>
  <c r="D74" i="21"/>
  <c r="H89" i="21"/>
  <c r="H86" i="21"/>
  <c r="H87" i="21"/>
  <c r="E85" i="21"/>
  <c r="I85" i="21"/>
  <c r="M85" i="21"/>
  <c r="F83" i="21"/>
  <c r="F84" i="21" s="1"/>
  <c r="J83" i="21"/>
  <c r="J84" i="21" s="1"/>
  <c r="N83" i="21"/>
  <c r="N84" i="21" s="1"/>
  <c r="C83" i="21"/>
  <c r="C84" i="21" s="1"/>
  <c r="F85" i="21"/>
  <c r="J85" i="21"/>
  <c r="N85" i="21"/>
  <c r="C85" i="21"/>
  <c r="G83" i="21"/>
  <c r="G84" i="21" s="1"/>
  <c r="K83" i="21"/>
  <c r="K84" i="21" s="1"/>
  <c r="O83" i="21"/>
  <c r="O84" i="21" s="1"/>
  <c r="H85" i="21"/>
  <c r="P85" i="21"/>
  <c r="E83" i="21"/>
  <c r="E84" i="21" s="1"/>
  <c r="M83" i="21"/>
  <c r="M84" i="21" s="1"/>
  <c r="K85" i="21"/>
  <c r="H83" i="21"/>
  <c r="H84" i="21" s="1"/>
  <c r="P83" i="21"/>
  <c r="P84" i="21" s="1"/>
  <c r="D85" i="21"/>
  <c r="L85" i="21"/>
  <c r="I83" i="21"/>
  <c r="I84" i="21" s="1"/>
  <c r="G85" i="21"/>
  <c r="O85" i="21"/>
  <c r="D83" i="21"/>
  <c r="D84" i="21" s="1"/>
  <c r="L83" i="21"/>
  <c r="L84" i="21" s="1"/>
  <c r="C29" i="21"/>
  <c r="H19" i="21"/>
  <c r="E19" i="21"/>
  <c r="O19" i="21"/>
  <c r="N19" i="21"/>
  <c r="I20" i="21"/>
  <c r="D19" i="21"/>
  <c r="G19" i="21"/>
  <c r="I19" i="21"/>
  <c r="C19" i="21"/>
  <c r="J19" i="21"/>
  <c r="F20" i="21"/>
  <c r="M19" i="21"/>
  <c r="L19" i="21"/>
  <c r="K19" i="21"/>
  <c r="N39" i="21"/>
  <c r="J67" i="21"/>
  <c r="C20" i="21"/>
  <c r="N52" i="21"/>
  <c r="D67" i="21"/>
  <c r="J20" i="21"/>
  <c r="D20" i="21"/>
  <c r="O20" i="21"/>
  <c r="D25" i="21"/>
  <c r="O25" i="21"/>
  <c r="J29" i="21"/>
  <c r="L29" i="21"/>
  <c r="F29" i="21"/>
  <c r="E29" i="21"/>
  <c r="H29" i="21"/>
  <c r="E20" i="21"/>
  <c r="I25" i="21"/>
  <c r="M29" i="21"/>
  <c r="L20" i="21"/>
  <c r="I29" i="21"/>
  <c r="F25" i="21"/>
  <c r="K20" i="21"/>
  <c r="K25" i="21"/>
  <c r="G20" i="21"/>
  <c r="M20" i="21"/>
  <c r="H20" i="21"/>
  <c r="G25" i="21"/>
  <c r="N25" i="21"/>
  <c r="N20" i="21"/>
  <c r="I78" i="21"/>
  <c r="I80" i="21" s="1"/>
  <c r="I81" i="21" s="1"/>
  <c r="D78" i="21"/>
  <c r="D80" i="21" s="1"/>
  <c r="D81" i="21" s="1"/>
  <c r="F78" i="21"/>
  <c r="F80" i="21" s="1"/>
  <c r="F81" i="21" s="1"/>
  <c r="J78" i="21"/>
  <c r="J80" i="21" s="1"/>
  <c r="J81" i="21" s="1"/>
  <c r="C78" i="21"/>
  <c r="C80" i="21" s="1"/>
  <c r="C81" i="21" s="1"/>
  <c r="G78" i="21"/>
  <c r="G80" i="21" s="1"/>
  <c r="G81" i="21" s="1"/>
  <c r="E78" i="21"/>
  <c r="E80" i="21" s="1"/>
  <c r="E81" i="21" s="1"/>
  <c r="C47" i="21"/>
  <c r="C49" i="21" s="1"/>
  <c r="I47" i="21"/>
  <c r="I49" i="21" s="1"/>
  <c r="D47" i="21"/>
  <c r="E47" i="21"/>
  <c r="F47" i="21"/>
  <c r="F49" i="21" s="1"/>
  <c r="G47" i="21"/>
  <c r="H47" i="21"/>
  <c r="C34" i="21"/>
  <c r="I34" i="21"/>
  <c r="D34" i="21"/>
  <c r="E34" i="21"/>
  <c r="F34" i="21"/>
  <c r="G34" i="21"/>
  <c r="H34" i="21"/>
  <c r="J46" i="21"/>
  <c r="J47" i="21" s="1"/>
  <c r="K33" i="21"/>
  <c r="K34" i="21" s="1"/>
  <c r="K77" i="21"/>
  <c r="K78" i="21" s="1"/>
  <c r="K80" i="21" s="1"/>
  <c r="K81" i="21" s="1"/>
  <c r="G61" i="21"/>
  <c r="H88" i="21" l="1"/>
  <c r="K87" i="21"/>
  <c r="K86" i="21"/>
  <c r="K88" i="21" s="1"/>
  <c r="K89" i="21"/>
  <c r="E89" i="21"/>
  <c r="E86" i="21"/>
  <c r="E87" i="21"/>
  <c r="G87" i="21"/>
  <c r="G89" i="21"/>
  <c r="G86" i="21"/>
  <c r="C87" i="21"/>
  <c r="C86" i="21"/>
  <c r="C88" i="21" s="1"/>
  <c r="C89" i="21"/>
  <c r="J86" i="21"/>
  <c r="J87" i="21"/>
  <c r="J89" i="21"/>
  <c r="F86" i="21"/>
  <c r="F87" i="21"/>
  <c r="F89" i="21"/>
  <c r="D89" i="21"/>
  <c r="D87" i="21"/>
  <c r="D86" i="21"/>
  <c r="I89" i="21"/>
  <c r="I86" i="21"/>
  <c r="I87" i="21"/>
  <c r="K46" i="21"/>
  <c r="K47" i="21" s="1"/>
  <c r="L33" i="21"/>
  <c r="L34" i="21" s="1"/>
  <c r="L77" i="21"/>
  <c r="L78" i="21" s="1"/>
  <c r="L80" i="21" s="1"/>
  <c r="L81" i="21" s="1"/>
  <c r="H61" i="21"/>
  <c r="F88" i="21" l="1"/>
  <c r="G88" i="21"/>
  <c r="I88" i="21"/>
  <c r="D88" i="21"/>
  <c r="J88" i="21"/>
  <c r="E88" i="21"/>
  <c r="L89" i="21"/>
  <c r="L87" i="21"/>
  <c r="L86" i="21"/>
  <c r="L46" i="21"/>
  <c r="L47" i="21" s="1"/>
  <c r="M33" i="21"/>
  <c r="M34" i="21" s="1"/>
  <c r="M77" i="21"/>
  <c r="M78" i="21" s="1"/>
  <c r="M80" i="21" s="1"/>
  <c r="M81" i="21" s="1"/>
  <c r="I61" i="21"/>
  <c r="L88" i="21" l="1"/>
  <c r="M89" i="21"/>
  <c r="M86" i="21"/>
  <c r="M87" i="21"/>
  <c r="E62" i="21"/>
  <c r="C62" i="21"/>
  <c r="I62" i="21"/>
  <c r="D62" i="21"/>
  <c r="F62" i="21"/>
  <c r="G62" i="21"/>
  <c r="H62" i="21"/>
  <c r="L35" i="21"/>
  <c r="L40" i="21" s="1"/>
  <c r="K49" i="21"/>
  <c r="K50" i="21" s="1"/>
  <c r="K54" i="21" s="1"/>
  <c r="K48" i="21"/>
  <c r="K53" i="21" s="1"/>
  <c r="M46" i="21"/>
  <c r="M47" i="21" s="1"/>
  <c r="L36" i="21"/>
  <c r="L37" i="21" s="1"/>
  <c r="L41" i="21" s="1"/>
  <c r="N33" i="21"/>
  <c r="N34" i="21" s="1"/>
  <c r="C79" i="21"/>
  <c r="D79" i="21"/>
  <c r="F79" i="21"/>
  <c r="E79" i="21"/>
  <c r="H79" i="21"/>
  <c r="G79" i="21"/>
  <c r="I79" i="21"/>
  <c r="J79" i="21"/>
  <c r="K79" i="21"/>
  <c r="L79" i="21"/>
  <c r="M79" i="21"/>
  <c r="N77" i="21"/>
  <c r="N78" i="21" s="1"/>
  <c r="N80" i="21" s="1"/>
  <c r="N81" i="21" s="1"/>
  <c r="J61" i="21"/>
  <c r="J62" i="21" s="1"/>
  <c r="M88" i="21" l="1"/>
  <c r="N86" i="21"/>
  <c r="N87" i="21"/>
  <c r="N89" i="21"/>
  <c r="E48" i="21"/>
  <c r="E53" i="21" s="1"/>
  <c r="E49" i="21"/>
  <c r="E50" i="21" s="1"/>
  <c r="E54" i="21" s="1"/>
  <c r="H49" i="21"/>
  <c r="H50" i="21" s="1"/>
  <c r="H54" i="21" s="1"/>
  <c r="H48" i="21"/>
  <c r="H53" i="21" s="1"/>
  <c r="D49" i="21"/>
  <c r="D50" i="21" s="1"/>
  <c r="D54" i="21" s="1"/>
  <c r="D48" i="21"/>
  <c r="D53" i="21" s="1"/>
  <c r="G48" i="21"/>
  <c r="G53" i="21" s="1"/>
  <c r="G49" i="21"/>
  <c r="G50" i="21" s="1"/>
  <c r="G54" i="21" s="1"/>
  <c r="C50" i="21"/>
  <c r="C54" i="21" s="1"/>
  <c r="C48" i="21"/>
  <c r="C53" i="21" s="1"/>
  <c r="I48" i="21"/>
  <c r="I53" i="21" s="1"/>
  <c r="I50" i="21"/>
  <c r="I54" i="21" s="1"/>
  <c r="J48" i="21"/>
  <c r="J53" i="21" s="1"/>
  <c r="J49" i="21"/>
  <c r="J50" i="21" s="1"/>
  <c r="J54" i="21" s="1"/>
  <c r="F48" i="21"/>
  <c r="F53" i="21" s="1"/>
  <c r="F50" i="21"/>
  <c r="F54" i="21" s="1"/>
  <c r="L49" i="21"/>
  <c r="L50" i="21" s="1"/>
  <c r="L54" i="21" s="1"/>
  <c r="L48" i="21"/>
  <c r="L53" i="21" s="1"/>
  <c r="N46" i="21"/>
  <c r="N47" i="21" s="1"/>
  <c r="F36" i="21"/>
  <c r="F37" i="21" s="1"/>
  <c r="F41" i="21" s="1"/>
  <c r="F35" i="21"/>
  <c r="F40" i="21" s="1"/>
  <c r="I35" i="21"/>
  <c r="I40" i="21" s="1"/>
  <c r="I36" i="21"/>
  <c r="I37" i="21" s="1"/>
  <c r="I41" i="21" s="1"/>
  <c r="D36" i="21"/>
  <c r="D37" i="21" s="1"/>
  <c r="D41" i="21" s="1"/>
  <c r="D35" i="21"/>
  <c r="D40" i="21" s="1"/>
  <c r="J36" i="21"/>
  <c r="J37" i="21" s="1"/>
  <c r="J41" i="21" s="1"/>
  <c r="J35" i="21"/>
  <c r="J40" i="21" s="1"/>
  <c r="H35" i="21"/>
  <c r="H40" i="21" s="1"/>
  <c r="H36" i="21"/>
  <c r="H37" i="21" s="1"/>
  <c r="H41" i="21" s="1"/>
  <c r="E35" i="21"/>
  <c r="E40" i="21" s="1"/>
  <c r="E36" i="21"/>
  <c r="E37" i="21" s="1"/>
  <c r="E41" i="21" s="1"/>
  <c r="K35" i="21"/>
  <c r="K40" i="21" s="1"/>
  <c r="K36" i="21"/>
  <c r="K37" i="21" s="1"/>
  <c r="K41" i="21" s="1"/>
  <c r="G36" i="21"/>
  <c r="G37" i="21" s="1"/>
  <c r="G41" i="21" s="1"/>
  <c r="G35" i="21"/>
  <c r="G40" i="21" s="1"/>
  <c r="C35" i="21"/>
  <c r="C40" i="21" s="1"/>
  <c r="C36" i="21"/>
  <c r="C37" i="21" s="1"/>
  <c r="C41" i="21" s="1"/>
  <c r="O33" i="21"/>
  <c r="O34" i="21" s="1"/>
  <c r="M35" i="21"/>
  <c r="M40" i="21" s="1"/>
  <c r="M36" i="21"/>
  <c r="M37" i="21" s="1"/>
  <c r="M41" i="21" s="1"/>
  <c r="C63" i="21"/>
  <c r="C68" i="21" s="1"/>
  <c r="C64" i="21"/>
  <c r="C65" i="21" s="1"/>
  <c r="C69" i="21" s="1"/>
  <c r="I63" i="21"/>
  <c r="I68" i="21" s="1"/>
  <c r="I64" i="21"/>
  <c r="I65" i="21" s="1"/>
  <c r="I69" i="21" s="1"/>
  <c r="G63" i="21"/>
  <c r="G68" i="21" s="1"/>
  <c r="G64" i="21"/>
  <c r="G65" i="21" s="1"/>
  <c r="G69" i="21" s="1"/>
  <c r="E63" i="21"/>
  <c r="E68" i="21" s="1"/>
  <c r="E64" i="21"/>
  <c r="E65" i="21" s="1"/>
  <c r="E69" i="21" s="1"/>
  <c r="H63" i="21"/>
  <c r="H68" i="21" s="1"/>
  <c r="H64" i="21"/>
  <c r="H65" i="21" s="1"/>
  <c r="H69" i="21" s="1"/>
  <c r="F63" i="21"/>
  <c r="F68" i="21" s="1"/>
  <c r="F64" i="21"/>
  <c r="F65" i="21" s="1"/>
  <c r="F69" i="21" s="1"/>
  <c r="D63" i="21"/>
  <c r="D68" i="21" s="1"/>
  <c r="D64" i="21"/>
  <c r="D65" i="21" s="1"/>
  <c r="D69" i="21" s="1"/>
  <c r="N79" i="21"/>
  <c r="O77" i="21"/>
  <c r="O78" i="21" s="1"/>
  <c r="O80" i="21" s="1"/>
  <c r="O81" i="21" s="1"/>
  <c r="K61" i="21"/>
  <c r="K62" i="21" s="1"/>
  <c r="N88" i="21" l="1"/>
  <c r="O87" i="21"/>
  <c r="O89" i="21"/>
  <c r="O86" i="21"/>
  <c r="O88" i="21" s="1"/>
  <c r="O46" i="21"/>
  <c r="O47" i="21" s="1"/>
  <c r="M48" i="21"/>
  <c r="M53" i="21" s="1"/>
  <c r="M49" i="21"/>
  <c r="M50" i="21" s="1"/>
  <c r="M54" i="21" s="1"/>
  <c r="O36" i="21"/>
  <c r="O37" i="21" s="1"/>
  <c r="O41" i="21" s="1"/>
  <c r="O35" i="21"/>
  <c r="N36" i="21"/>
  <c r="N37" i="21" s="1"/>
  <c r="N41" i="21" s="1"/>
  <c r="N35" i="21"/>
  <c r="N40" i="21" s="1"/>
  <c r="J63" i="21"/>
  <c r="J68" i="21" s="1"/>
  <c r="J64" i="21"/>
  <c r="J65" i="21" s="1"/>
  <c r="J69" i="21" s="1"/>
  <c r="O79" i="21"/>
  <c r="P77" i="21"/>
  <c r="P78" i="21" s="1"/>
  <c r="P80" i="21" s="1"/>
  <c r="P81" i="21" s="1"/>
  <c r="L61" i="21"/>
  <c r="L62" i="21" s="1"/>
  <c r="P89" i="21" l="1"/>
  <c r="P86" i="21"/>
  <c r="P87" i="21"/>
  <c r="O40" i="21"/>
  <c r="O53" i="21"/>
  <c r="O48" i="21"/>
  <c r="O49" i="21"/>
  <c r="O50" i="21" s="1"/>
  <c r="O54" i="21" s="1"/>
  <c r="N49" i="21"/>
  <c r="N50" i="21" s="1"/>
  <c r="N54" i="21" s="1"/>
  <c r="N48" i="21"/>
  <c r="N53" i="21" s="1"/>
  <c r="K63" i="21"/>
  <c r="K68" i="21" s="1"/>
  <c r="K64" i="21"/>
  <c r="K65" i="21" s="1"/>
  <c r="K69" i="21" s="1"/>
  <c r="P79" i="21"/>
  <c r="M61" i="21"/>
  <c r="M62" i="21" s="1"/>
  <c r="P88" i="21" l="1"/>
  <c r="L63" i="21"/>
  <c r="L68" i="21" s="1"/>
  <c r="L64" i="21"/>
  <c r="L65" i="21" s="1"/>
  <c r="L69" i="21" s="1"/>
  <c r="N61" i="21"/>
  <c r="N62" i="21" s="1"/>
  <c r="M63" i="21" l="1"/>
  <c r="M68" i="21" s="1"/>
  <c r="M64" i="21"/>
  <c r="M65" i="21" s="1"/>
  <c r="M69" i="21" s="1"/>
  <c r="O61" i="21"/>
  <c r="O62" i="21" s="1"/>
  <c r="N63" i="21" l="1"/>
  <c r="N68" i="21" s="1"/>
  <c r="N64" i="21"/>
  <c r="N65" i="21" s="1"/>
  <c r="N69" i="21" s="1"/>
  <c r="O63" i="21"/>
  <c r="O68" i="21" s="1"/>
  <c r="O64" i="21"/>
  <c r="O65" i="21" s="1"/>
  <c r="O6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<sst xmlns="http://schemas.openxmlformats.org/spreadsheetml/2006/main" count="480" uniqueCount="182">
  <si>
    <t>Day</t>
  </si>
  <si>
    <t>mBar</t>
  </si>
  <si>
    <r>
      <t>C</t>
    </r>
    <r>
      <rPr>
        <vertAlign val="superscript"/>
        <sz val="11"/>
        <color theme="1"/>
        <rFont val="Calibri"/>
        <family val="2"/>
        <scheme val="minor"/>
      </rPr>
      <t>o</t>
    </r>
  </si>
  <si>
    <t>1400/12/29</t>
  </si>
  <si>
    <t>1401/8/16</t>
  </si>
  <si>
    <t>1401/9/1</t>
  </si>
  <si>
    <t>1401/9/30</t>
  </si>
  <si>
    <t>θ</t>
  </si>
  <si>
    <t>ε</t>
  </si>
  <si>
    <r>
      <rPr>
        <sz val="11"/>
        <color theme="1"/>
        <rFont val="Symbol"/>
        <family val="1"/>
        <charset val="2"/>
      </rPr>
      <t>p</t>
    </r>
    <r>
      <rPr>
        <sz val="11"/>
        <color theme="1"/>
        <rFont val="Calibri"/>
        <family val="2"/>
        <scheme val="minor"/>
      </rPr>
      <t>/2-φ</t>
    </r>
  </si>
  <si>
    <t>b</t>
  </si>
  <si>
    <t>r</t>
  </si>
  <si>
    <t>φ</t>
  </si>
  <si>
    <t>l</t>
  </si>
  <si>
    <t>e</t>
  </si>
  <si>
    <t xml:space="preserve">Sa = arctan (sin(φ) · tan(Ha )) </t>
  </si>
  <si>
    <t>Sa = arctan (cos(φ) · tan(Ha))</t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</si>
  <si>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arctan(tan(φ) sin(θ))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</si>
  <si>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arcsin(sin(φ) cos(θ)</t>
    </r>
  </si>
  <si>
    <t>Sa = ATAN(sin(φ)sin(Ha)/(cos(θ) cos(Ha) + cos(φ) sin(θ)sin(Ha)))</t>
  </si>
  <si>
    <t>Sa = ATAN(cos(φ)sin(Ha)/(cos(θ) cos(Ha) + sin(φ) sin(θ)sin(Ha)))</t>
  </si>
  <si>
    <t>1401/3/31</t>
  </si>
  <si>
    <t>1401/1/15</t>
  </si>
  <si>
    <t>1401/1/31</t>
  </si>
  <si>
    <t>1401/2/15</t>
  </si>
  <si>
    <t>1401/2/31</t>
  </si>
  <si>
    <t>1401/7/1</t>
  </si>
  <si>
    <t>1401/7/15</t>
  </si>
  <si>
    <t>1401/8/1</t>
  </si>
  <si>
    <t>Month</t>
  </si>
  <si>
    <t>Radians</t>
  </si>
  <si>
    <t>Sin</t>
  </si>
  <si>
    <t>Cos</t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</si>
  <si>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= ATAN((cos(φ) · sin(θ))/|cos(ε) · sin(φ) − sin(ε) · cos(θ) · cos(φ)|)</t>
    </r>
  </si>
  <si>
    <t>ρ = ASIN(sin(φ) sin(ε) + cos(ε) cos(φ) cos(θ))</t>
  </si>
  <si>
    <t>Sa=  ATAN((sin(ε) cos(θ) sin(φ) + cos(ε) cos(φ) − cot(τ) sin(ε) sin(θ))/(cot(τ) cos(θ) + sin(φ) sin(θ)))</t>
  </si>
  <si>
    <t>M =</t>
  </si>
  <si>
    <t>Sun Delination</t>
  </si>
  <si>
    <t>q</t>
  </si>
  <si>
    <r>
      <t>Sa = ATAN(sin(</t>
    </r>
    <r>
      <rPr>
        <sz val="10"/>
        <color theme="1"/>
        <rFont val="Symbol"/>
        <family val="1"/>
        <charset val="2"/>
      </rPr>
      <t>f-q</t>
    </r>
    <r>
      <rPr>
        <sz val="10"/>
        <color theme="1"/>
        <rFont val="Calibri"/>
        <family val="2"/>
        <scheme val="minor"/>
      </rPr>
      <t xml:space="preserve">) · tan(Ha )) </t>
    </r>
  </si>
  <si>
    <t>φ-90,φ+90</t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</si>
  <si>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arcsin(cos(φ) cos(θ)</t>
    </r>
    <r>
      <rPr>
        <sz val="11"/>
        <color theme="1"/>
        <rFont val="Calibri"/>
        <family val="1"/>
        <charset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</si>
  <si>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 sin(θ)*cot(φ))</t>
    </r>
  </si>
  <si>
    <t>Equation of Time, Minutes</t>
  </si>
  <si>
    <t>Hour</t>
  </si>
  <si>
    <t>x</t>
  </si>
  <si>
    <t>1/1</t>
  </si>
  <si>
    <t>2/1</t>
  </si>
  <si>
    <t>3/1</t>
  </si>
  <si>
    <t>4/1</t>
  </si>
  <si>
    <t>5/1</t>
  </si>
  <si>
    <t>6/1</t>
  </si>
  <si>
    <t>7/1</t>
  </si>
  <si>
    <t>9/1</t>
  </si>
  <si>
    <t>10/1</t>
  </si>
  <si>
    <t>11/1</t>
  </si>
  <si>
    <t>12/1</t>
  </si>
  <si>
    <r>
      <rPr>
        <b/>
        <sz val="11"/>
        <color theme="1"/>
        <rFont val="B Nazanin"/>
        <charset val="178"/>
      </rPr>
      <t xml:space="preserve">h با شاخصی به ارتفاع </t>
    </r>
    <r>
      <rPr>
        <b/>
        <sz val="11"/>
        <color theme="1"/>
        <rFont val="Calibri"/>
        <family val="2"/>
        <scheme val="minor"/>
      </rPr>
      <t xml:space="preserve"> M</t>
    </r>
  </si>
  <si>
    <t>8/1</t>
  </si>
  <si>
    <t>d1</t>
  </si>
  <si>
    <t>d11</t>
  </si>
  <si>
    <t>d21</t>
  </si>
  <si>
    <t>اندازه سایه در ظهر</t>
  </si>
  <si>
    <t>Year</t>
  </si>
  <si>
    <t>Minute</t>
  </si>
  <si>
    <t>Seconds</t>
  </si>
  <si>
    <t>Azimuth</t>
  </si>
  <si>
    <t>Sun</t>
  </si>
  <si>
    <t>Nail_Height</t>
  </si>
  <si>
    <t>Hours</t>
  </si>
  <si>
    <t>Location</t>
  </si>
  <si>
    <t>Longitude</t>
  </si>
  <si>
    <t>Latitude</t>
  </si>
  <si>
    <t>Elevation</t>
  </si>
  <si>
    <t>Time Zone</t>
  </si>
  <si>
    <t>Local and Civil Time Difference</t>
  </si>
  <si>
    <t>Atmospheric Pressure</t>
  </si>
  <si>
    <t>Amospheric Temperature</t>
  </si>
  <si>
    <t>Data Selection</t>
  </si>
  <si>
    <t>Calendar Selection</t>
  </si>
  <si>
    <t>Type of Sundial</t>
  </si>
  <si>
    <t>Time Selection</t>
  </si>
  <si>
    <t>Style Hight</t>
  </si>
  <si>
    <t>Inclination</t>
  </si>
  <si>
    <t>Declination</t>
  </si>
  <si>
    <t>Noon, Local Time</t>
  </si>
  <si>
    <t>Equaton of Time</t>
  </si>
  <si>
    <t>Mean Declination of Sun</t>
  </si>
  <si>
    <t>Elevation of Sun</t>
  </si>
  <si>
    <t>Apparent Declination of Sun</t>
  </si>
  <si>
    <t>Horizontal</t>
  </si>
  <si>
    <t>Equatorial</t>
  </si>
  <si>
    <t>Polar</t>
  </si>
  <si>
    <t>Vertical</t>
  </si>
  <si>
    <t>General</t>
  </si>
  <si>
    <t>Horizontal Bifillar</t>
  </si>
  <si>
    <t>Vertical Bifillar</t>
  </si>
  <si>
    <t>Dial at Local Time</t>
  </si>
  <si>
    <t>Dial at Civil Time</t>
  </si>
  <si>
    <t>Inclined Bifillar</t>
  </si>
  <si>
    <t>Spring Equinox</t>
  </si>
  <si>
    <t>Summer Solitice</t>
  </si>
  <si>
    <t>Autmon  Equinox</t>
  </si>
  <si>
    <t>Winter Solitice</t>
  </si>
  <si>
    <t>Minutes</t>
  </si>
  <si>
    <t>Time</t>
  </si>
  <si>
    <t>From</t>
  </si>
  <si>
    <t>To</t>
  </si>
  <si>
    <t>Elevation above sea level</t>
  </si>
  <si>
    <t>Solar Time and Civil Time Difference</t>
  </si>
  <si>
    <t>Solar Time</t>
  </si>
  <si>
    <t>Hour Angle, Angles</t>
  </si>
  <si>
    <t>Hour Angle, Radians</t>
  </si>
  <si>
    <t>Hour Angle, Civil Time, Angles</t>
  </si>
  <si>
    <t>Hour Angle, Civil Time, Radians</t>
  </si>
  <si>
    <t>Solar Time, Shadow Angles</t>
  </si>
  <si>
    <t>Civil Time, Shadow Angles</t>
  </si>
  <si>
    <t>Plate Angle</t>
  </si>
  <si>
    <t>q Equatorial; =</t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</si>
  <si>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Polar=</t>
    </r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</si>
  <si>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Horizontal =</t>
    </r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</si>
  <si>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Vertical =</t>
    </r>
  </si>
  <si>
    <t xml:space="preserve"> Horizontal Plate with rotation about North-South =</t>
  </si>
  <si>
    <t>θ Rotatin about North-South</t>
  </si>
  <si>
    <t>Angles Of Style with Plate</t>
  </si>
  <si>
    <t>Distance to Style or Gnomon</t>
  </si>
  <si>
    <t xml:space="preserve">Plate Angle </t>
  </si>
  <si>
    <r>
      <t xml:space="preserve">Hour Line Angles Plate with Angle with Horizon  </t>
    </r>
    <r>
      <rPr>
        <b/>
        <sz val="11"/>
        <color theme="1"/>
        <rFont val="Symbol"/>
        <family val="1"/>
        <charset val="2"/>
      </rPr>
      <t>q</t>
    </r>
  </si>
  <si>
    <r>
      <t>Vertical Plane with rotation about plumb line</t>
    </r>
    <r>
      <rPr>
        <b/>
        <sz val="11"/>
        <color theme="1"/>
        <rFont val="Symbol"/>
        <family val="1"/>
        <charset val="2"/>
      </rPr>
      <t xml:space="preserve"> q</t>
    </r>
  </si>
  <si>
    <t xml:space="preserve">θ Rotation aour Plumb Line </t>
  </si>
  <si>
    <t>Angle</t>
  </si>
  <si>
    <r>
      <t xml:space="preserve">Rotation of vertical plate about plumb =  </t>
    </r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 and rotaion about plate horizon line =  </t>
    </r>
    <r>
      <rPr>
        <b/>
        <sz val="11"/>
        <color theme="1"/>
        <rFont val="Symbol"/>
        <family val="1"/>
        <charset val="2"/>
      </rPr>
      <t>e</t>
    </r>
  </si>
  <si>
    <t>Table of M for Analemma Dial with Style Height   h =</t>
  </si>
  <si>
    <t>Selected M</t>
  </si>
  <si>
    <t>Coordinates of Points</t>
  </si>
  <si>
    <t>Solar Time x =</t>
  </si>
  <si>
    <t xml:space="preserve"> Solar Time y =</t>
  </si>
  <si>
    <t>Distance from center</t>
  </si>
  <si>
    <t>Shadow Angle From South</t>
  </si>
  <si>
    <t>Solar Time y =</t>
  </si>
  <si>
    <t>Distance of Style from Center</t>
  </si>
  <si>
    <t>Distance from center, Civil Time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</si>
  <si>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</si>
  <si>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</si>
  <si>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</si>
  <si>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</si>
  <si>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</si>
  <si>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</si>
  <si>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</si>
  <si>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</si>
  <si>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November</t>
  </si>
  <si>
    <t>May</t>
  </si>
  <si>
    <t>October</t>
  </si>
  <si>
    <t>Decembere</t>
  </si>
  <si>
    <t>Dial Selection</t>
  </si>
  <si>
    <t>Horizontal Dial</t>
  </si>
  <si>
    <t>Polar Dial</t>
  </si>
  <si>
    <t xml:space="preserve">Equatorial North </t>
  </si>
  <si>
    <t>Equatorial South</t>
  </si>
  <si>
    <t>Vertical Dial</t>
  </si>
  <si>
    <t>Genteral</t>
  </si>
  <si>
    <t>Dial Inclination</t>
  </si>
  <si>
    <t>Dial Declination</t>
  </si>
  <si>
    <t>Style inclination</t>
  </si>
  <si>
    <t>Style Declination</t>
  </si>
  <si>
    <t>Style Length</t>
  </si>
  <si>
    <t>Angle with main Axes</t>
  </si>
  <si>
    <t>Angle  with Plate</t>
  </si>
  <si>
    <t>X0</t>
  </si>
  <si>
    <t>Y0</t>
  </si>
  <si>
    <t>Style Height</t>
  </si>
  <si>
    <t>Equatorial Sundial</t>
  </si>
  <si>
    <t>Angle with Horizion</t>
  </si>
  <si>
    <t>Polar Sundial</t>
  </si>
  <si>
    <t>Vertical Sundial</t>
  </si>
  <si>
    <t>Rod 1</t>
  </si>
  <si>
    <t xml:space="preserve">Rod2 </t>
  </si>
  <si>
    <t>Aparent Declination of Sun, Delta, Degrees</t>
  </si>
  <si>
    <t>Iclined, Declined Dial</t>
  </si>
  <si>
    <t>Inclined Bifilar</t>
  </si>
  <si>
    <t>Tehran</t>
  </si>
  <si>
    <t>Inclined, Declined Dial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</si>
</sst>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000"/>
    <numFmt numFmtId="166" formatCode="0.0"/>
    <numFmt numFmtId="167" formatCode="0.00000"/>
    <numFmt numFmtId="168" formatCode="0.0000"/>
    <numFmt numFmtId="169" formatCode="0.000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11"/>
      <color theme="1"/>
      <name val="B Nazanin"/>
      <charset val="178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Titr"/>
      <charset val="178"/>
    </font>
    <font>
      <b/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rgb="FFFF0000"/>
      <name val="Calibri "/>
    </font>
    <font>
      <sz val="12"/>
      <color theme="1"/>
      <name val=" B Nazanin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theme="1"/>
      <name val="Symbol"/>
      <family val="1"/>
      <charset val="2"/>
    </font>
    <font>
      <sz val="10"/>
      <color theme="4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charset val="178"/>
      <scheme val="minor"/>
    </font>
    <font>
      <b/>
      <sz val="10"/>
      <color rgb="FFFF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b/>
      <sz val="11"/>
      <color theme="1"/>
      <name val="Calibri"/>
      <family val="1"/>
      <charset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264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0" fontId="0" fillId="0" borderId="2" xfId="0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4" xfId="0" applyBorder="1"/>
    <xf numFmtId="0" fontId="0" fillId="0" borderId="5" xfId="0" applyBorder="1"/>
    <xf numFmtId="0" fontId="0" fillId="0" borderId="20" xfId="0" applyBorder="1" applyAlignment="1">
      <alignment horizontal="center"/>
    </xf>
    <xf numFmtId="0" fontId="8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15" xfId="0" applyFont="1" applyBorder="1"/>
    <xf numFmtId="0" fontId="0" fillId="0" borderId="8" xfId="0" applyBorder="1"/>
    <xf numFmtId="0" fontId="1" fillId="0" borderId="16" xfId="0" applyFont="1" applyBorder="1"/>
    <xf numFmtId="0" fontId="0" fillId="0" borderId="10" xfId="0" applyBorder="1"/>
    <xf numFmtId="0" fontId="1" fillId="0" borderId="12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66" fontId="1" fillId="0" borderId="15" xfId="0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13" fillId="0" borderId="0" xfId="0" applyFont="1"/>
    <xf numFmtId="0" fontId="1" fillId="0" borderId="21" xfId="0" applyFont="1" applyBorder="1" applyAlignment="1">
      <alignment horizontal="center"/>
    </xf>
    <xf numFmtId="0" fontId="0" fillId="0" borderId="22" xfId="0" applyBorder="1"/>
    <xf numFmtId="0" fontId="0" fillId="0" borderId="31" xfId="0" applyBorder="1"/>
    <xf numFmtId="0" fontId="0" fillId="0" borderId="29" xfId="0" applyBorder="1"/>
    <xf numFmtId="0" fontId="16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0" fillId="0" borderId="0" xfId="0" applyNumberFormat="1"/>
    <xf numFmtId="14" fontId="1" fillId="0" borderId="15" xfId="0" applyNumberFormat="1" applyFont="1" applyBorder="1" applyAlignment="1">
      <alignment horizontal="right"/>
    </xf>
    <xf numFmtId="14" fontId="1" fillId="0" borderId="14" xfId="0" applyNumberFormat="1" applyFont="1" applyBorder="1" applyAlignment="1">
      <alignment horizontal="right"/>
    </xf>
    <xf numFmtId="14" fontId="1" fillId="0" borderId="24" xfId="0" applyNumberFormat="1" applyFont="1" applyBorder="1"/>
    <xf numFmtId="0" fontId="0" fillId="0" borderId="0" xfId="0" applyAlignment="1">
      <alignment horizontal="center" vertical="center"/>
    </xf>
    <xf numFmtId="0" fontId="15" fillId="0" borderId="0" xfId="0" applyFont="1"/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21" fillId="0" borderId="0" xfId="0" applyFont="1" applyAlignment="1">
      <alignment horizontal="center"/>
    </xf>
    <xf numFmtId="14" fontId="1" fillId="0" borderId="0" xfId="0" applyNumberFormat="1" applyFont="1"/>
    <xf numFmtId="0" fontId="0" fillId="0" borderId="0" xfId="0" applyAlignment="1">
      <alignment vertical="center"/>
    </xf>
    <xf numFmtId="0" fontId="20" fillId="0" borderId="17" xfId="0" applyFont="1" applyBorder="1" applyAlignment="1">
      <alignment horizontal="center"/>
    </xf>
    <xf numFmtId="0" fontId="22" fillId="0" borderId="0" xfId="0" applyFont="1" applyAlignment="1">
      <alignment horizontal="right"/>
    </xf>
    <xf numFmtId="0" fontId="9" fillId="0" borderId="19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2" xfId="0" applyFont="1" applyBorder="1" applyAlignment="1">
      <alignment horizontal="center"/>
    </xf>
    <xf numFmtId="21" fontId="25" fillId="0" borderId="12" xfId="0" applyNumberFormat="1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21" fontId="25" fillId="0" borderId="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2" borderId="29" xfId="0" applyFont="1" applyFill="1" applyBorder="1" applyAlignment="1">
      <alignment horizontal="center"/>
    </xf>
    <xf numFmtId="0" fontId="25" fillId="0" borderId="29" xfId="0" applyFont="1" applyBorder="1"/>
    <xf numFmtId="0" fontId="25" fillId="0" borderId="29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8" fillId="0" borderId="41" xfId="0" applyFont="1" applyBorder="1" applyAlignment="1">
      <alignment horizontal="center"/>
    </xf>
    <xf numFmtId="0" fontId="25" fillId="0" borderId="30" xfId="0" applyFont="1" applyBorder="1"/>
    <xf numFmtId="168" fontId="25" fillId="0" borderId="13" xfId="0" applyNumberFormat="1" applyFont="1" applyBorder="1" applyAlignment="1">
      <alignment horizontal="center"/>
    </xf>
    <xf numFmtId="168" fontId="25" fillId="0" borderId="14" xfId="0" applyNumberFormat="1" applyFont="1" applyBorder="1" applyAlignment="1">
      <alignment horizontal="center"/>
    </xf>
    <xf numFmtId="168" fontId="25" fillId="0" borderId="12" xfId="0" applyNumberFormat="1" applyFont="1" applyBorder="1" applyAlignment="1">
      <alignment horizontal="center"/>
    </xf>
    <xf numFmtId="168" fontId="25" fillId="0" borderId="0" xfId="0" applyNumberFormat="1" applyFont="1" applyAlignment="1">
      <alignment horizontal="center"/>
    </xf>
    <xf numFmtId="168" fontId="25" fillId="0" borderId="2" xfId="0" applyNumberFormat="1" applyFont="1" applyBorder="1" applyAlignment="1">
      <alignment horizontal="center"/>
    </xf>
    <xf numFmtId="168" fontId="25" fillId="0" borderId="1" xfId="0" applyNumberFormat="1" applyFon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5" fillId="0" borderId="0" xfId="0" applyNumberFormat="1" applyFont="1" applyAlignment="1">
      <alignment horizontal="center"/>
    </xf>
    <xf numFmtId="169" fontId="25" fillId="0" borderId="13" xfId="0" applyNumberFormat="1" applyFont="1" applyBorder="1" applyAlignment="1">
      <alignment horizontal="center"/>
    </xf>
    <xf numFmtId="0" fontId="1" fillId="0" borderId="0" xfId="0" applyFont="1" applyAlignment="1">
      <alignment horizontal="right" vertical="center"/>
    </xf>
    <xf numFmtId="2" fontId="4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0" fillId="0" borderId="2" xfId="0" applyBorder="1" applyAlignment="1">
      <alignment vertical="center"/>
    </xf>
    <xf numFmtId="169" fontId="30" fillId="0" borderId="12" xfId="0" applyNumberFormat="1" applyFont="1" applyBorder="1" applyAlignment="1">
      <alignment horizontal="center"/>
    </xf>
    <xf numFmtId="169" fontId="30" fillId="0" borderId="13" xfId="0" applyNumberFormat="1" applyFont="1" applyBorder="1" applyAlignment="1">
      <alignment horizontal="center"/>
    </xf>
    <xf numFmtId="169" fontId="30" fillId="0" borderId="14" xfId="0" applyNumberFormat="1" applyFont="1" applyBorder="1" applyAlignment="1">
      <alignment horizontal="center"/>
    </xf>
    <xf numFmtId="169" fontId="31" fillId="0" borderId="3" xfId="0" applyNumberFormat="1" applyFont="1" applyBorder="1" applyAlignment="1">
      <alignment horizontal="center"/>
    </xf>
    <xf numFmtId="169" fontId="31" fillId="0" borderId="4" xfId="0" applyNumberFormat="1" applyFont="1" applyBorder="1" applyAlignment="1">
      <alignment horizontal="center"/>
    </xf>
    <xf numFmtId="169" fontId="31" fillId="0" borderId="5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166" fontId="0" fillId="0" borderId="0" xfId="0" applyNumberFormat="1"/>
    <xf numFmtId="2" fontId="0" fillId="0" borderId="0" xfId="0" applyNumberFormat="1"/>
    <xf numFmtId="2" fontId="4" fillId="0" borderId="0" xfId="0" applyNumberFormat="1" applyFont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9" fontId="0" fillId="0" borderId="0" xfId="0" applyNumberFormat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0" fillId="0" borderId="5" xfId="0" applyNumberFormat="1" applyBorder="1" applyAlignment="1">
      <alignment vertical="center"/>
    </xf>
    <xf numFmtId="168" fontId="0" fillId="0" borderId="0" xfId="0" applyNumberFormat="1"/>
    <xf numFmtId="11" fontId="0" fillId="0" borderId="0" xfId="0" applyNumberFormat="1"/>
    <xf numFmtId="49" fontId="27" fillId="0" borderId="13" xfId="0" applyNumberFormat="1" applyFont="1" applyBorder="1" applyAlignment="1">
      <alignment horizontal="center" vertical="center"/>
    </xf>
    <xf numFmtId="49" fontId="27" fillId="0" borderId="14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17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68" fontId="0" fillId="0" borderId="4" xfId="0" applyNumberForma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49" fontId="33" fillId="0" borderId="13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/>
    </xf>
    <xf numFmtId="168" fontId="3" fillId="0" borderId="4" xfId="0" applyNumberFormat="1" applyFont="1" applyBorder="1" applyAlignment="1">
      <alignment horizontal="center" vertical="center"/>
    </xf>
    <xf numFmtId="49" fontId="34" fillId="0" borderId="13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/>
    </xf>
    <xf numFmtId="168" fontId="19" fillId="0" borderId="4" xfId="0" applyNumberFormat="1" applyFont="1" applyBorder="1" applyAlignment="1">
      <alignment horizontal="center" vertical="center"/>
    </xf>
    <xf numFmtId="49" fontId="35" fillId="0" borderId="13" xfId="0" applyNumberFormat="1" applyFont="1" applyBorder="1" applyAlignment="1">
      <alignment horizontal="center" vertical="center"/>
    </xf>
    <xf numFmtId="49" fontId="36" fillId="0" borderId="6" xfId="0" applyNumberFormat="1" applyFont="1" applyBorder="1" applyAlignment="1">
      <alignment horizontal="center"/>
    </xf>
    <xf numFmtId="168" fontId="36" fillId="0" borderId="4" xfId="0" applyNumberFormat="1" applyFon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37" fillId="0" borderId="13" xfId="0" applyNumberFormat="1" applyFont="1" applyBorder="1" applyAlignment="1">
      <alignment horizontal="center" vertical="center"/>
    </xf>
    <xf numFmtId="49" fontId="38" fillId="0" borderId="6" xfId="0" applyNumberFormat="1" applyFont="1" applyBorder="1" applyAlignment="1">
      <alignment horizontal="center"/>
    </xf>
    <xf numFmtId="169" fontId="0" fillId="3" borderId="0" xfId="0" applyNumberForma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2" fillId="0" borderId="46" xfId="0" applyFont="1" applyBorder="1" applyAlignment="1">
      <alignment horizontal="center" vertical="center"/>
    </xf>
    <xf numFmtId="168" fontId="36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8" fillId="0" borderId="22" xfId="0" applyNumberFormat="1" applyFont="1" applyBorder="1" applyAlignment="1">
      <alignment horizontal="center" vertical="center"/>
    </xf>
    <xf numFmtId="168" fontId="19" fillId="0" borderId="22" xfId="0" applyNumberFormat="1" applyFont="1" applyBorder="1" applyAlignment="1">
      <alignment horizontal="center" vertical="center"/>
    </xf>
    <xf numFmtId="168" fontId="0" fillId="0" borderId="31" xfId="0" applyNumberFormat="1" applyBorder="1" applyAlignment="1">
      <alignment horizontal="center"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18" xfId="0" applyFont="1" applyBorder="1" applyAlignment="1">
      <alignment horizontal="center"/>
    </xf>
    <xf numFmtId="0" fontId="40" fillId="0" borderId="1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6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1" fillId="0" borderId="2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4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18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37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27" fillId="0" borderId="38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0" fillId="0" borderId="24" xfId="0" applyNumberFormat="1" applyBorder="1"/>
    <xf numFmtId="49" fontId="0" fillId="0" borderId="9" xfId="0" applyNumberFormat="1" applyBorder="1"/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 shrinkToFit="1"/>
    </xf>
    <xf numFmtId="0" fontId="1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2">
    <cellStyle name="Normal" xfId="0" builtinId="0"/>
    <cellStyle name="Normal 2" xfId="1" xr:uid="{3519603C-DE0F-4A74-9A96-533F927ACB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Analemma 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HourLines!$C$82:$Q$82</c:f>
              <c:numCache>
                <c:formatCode>General</c:formatCode>
                <c:ptCount val="15"/>
                <c:pt idx="0">
                  <c:v>-1.0625184089179753</c:v>
                </c:pt>
                <c:pt idx="1">
                  <c:v>-1.1000000000000001</c:v>
                </c:pt>
                <c:pt idx="2">
                  <c:v>-1.0625184089179753</c:v>
                </c:pt>
                <c:pt idx="3">
                  <c:v>-0.95262794416288255</c:v>
                </c:pt>
                <c:pt idx="4">
                  <c:v>-0.7778174593052023</c:v>
                </c:pt>
                <c:pt idx="5">
                  <c:v>-0.54999999999999993</c:v>
                </c:pt>
                <c:pt idx="6">
                  <c:v>-0.28470094961277281</c:v>
                </c:pt>
                <c:pt idx="7">
                  <c:v>0</c:v>
                </c:pt>
                <c:pt idx="8">
                  <c:v>0.28470094961277281</c:v>
                </c:pt>
                <c:pt idx="9">
                  <c:v>0.54999999999999993</c:v>
                </c:pt>
                <c:pt idx="10">
                  <c:v>0.7778174593052023</c:v>
                </c:pt>
                <c:pt idx="11">
                  <c:v>0.95262794416288255</c:v>
                </c:pt>
                <c:pt idx="12">
                  <c:v>1.0625184089179753</c:v>
                </c:pt>
                <c:pt idx="13">
                  <c:v>1.1000000000000001</c:v>
                </c:pt>
              </c:numCache>
            </c:numRef>
          </c:xVal>
          <c:yVal>
            <c:numRef>
              <c:f>HourLines!$C$83:$Q$83</c:f>
              <c:numCache>
                <c:formatCode>General</c:formatCode>
                <c:ptCount val="15"/>
                <c:pt idx="0">
                  <c:v>-0.16614646944441991</c:v>
                </c:pt>
                <c:pt idx="1">
                  <c:v>3.9323630578986837E-17</c:v>
                </c:pt>
                <c:pt idx="2">
                  <c:v>0.1661464694444198</c:v>
                </c:pt>
                <c:pt idx="3">
                  <c:v>0.3209703315662254</c:v>
                </c:pt>
                <c:pt idx="4">
                  <c:v>0.45392059602034501</c:v>
                </c:pt>
                <c:pt idx="5">
                  <c:v>0.55593692199493094</c:v>
                </c:pt>
                <c:pt idx="6">
                  <c:v>0.62006706546476487</c:v>
                </c:pt>
                <c:pt idx="7">
                  <c:v>0.64194066313245068</c:v>
                </c:pt>
                <c:pt idx="8">
                  <c:v>0.62006706546476487</c:v>
                </c:pt>
                <c:pt idx="9">
                  <c:v>0.55593692199493094</c:v>
                </c:pt>
                <c:pt idx="10">
                  <c:v>0.45392059602034501</c:v>
                </c:pt>
                <c:pt idx="11">
                  <c:v>0.3209703315662254</c:v>
                </c:pt>
                <c:pt idx="12">
                  <c:v>0.1661464694444198</c:v>
                </c:pt>
                <c:pt idx="13">
                  <c:v>3.9323630578986837E-17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7-4870-98C3-654DD8DB6A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HourLines!$C$86:$Q$86</c:f>
              <c:numCache>
                <c:formatCode>General</c:formatCode>
                <c:ptCount val="15"/>
                <c:pt idx="0">
                  <c:v>-1.0565891726934988</c:v>
                </c:pt>
                <c:pt idx="1">
                  <c:v>-1.0997783431436636</c:v>
                </c:pt>
                <c:pt idx="2">
                  <c:v>-1.0680194369782328</c:v>
                </c:pt>
                <c:pt idx="3">
                  <c:v>-0.96347677116830632</c:v>
                </c:pt>
                <c:pt idx="4">
                  <c:v>-0.79327475562390692</c:v>
                </c:pt>
                <c:pt idx="5">
                  <c:v>-0.56901237643225577</c:v>
                </c:pt>
                <c:pt idx="6">
                  <c:v>-0.30597274412415904</c:v>
                </c:pt>
                <c:pt idx="7">
                  <c:v>-2.2081574947868252E-2</c:v>
                </c:pt>
                <c:pt idx="8">
                  <c:v>0.2633144170695918</c:v>
                </c:pt>
                <c:pt idx="9">
                  <c:v>0.53076596671140785</c:v>
                </c:pt>
                <c:pt idx="10">
                  <c:v>0.76204669285407367</c:v>
                </c:pt>
                <c:pt idx="11">
                  <c:v>0.9413951962204381</c:v>
                </c:pt>
                <c:pt idx="12">
                  <c:v>1.0565891726934986</c:v>
                </c:pt>
                <c:pt idx="13">
                  <c:v>1.0997783431436636</c:v>
                </c:pt>
              </c:numCache>
            </c:numRef>
          </c:xVal>
          <c:yVal>
            <c:numRef>
              <c:f>HourLines!$C$87:$Q$87</c:f>
              <c:numCache>
                <c:formatCode>General</c:formatCode>
                <c:ptCount val="15"/>
                <c:pt idx="0">
                  <c:v>-0.17856031478501661</c:v>
                </c:pt>
                <c:pt idx="1">
                  <c:v>-1.2886418968221373E-2</c:v>
                </c:pt>
                <c:pt idx="2">
                  <c:v>0.15366566500544407</c:v>
                </c:pt>
                <c:pt idx="3">
                  <c:v>0.3097456878535067</c:v>
                </c:pt>
                <c:pt idx="4">
                  <c:v>0.44471705395330458</c:v>
                </c:pt>
                <c:pt idx="5">
                  <c:v>0.54938168775586493</c:v>
                </c:pt>
                <c:pt idx="6">
                  <c:v>0.61660686743402904</c:v>
                </c:pt>
                <c:pt idx="7">
                  <c:v>0.64181130808759201</c:v>
                </c:pt>
                <c:pt idx="8">
                  <c:v>0.62327736873832118</c:v>
                </c:pt>
                <c:pt idx="9">
                  <c:v>0.56226810672408623</c:v>
                </c:pt>
                <c:pt idx="10">
                  <c:v>0.462941202428585</c:v>
                </c:pt>
                <c:pt idx="11">
                  <c:v>0.33206562023408531</c:v>
                </c:pt>
                <c:pt idx="12">
                  <c:v>0.17856031478501672</c:v>
                </c:pt>
                <c:pt idx="13">
                  <c:v>1.2886418968221307E-2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7-4870-98C3-654DD8DB6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33328"/>
        <c:axId val="433334312"/>
      </c:scatterChart>
      <c:valAx>
        <c:axId val="4333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4312"/>
        <c:crosses val="autoZero"/>
        <c:crossBetween val="midCat"/>
        <c:majorUnit val="0.1"/>
      </c:valAx>
      <c:valAx>
        <c:axId val="43333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Equatorial</a:t>
            </a:r>
          </a:p>
        </c:rich>
      </c:tx>
      <c:layout>
        <c:manualLayout>
          <c:xMode val="edge"/>
          <c:yMode val="edge"/>
          <c:x val="0.40393734011096716"/>
          <c:y val="1.7473531375520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1805001818523"/>
          <c:y val="0.11579143389199256"/>
          <c:w val="0.83923995247900329"/>
          <c:h val="0.8208938547486033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Equatorial!$A$5:$A$17</c:f>
              <c:numCache>
                <c:formatCode>0.0000000</c:formatCode>
                <c:ptCount val="13"/>
                <c:pt idx="0">
                  <c:v>-48.994370690218638</c:v>
                </c:pt>
                <c:pt idx="1">
                  <c:v>-48.704919921534277</c:v>
                </c:pt>
                <c:pt idx="2">
                  <c:v>-45.096309343819414</c:v>
                </c:pt>
                <c:pt idx="3">
                  <c:v>-38.414459804809546</c:v>
                </c:pt>
                <c:pt idx="4">
                  <c:v>-29.114728348768871</c:v>
                </c:pt>
                <c:pt idx="5">
                  <c:v>-17.830876236222082</c:v>
                </c:pt>
                <c:pt idx="6">
                  <c:v>-5.3318793732391407</c:v>
                </c:pt>
                <c:pt idx="7">
                  <c:v>7.5304762582371145</c:v>
                </c:pt>
                <c:pt idx="8">
                  <c:v>19.879642376632006</c:v>
                </c:pt>
                <c:pt idx="9">
                  <c:v>30.874043679240472</c:v>
                </c:pt>
                <c:pt idx="10">
                  <c:v>39.764429968764674</c:v>
                </c:pt>
                <c:pt idx="11">
                  <c:v>45.944936065610918</c:v>
                </c:pt>
                <c:pt idx="12">
                  <c:v>48.994370692405809</c:v>
                </c:pt>
              </c:numCache>
            </c:numRef>
          </c:xVal>
          <c:yVal>
            <c:numRef>
              <c:f>Equatorial!$B$5:$B$17</c:f>
              <c:numCache>
                <c:formatCode>0.0000000</c:formatCode>
                <c:ptCount val="13"/>
                <c:pt idx="0">
                  <c:v>5.3318793832880571</c:v>
                </c:pt>
                <c:pt idx="1">
                  <c:v>-7.5304762482475649</c:v>
                </c:pt>
                <c:pt idx="2">
                  <c:v>-19.879642367382594</c:v>
                </c:pt>
                <c:pt idx="3">
                  <c:v>-30.874043709775997</c:v>
                </c:pt>
                <c:pt idx="4">
                  <c:v>-39.764429962793145</c:v>
                </c:pt>
                <c:pt idx="5">
                  <c:v>-45.944936061953747</c:v>
                </c:pt>
                <c:pt idx="6">
                  <c:v>-48.99437069131222</c:v>
                </c:pt>
                <c:pt idx="7">
                  <c:v>-48.704919919989749</c:v>
                </c:pt>
                <c:pt idx="8">
                  <c:v>-45.096309339742028</c:v>
                </c:pt>
                <c:pt idx="9">
                  <c:v>-38.414459829351216</c:v>
                </c:pt>
                <c:pt idx="10">
                  <c:v>-29.114728340613055</c:v>
                </c:pt>
                <c:pt idx="11">
                  <c:v>-17.830876226798622</c:v>
                </c:pt>
                <c:pt idx="12">
                  <c:v>-5.3318793631902306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3-42FF-96EA-B9A3458015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Equatorial!$C$5:$C$17</c:f>
              <c:numCache>
                <c:formatCode>0.0000000</c:formatCode>
                <c:ptCount val="13"/>
                <c:pt idx="0">
                  <c:v>-22.929068738778742</c:v>
                </c:pt>
                <c:pt idx="1">
                  <c:v>-22.79360753215116</c:v>
                </c:pt>
                <c:pt idx="2">
                  <c:v>-21.104799638055134</c:v>
                </c:pt>
                <c:pt idx="3">
                  <c:v>-17.977734523761885</c:v>
                </c:pt>
                <c:pt idx="4">
                  <c:v>-13.625516528025692</c:v>
                </c:pt>
                <c:pt idx="5">
                  <c:v>-8.3447420822697804</c:v>
                </c:pt>
                <c:pt idx="6">
                  <c:v>-2.4952872530779149</c:v>
                </c:pt>
                <c:pt idx="7">
                  <c:v>3.5242172790134805</c:v>
                </c:pt>
                <c:pt idx="8">
                  <c:v>9.303552227218125</c:v>
                </c:pt>
                <c:pt idx="9">
                  <c:v>14.448865447039854</c:v>
                </c:pt>
                <c:pt idx="10">
                  <c:v>18.609512384127534</c:v>
                </c:pt>
                <c:pt idx="11">
                  <c:v>21.501951803975427</c:v>
                </c:pt>
                <c:pt idx="12">
                  <c:v>22.929068739802325</c:v>
                </c:pt>
              </c:numCache>
            </c:numRef>
          </c:xVal>
          <c:yVal>
            <c:numRef>
              <c:f>Equatorial!$D$5:$D$17</c:f>
              <c:numCache>
                <c:formatCode>0.0000000</c:formatCode>
                <c:ptCount val="13"/>
                <c:pt idx="0">
                  <c:v>2.4952872577807472</c:v>
                </c:pt>
                <c:pt idx="1">
                  <c:v>-3.5242172743384317</c:v>
                </c:pt>
                <c:pt idx="2">
                  <c:v>-9.3035522228894578</c:v>
                </c:pt>
                <c:pt idx="3">
                  <c:v>-14.448865461330293</c:v>
                </c:pt>
                <c:pt idx="4">
                  <c:v>-18.609512381332891</c:v>
                </c:pt>
                <c:pt idx="5">
                  <c:v>-21.501951802263889</c:v>
                </c:pt>
                <c:pt idx="6">
                  <c:v>-22.929068739290532</c:v>
                </c:pt>
                <c:pt idx="7">
                  <c:v>-22.793607531428332</c:v>
                </c:pt>
                <c:pt idx="8">
                  <c:v>-21.104799636146943</c:v>
                </c:pt>
                <c:pt idx="9">
                  <c:v>-17.977734535247244</c:v>
                </c:pt>
                <c:pt idx="10">
                  <c:v>-13.62551652420882</c:v>
                </c:pt>
                <c:pt idx="11">
                  <c:v>-8.3447420778596584</c:v>
                </c:pt>
                <c:pt idx="12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3-42FF-96EA-B9A3458015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Equatorial!$E$5:$E$17</c:f>
              <c:numCache>
                <c:formatCode>0.0000000</c:formatCode>
                <c:ptCount val="13"/>
                <c:pt idx="0">
                  <c:v>48.994370690218638</c:v>
                </c:pt>
                <c:pt idx="1">
                  <c:v>48.704919921534277</c:v>
                </c:pt>
                <c:pt idx="2">
                  <c:v>45.096309343819414</c:v>
                </c:pt>
                <c:pt idx="3">
                  <c:v>38.414459804809546</c:v>
                </c:pt>
                <c:pt idx="4">
                  <c:v>29.114728348768871</c:v>
                </c:pt>
                <c:pt idx="5">
                  <c:v>17.830876236222082</c:v>
                </c:pt>
                <c:pt idx="6">
                  <c:v>5.3318793732391407</c:v>
                </c:pt>
                <c:pt idx="7">
                  <c:v>-7.5304762582371145</c:v>
                </c:pt>
                <c:pt idx="8">
                  <c:v>-19.879642376632006</c:v>
                </c:pt>
                <c:pt idx="9">
                  <c:v>-30.874043679240472</c:v>
                </c:pt>
                <c:pt idx="10">
                  <c:v>-39.764429968764674</c:v>
                </c:pt>
                <c:pt idx="11">
                  <c:v>-45.944936065610918</c:v>
                </c:pt>
                <c:pt idx="12">
                  <c:v>-48.994370692405809</c:v>
                </c:pt>
              </c:numCache>
            </c:numRef>
          </c:xVal>
          <c:yVal>
            <c:numRef>
              <c:f>Equatorial!$F$5:$F$17</c:f>
              <c:numCache>
                <c:formatCode>0.0000000</c:formatCode>
                <c:ptCount val="13"/>
                <c:pt idx="0">
                  <c:v>-5.3318793832880571</c:v>
                </c:pt>
                <c:pt idx="1">
                  <c:v>7.5304762482475649</c:v>
                </c:pt>
                <c:pt idx="2">
                  <c:v>19.879642367382594</c:v>
                </c:pt>
                <c:pt idx="3">
                  <c:v>30.874043709775997</c:v>
                </c:pt>
                <c:pt idx="4">
                  <c:v>39.764429962793145</c:v>
                </c:pt>
                <c:pt idx="5">
                  <c:v>45.944936061953747</c:v>
                </c:pt>
                <c:pt idx="6">
                  <c:v>48.99437069131222</c:v>
                </c:pt>
                <c:pt idx="7">
                  <c:v>48.704919919989749</c:v>
                </c:pt>
                <c:pt idx="8">
                  <c:v>45.096309339742028</c:v>
                </c:pt>
                <c:pt idx="9">
                  <c:v>38.414459829351216</c:v>
                </c:pt>
                <c:pt idx="10">
                  <c:v>29.114728340613055</c:v>
                </c:pt>
                <c:pt idx="11">
                  <c:v>17.830876226798622</c:v>
                </c:pt>
                <c:pt idx="12">
                  <c:v>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3-42FF-96EA-B9A3458015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Equatorial!$G$5:$G$17</c:f>
              <c:numCache>
                <c:formatCode>0.0000000</c:formatCode>
                <c:ptCount val="13"/>
                <c:pt idx="0">
                  <c:v>22.929068738778742</c:v>
                </c:pt>
                <c:pt idx="1">
                  <c:v>22.79360753215116</c:v>
                </c:pt>
                <c:pt idx="2">
                  <c:v>21.104799638055134</c:v>
                </c:pt>
                <c:pt idx="3">
                  <c:v>17.977734523761885</c:v>
                </c:pt>
                <c:pt idx="4">
                  <c:v>13.625516528025692</c:v>
                </c:pt>
                <c:pt idx="5">
                  <c:v>8.3447420822697804</c:v>
                </c:pt>
                <c:pt idx="6">
                  <c:v>2.4952872530779149</c:v>
                </c:pt>
                <c:pt idx="7">
                  <c:v>-3.5242172790134805</c:v>
                </c:pt>
                <c:pt idx="8">
                  <c:v>-9.303552227218125</c:v>
                </c:pt>
                <c:pt idx="9">
                  <c:v>-14.448865447039854</c:v>
                </c:pt>
                <c:pt idx="10">
                  <c:v>-18.609512384127534</c:v>
                </c:pt>
                <c:pt idx="11">
                  <c:v>-21.501951803975427</c:v>
                </c:pt>
                <c:pt idx="12">
                  <c:v>-22.929068739802325</c:v>
                </c:pt>
              </c:numCache>
            </c:numRef>
          </c:xVal>
          <c:yVal>
            <c:numRef>
              <c:f>Equatorial!$H$5:$H$17</c:f>
              <c:numCache>
                <c:formatCode>0.0000000</c:formatCode>
                <c:ptCount val="13"/>
                <c:pt idx="0">
                  <c:v>-2.4952872577807472</c:v>
                </c:pt>
                <c:pt idx="1">
                  <c:v>3.5242172743384317</c:v>
                </c:pt>
                <c:pt idx="2">
                  <c:v>9.3035522228894578</c:v>
                </c:pt>
                <c:pt idx="3">
                  <c:v>14.448865461330293</c:v>
                </c:pt>
                <c:pt idx="4">
                  <c:v>18.609512381332891</c:v>
                </c:pt>
                <c:pt idx="5">
                  <c:v>21.501951802263889</c:v>
                </c:pt>
                <c:pt idx="6">
                  <c:v>22.929068739290532</c:v>
                </c:pt>
                <c:pt idx="7">
                  <c:v>22.793607531428332</c:v>
                </c:pt>
                <c:pt idx="8">
                  <c:v>21.104799636146943</c:v>
                </c:pt>
                <c:pt idx="9">
                  <c:v>17.977734535247244</c:v>
                </c:pt>
                <c:pt idx="10">
                  <c:v>13.62551652420882</c:v>
                </c:pt>
                <c:pt idx="11">
                  <c:v>8.3447420778596584</c:v>
                </c:pt>
                <c:pt idx="12">
                  <c:v>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3-42FF-96EA-B9A3458015E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Equatorial!$A$19:$A$20</c:f>
              <c:numCache>
                <c:formatCode>0.0000000</c:formatCode>
                <c:ptCount val="2"/>
                <c:pt idx="0">
                  <c:v>-48.994370690218638</c:v>
                </c:pt>
                <c:pt idx="1">
                  <c:v>-22.929068738778742</c:v>
                </c:pt>
              </c:numCache>
            </c:numRef>
          </c:xVal>
          <c:yVal>
            <c:numRef>
              <c:f>Equatorial!$B$19:$B$20</c:f>
              <c:numCache>
                <c:formatCode>0.0000000</c:formatCode>
                <c:ptCount val="2"/>
                <c:pt idx="0">
                  <c:v>5.3318793832880571</c:v>
                </c:pt>
                <c:pt idx="1">
                  <c:v>2.4952872577807472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3-42FF-96EA-B9A3458015E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Equatorial!$C$19:$C$20</c:f>
              <c:numCache>
                <c:formatCode>0.0000000</c:formatCode>
                <c:ptCount val="2"/>
                <c:pt idx="0">
                  <c:v>-48.704919921534277</c:v>
                </c:pt>
                <c:pt idx="1">
                  <c:v>-22.79360753215116</c:v>
                </c:pt>
              </c:numCache>
            </c:numRef>
          </c:xVal>
          <c:yVal>
            <c:numRef>
              <c:f>Equatorial!$D$19:$D$20</c:f>
              <c:numCache>
                <c:formatCode>0.0000000</c:formatCode>
                <c:ptCount val="2"/>
                <c:pt idx="0">
                  <c:v>-7.5304762482475649</c:v>
                </c:pt>
                <c:pt idx="1">
                  <c:v>-3.5242172743384317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03-42FF-96EA-B9A3458015E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Equatorial!$C$21:$C$22</c:f>
              <c:numCache>
                <c:formatCode>0.0000000</c:formatCode>
                <c:ptCount val="2"/>
                <c:pt idx="0">
                  <c:v>48.704919921534277</c:v>
                </c:pt>
                <c:pt idx="1">
                  <c:v>22.79360753215116</c:v>
                </c:pt>
              </c:numCache>
            </c:numRef>
          </c:xVal>
          <c:yVal>
            <c:numRef>
              <c:f>Equatorial!$D$21:$D$22</c:f>
              <c:numCache>
                <c:formatCode>0.0000000</c:formatCode>
                <c:ptCount val="2"/>
                <c:pt idx="0">
                  <c:v>7.5304762482475649</c:v>
                </c:pt>
                <c:pt idx="1">
                  <c:v>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03-42FF-96EA-B9A3458015E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Equatorial!$E$19:$E$20</c:f>
              <c:numCache>
                <c:formatCode>0.0000000</c:formatCode>
                <c:ptCount val="2"/>
                <c:pt idx="0">
                  <c:v>-45.096309343819414</c:v>
                </c:pt>
                <c:pt idx="1">
                  <c:v>-21.104799638055134</c:v>
                </c:pt>
              </c:numCache>
            </c:numRef>
          </c:xVal>
          <c:yVal>
            <c:numRef>
              <c:f>Equatorial!$F$19:$F$20</c:f>
              <c:numCache>
                <c:formatCode>0.0000000</c:formatCode>
                <c:ptCount val="2"/>
                <c:pt idx="0">
                  <c:v>-19.879642367382594</c:v>
                </c:pt>
                <c:pt idx="1">
                  <c:v>-9.3035522228894578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3-42FF-96EA-B9A3458015E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Equatorial!$E$21:$E$22</c:f>
              <c:numCache>
                <c:formatCode>0.0000000</c:formatCode>
                <c:ptCount val="2"/>
                <c:pt idx="0">
                  <c:v>45.096309343819414</c:v>
                </c:pt>
                <c:pt idx="1">
                  <c:v>21.104799638055134</c:v>
                </c:pt>
              </c:numCache>
            </c:numRef>
          </c:xVal>
          <c:yVal>
            <c:numRef>
              <c:f>Equatorial!$F$21:$F$22</c:f>
              <c:numCache>
                <c:formatCode>0.0000000</c:formatCode>
                <c:ptCount val="2"/>
                <c:pt idx="0">
                  <c:v>19.879642367382594</c:v>
                </c:pt>
                <c:pt idx="1">
                  <c:v>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03-42FF-96EA-B9A3458015E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Equatorial!$G$19:$G$20</c:f>
              <c:numCache>
                <c:formatCode>0.0000000</c:formatCode>
                <c:ptCount val="2"/>
                <c:pt idx="0">
                  <c:v>-38.414459804809546</c:v>
                </c:pt>
                <c:pt idx="1">
                  <c:v>-17.977734523761885</c:v>
                </c:pt>
              </c:numCache>
            </c:numRef>
          </c:xVal>
          <c:yVal>
            <c:numRef>
              <c:f>Equatorial!$H$19:$H$20</c:f>
              <c:numCache>
                <c:formatCode>0.0000000</c:formatCode>
                <c:ptCount val="2"/>
                <c:pt idx="0">
                  <c:v>-30.874043709775997</c:v>
                </c:pt>
                <c:pt idx="1">
                  <c:v>-14.448865461330293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03-42FF-96EA-B9A3458015E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Equatorial!$G$21:$G$22</c:f>
              <c:numCache>
                <c:formatCode>0.0000000</c:formatCode>
                <c:ptCount val="2"/>
                <c:pt idx="0">
                  <c:v>38.414459804809546</c:v>
                </c:pt>
                <c:pt idx="1">
                  <c:v>17.977734523761885</c:v>
                </c:pt>
              </c:numCache>
            </c:numRef>
          </c:xVal>
          <c:yVal>
            <c:numRef>
              <c:f>Equatorial!$H$21:$H$22</c:f>
              <c:numCache>
                <c:formatCode>0.0000000</c:formatCode>
                <c:ptCount val="2"/>
                <c:pt idx="0">
                  <c:v>30.874043709775997</c:v>
                </c:pt>
                <c:pt idx="1">
                  <c:v>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03-42FF-96EA-B9A3458015E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Equatorial!$I$19:$I$20</c:f>
              <c:numCache>
                <c:formatCode>0.0000000</c:formatCode>
                <c:ptCount val="2"/>
                <c:pt idx="0">
                  <c:v>-29.114728348768871</c:v>
                </c:pt>
                <c:pt idx="1">
                  <c:v>-13.625516528025692</c:v>
                </c:pt>
              </c:numCache>
            </c:numRef>
          </c:xVal>
          <c:yVal>
            <c:numRef>
              <c:f>Equatorial!$J$19:$J$20</c:f>
              <c:numCache>
                <c:formatCode>0.0000000</c:formatCode>
                <c:ptCount val="2"/>
                <c:pt idx="0">
                  <c:v>-39.764429962793145</c:v>
                </c:pt>
                <c:pt idx="1">
                  <c:v>-18.609512381332891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03-42FF-96EA-B9A3458015E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Equatorial!$I$21:$I$22</c:f>
              <c:numCache>
                <c:formatCode>0.0000000</c:formatCode>
                <c:ptCount val="2"/>
                <c:pt idx="0">
                  <c:v>29.114728348768871</c:v>
                </c:pt>
                <c:pt idx="1">
                  <c:v>13.625516528025692</c:v>
                </c:pt>
              </c:numCache>
            </c:numRef>
          </c:xVal>
          <c:yVal>
            <c:numRef>
              <c:f>Equatorial!$J$21:$J$22</c:f>
              <c:numCache>
                <c:formatCode>0.0000000</c:formatCode>
                <c:ptCount val="2"/>
                <c:pt idx="0">
                  <c:v>39.764429962793145</c:v>
                </c:pt>
                <c:pt idx="1">
                  <c:v>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03-42FF-96EA-B9A3458015E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Equatorial!$K$19:$K$20</c:f>
              <c:numCache>
                <c:formatCode>0.0000000</c:formatCode>
                <c:ptCount val="2"/>
                <c:pt idx="0">
                  <c:v>-17.830876236222082</c:v>
                </c:pt>
                <c:pt idx="1">
                  <c:v>-8.3447420822697804</c:v>
                </c:pt>
              </c:numCache>
            </c:numRef>
          </c:xVal>
          <c:yVal>
            <c:numRef>
              <c:f>Equatorial!$L$19:$L$20</c:f>
              <c:numCache>
                <c:formatCode>0.0000000</c:formatCode>
                <c:ptCount val="2"/>
                <c:pt idx="0">
                  <c:v>-45.944936061953747</c:v>
                </c:pt>
                <c:pt idx="1">
                  <c:v>-21.501951802263889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703-42FF-96EA-B9A3458015E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Equatorial!$K$21:$K$22</c:f>
              <c:numCache>
                <c:formatCode>0.0000000</c:formatCode>
                <c:ptCount val="2"/>
                <c:pt idx="0">
                  <c:v>17.830876236222082</c:v>
                </c:pt>
                <c:pt idx="1">
                  <c:v>8.3447420822697804</c:v>
                </c:pt>
              </c:numCache>
            </c:numRef>
          </c:xVal>
          <c:yVal>
            <c:numRef>
              <c:f>Equatorial!$L$21:$L$22</c:f>
              <c:numCache>
                <c:formatCode>0.0000000</c:formatCode>
                <c:ptCount val="2"/>
                <c:pt idx="0">
                  <c:v>45.944936061953747</c:v>
                </c:pt>
                <c:pt idx="1">
                  <c:v>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703-42FF-96EA-B9A3458015E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Equatorial!$M$19:$M$20</c:f>
              <c:numCache>
                <c:formatCode>0.0000000</c:formatCode>
                <c:ptCount val="2"/>
                <c:pt idx="0">
                  <c:v>-5.3318793732391407</c:v>
                </c:pt>
                <c:pt idx="1">
                  <c:v>-2.4952872530779149</c:v>
                </c:pt>
              </c:numCache>
            </c:numRef>
          </c:xVal>
          <c:yVal>
            <c:numRef>
              <c:f>Equatorial!$N$19:$N$20</c:f>
              <c:numCache>
                <c:formatCode>0.0000000</c:formatCode>
                <c:ptCount val="2"/>
                <c:pt idx="0">
                  <c:v>-48.99437069131222</c:v>
                </c:pt>
                <c:pt idx="1">
                  <c:v>-22.929068739290532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703-42FF-96EA-B9A3458015E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Equatorial!$M$21:$M$22</c:f>
              <c:numCache>
                <c:formatCode>0.0000000</c:formatCode>
                <c:ptCount val="2"/>
                <c:pt idx="0">
                  <c:v>5.3318793732391407</c:v>
                </c:pt>
                <c:pt idx="1">
                  <c:v>2.4952872530779149</c:v>
                </c:pt>
              </c:numCache>
            </c:numRef>
          </c:xVal>
          <c:yVal>
            <c:numRef>
              <c:f>Equatorial!$N$21:$N$22</c:f>
              <c:numCache>
                <c:formatCode>0.0000000</c:formatCode>
                <c:ptCount val="2"/>
                <c:pt idx="0">
                  <c:v>48.99437069131222</c:v>
                </c:pt>
                <c:pt idx="1">
                  <c:v>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703-42FF-96EA-B9A3458015E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Equatorial!$O$19:$O$20</c:f>
              <c:numCache>
                <c:formatCode>0.0000000</c:formatCode>
                <c:ptCount val="2"/>
                <c:pt idx="0">
                  <c:v>7.5304762582371145</c:v>
                </c:pt>
                <c:pt idx="1">
                  <c:v>3.5242172790134805</c:v>
                </c:pt>
              </c:numCache>
            </c:numRef>
          </c:xVal>
          <c:yVal>
            <c:numRef>
              <c:f>Equatorial!$P$19:$P$20</c:f>
              <c:numCache>
                <c:formatCode>0.0000000</c:formatCode>
                <c:ptCount val="2"/>
                <c:pt idx="0">
                  <c:v>-48.704919919989749</c:v>
                </c:pt>
                <c:pt idx="1">
                  <c:v>-22.793607531428332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703-42FF-96EA-B9A3458015E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Equatorial!$O$21:$O$22</c:f>
              <c:numCache>
                <c:formatCode>0.0000000</c:formatCode>
                <c:ptCount val="2"/>
                <c:pt idx="0">
                  <c:v>-7.5304762582371145</c:v>
                </c:pt>
                <c:pt idx="1">
                  <c:v>-3.5242172790134805</c:v>
                </c:pt>
              </c:numCache>
            </c:numRef>
          </c:xVal>
          <c:yVal>
            <c:numRef>
              <c:f>Equatorial!$P$21:$P$22</c:f>
              <c:numCache>
                <c:formatCode>0.0000000</c:formatCode>
                <c:ptCount val="2"/>
                <c:pt idx="0">
                  <c:v>48.704919919989749</c:v>
                </c:pt>
                <c:pt idx="1">
                  <c:v>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703-42FF-96EA-B9A3458015E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Equatorial!$Q$19:$Q$20</c:f>
              <c:numCache>
                <c:formatCode>0.0000000</c:formatCode>
                <c:ptCount val="2"/>
                <c:pt idx="0">
                  <c:v>19.879642376632006</c:v>
                </c:pt>
                <c:pt idx="1">
                  <c:v>9.303552227218125</c:v>
                </c:pt>
              </c:numCache>
            </c:numRef>
          </c:xVal>
          <c:yVal>
            <c:numRef>
              <c:f>Equatorial!$R$19:$R$20</c:f>
              <c:numCache>
                <c:formatCode>0.0000000</c:formatCode>
                <c:ptCount val="2"/>
                <c:pt idx="0">
                  <c:v>-45.096309339742028</c:v>
                </c:pt>
                <c:pt idx="1">
                  <c:v>-21.104799636146943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703-42FF-96EA-B9A3458015E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Equatorial!$Q$21:$Q$22</c:f>
              <c:numCache>
                <c:formatCode>0.0000000</c:formatCode>
                <c:ptCount val="2"/>
                <c:pt idx="0">
                  <c:v>-19.879642376632006</c:v>
                </c:pt>
                <c:pt idx="1">
                  <c:v>-9.303552227218125</c:v>
                </c:pt>
              </c:numCache>
            </c:numRef>
          </c:xVal>
          <c:yVal>
            <c:numRef>
              <c:f>Equatorial!$R$21:$R$22</c:f>
              <c:numCache>
                <c:formatCode>0.0000000</c:formatCode>
                <c:ptCount val="2"/>
                <c:pt idx="0">
                  <c:v>45.096309339742028</c:v>
                </c:pt>
                <c:pt idx="1">
                  <c:v>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703-42FF-96EA-B9A3458015E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Equatorial!$S$19:$S$20</c:f>
              <c:numCache>
                <c:formatCode>0.0000000</c:formatCode>
                <c:ptCount val="2"/>
                <c:pt idx="0">
                  <c:v>30.874043679240472</c:v>
                </c:pt>
                <c:pt idx="1">
                  <c:v>14.448865447039854</c:v>
                </c:pt>
              </c:numCache>
            </c:numRef>
          </c:xVal>
          <c:yVal>
            <c:numRef>
              <c:f>Equatorial!$T$19:$T$20</c:f>
              <c:numCache>
                <c:formatCode>0.0000000</c:formatCode>
                <c:ptCount val="2"/>
                <c:pt idx="0">
                  <c:v>-38.414459829351216</c:v>
                </c:pt>
                <c:pt idx="1">
                  <c:v>-17.977734535247244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703-42FF-96EA-B9A3458015E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Equatorial!$S$21:$S$22</c:f>
              <c:numCache>
                <c:formatCode>0.0000000</c:formatCode>
                <c:ptCount val="2"/>
                <c:pt idx="0">
                  <c:v>-30.874043679240472</c:v>
                </c:pt>
                <c:pt idx="1">
                  <c:v>-14.448865447039854</c:v>
                </c:pt>
              </c:numCache>
            </c:numRef>
          </c:xVal>
          <c:yVal>
            <c:numRef>
              <c:f>Equatorial!$T$21:$T$22</c:f>
              <c:numCache>
                <c:formatCode>0.0000000</c:formatCode>
                <c:ptCount val="2"/>
                <c:pt idx="0">
                  <c:v>38.414459829351216</c:v>
                </c:pt>
                <c:pt idx="1">
                  <c:v>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703-42FF-96EA-B9A3458015E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Equatorial!$Y$19:$Y$20</c:f>
              <c:numCache>
                <c:formatCode>0.0000000</c:formatCode>
                <c:ptCount val="2"/>
                <c:pt idx="0">
                  <c:v>48.994370692405809</c:v>
                </c:pt>
                <c:pt idx="1">
                  <c:v>22.929068739802325</c:v>
                </c:pt>
              </c:numCache>
            </c:numRef>
          </c:xVal>
          <c:yVal>
            <c:numRef>
              <c:f>Equatorial!$Z$19:$Z$20</c:f>
              <c:numCache>
                <c:formatCode>0.0000000</c:formatCode>
                <c:ptCount val="2"/>
                <c:pt idx="0">
                  <c:v>-5.3318793631902306</c:v>
                </c:pt>
                <c:pt idx="1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703-42FF-96EA-B9A3458015E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Equatorial!$W$19:$W$20</c:f>
              <c:numCache>
                <c:formatCode>0.0000000</c:formatCode>
                <c:ptCount val="2"/>
                <c:pt idx="0">
                  <c:v>45.944936065610918</c:v>
                </c:pt>
                <c:pt idx="1">
                  <c:v>21.501951803975427</c:v>
                </c:pt>
              </c:numCache>
            </c:numRef>
          </c:xVal>
          <c:yVal>
            <c:numRef>
              <c:f>Equatorial!$X$19:$X$20</c:f>
              <c:numCache>
                <c:formatCode>0.0000000</c:formatCode>
                <c:ptCount val="2"/>
                <c:pt idx="0">
                  <c:v>-17.830876226798622</c:v>
                </c:pt>
                <c:pt idx="1">
                  <c:v>-8.3447420778596584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703-42FF-96EA-B9A3458015E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Equatorial!$U$19:$U$20</c:f>
              <c:numCache>
                <c:formatCode>0.0000000</c:formatCode>
                <c:ptCount val="2"/>
                <c:pt idx="0">
                  <c:v>39.764429968764674</c:v>
                </c:pt>
                <c:pt idx="1">
                  <c:v>18.609512384127534</c:v>
                </c:pt>
              </c:numCache>
            </c:numRef>
          </c:xVal>
          <c:yVal>
            <c:numRef>
              <c:f>Equatorial!$V$19:$V$20</c:f>
              <c:numCache>
                <c:formatCode>0.0000000</c:formatCode>
                <c:ptCount val="2"/>
                <c:pt idx="0">
                  <c:v>-29.114728340613055</c:v>
                </c:pt>
                <c:pt idx="1">
                  <c:v>-13.62551652420882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703-42FF-96EA-B9A3458015E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Equatorial!$W$21:$W$22</c:f>
              <c:numCache>
                <c:formatCode>0.0000000</c:formatCode>
                <c:ptCount val="2"/>
                <c:pt idx="0">
                  <c:v>-45.944936065610918</c:v>
                </c:pt>
                <c:pt idx="1">
                  <c:v>-21.501951803975427</c:v>
                </c:pt>
              </c:numCache>
            </c:numRef>
          </c:xVal>
          <c:yVal>
            <c:numRef>
              <c:f>Equatorial!$X$21:$X$22</c:f>
              <c:numCache>
                <c:formatCode>0.0000000</c:formatCode>
                <c:ptCount val="2"/>
                <c:pt idx="0">
                  <c:v>17.830876226798622</c:v>
                </c:pt>
                <c:pt idx="1">
                  <c:v>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03-42FF-96EA-B9A3458015E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Equatorial!$U$21:$U$22</c:f>
              <c:numCache>
                <c:formatCode>0.0000000</c:formatCode>
                <c:ptCount val="2"/>
                <c:pt idx="0">
                  <c:v>-39.764429968764674</c:v>
                </c:pt>
                <c:pt idx="1">
                  <c:v>-18.609512384127534</c:v>
                </c:pt>
              </c:numCache>
            </c:numRef>
          </c:xVal>
          <c:yVal>
            <c:numRef>
              <c:f>Equatorial!$V$21:$V$22</c:f>
              <c:numCache>
                <c:formatCode>0.0000000</c:formatCode>
                <c:ptCount val="2"/>
                <c:pt idx="0">
                  <c:v>29.114728340613055</c:v>
                </c:pt>
                <c:pt idx="1">
                  <c:v>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703-42FF-96EA-B9A34580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99976"/>
        <c:axId val="444012112"/>
      </c:scatterChart>
      <c:valAx>
        <c:axId val="44399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12112"/>
        <c:crosses val="autoZero"/>
        <c:crossBetween val="midCat"/>
      </c:valAx>
      <c:valAx>
        <c:axId val="4440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9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Polar!$C$20:$C$30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-24.657059320007669</c:v>
                </c:pt>
                <c:pt idx="2">
                  <c:v>-24.657059320007669</c:v>
                </c:pt>
                <c:pt idx="3">
                  <c:v>-24.657059320007669</c:v>
                </c:pt>
                <c:pt idx="4">
                  <c:v>-24.657059320007669</c:v>
                </c:pt>
                <c:pt idx="5">
                  <c:v>-24.657059320007669</c:v>
                </c:pt>
                <c:pt idx="6">
                  <c:v>-24.657059320007669</c:v>
                </c:pt>
                <c:pt idx="7">
                  <c:v>-24.657059320007669</c:v>
                </c:pt>
                <c:pt idx="8">
                  <c:v>-24.657059320007669</c:v>
                </c:pt>
                <c:pt idx="9">
                  <c:v>-24.657059320007669</c:v>
                </c:pt>
                <c:pt idx="10">
                  <c:v>-24.657059320007669</c:v>
                </c:pt>
              </c:numCache>
            </c:numRef>
          </c:xVal>
          <c:yVal>
            <c:numRef>
              <c:f>Polar!$D$20:$D$30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-2.6691704850704463</c:v>
                </c:pt>
                <c:pt idx="2">
                  <c:v>-5.437750794258787</c:v>
                </c:pt>
                <c:pt idx="3">
                  <c:v>-7.7707817417671139</c:v>
                </c:pt>
                <c:pt idx="4">
                  <c:v>-9.7917350632686855</c:v>
                </c:pt>
                <c:pt idx="5">
                  <c:v>5.2036376623360393E-2</c:v>
                </c:pt>
                <c:pt idx="6">
                  <c:v>2.5787168512148324</c:v>
                </c:pt>
                <c:pt idx="7">
                  <c:v>5.380715314512388</c:v>
                </c:pt>
                <c:pt idx="8">
                  <c:v>7.7810856557360895</c:v>
                </c:pt>
                <c:pt idx="9">
                  <c:v>9.7619888582259566</c:v>
                </c:pt>
                <c:pt idx="10">
                  <c:v>11.535718526807171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C-4A45-87E7-47A0374661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Polar!$E$20:$E$30</c:f>
              <c:numCache>
                <c:formatCode>General</c:formatCode>
                <c:ptCount val="11"/>
                <c:pt idx="0">
                  <c:v>-13.234046052435676</c:v>
                </c:pt>
                <c:pt idx="1">
                  <c:v>-13.234046052435676</c:v>
                </c:pt>
                <c:pt idx="2">
                  <c:v>-13.234046052435676</c:v>
                </c:pt>
                <c:pt idx="3">
                  <c:v>-13.234046052435676</c:v>
                </c:pt>
                <c:pt idx="4">
                  <c:v>-13.234046052435676</c:v>
                </c:pt>
                <c:pt idx="5">
                  <c:v>-13.234046052435676</c:v>
                </c:pt>
                <c:pt idx="6">
                  <c:v>-13.234046052435676</c:v>
                </c:pt>
                <c:pt idx="7">
                  <c:v>-13.234046052435676</c:v>
                </c:pt>
                <c:pt idx="8">
                  <c:v>-13.234046052435676</c:v>
                </c:pt>
                <c:pt idx="9">
                  <c:v>-13.234046052435676</c:v>
                </c:pt>
                <c:pt idx="10">
                  <c:v>-13.234046052435676</c:v>
                </c:pt>
              </c:numCache>
            </c:numRef>
          </c:xVal>
          <c:yVal>
            <c:numRef>
              <c:f>Polar!$F$20:$F$30</c:f>
              <c:numCache>
                <c:formatCode>General</c:formatCode>
                <c:ptCount val="11"/>
                <c:pt idx="0">
                  <c:v>-7.1907918837493465</c:v>
                </c:pt>
                <c:pt idx="1">
                  <c:v>-1.6639702485591783</c:v>
                </c:pt>
                <c:pt idx="2">
                  <c:v>-3.3899129303787636</c:v>
                </c:pt>
                <c:pt idx="3">
                  <c:v>-4.8443326114502883</c:v>
                </c:pt>
                <c:pt idx="4">
                  <c:v>-6.1042020051494745</c:v>
                </c:pt>
                <c:pt idx="5">
                  <c:v>3.2439659822555977E-2</c:v>
                </c:pt>
                <c:pt idx="6">
                  <c:v>1.6075811357424168</c:v>
                </c:pt>
                <c:pt idx="7">
                  <c:v>3.3543568121236187</c:v>
                </c:pt>
                <c:pt idx="8">
                  <c:v>4.8507561075828844</c:v>
                </c:pt>
                <c:pt idx="9">
                  <c:v>6.0856581165235912</c:v>
                </c:pt>
                <c:pt idx="10">
                  <c:v>7.1914074172948297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C-4A45-87E7-47A0374661F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Polar!$G$20:$G$30</c:f>
              <c:numCache>
                <c:formatCode>General</c:formatCode>
                <c:ptCount val="11"/>
                <c:pt idx="0">
                  <c:v>-7.7916090687395734</c:v>
                </c:pt>
                <c:pt idx="1">
                  <c:v>-7.7916090687395734</c:v>
                </c:pt>
                <c:pt idx="2">
                  <c:v>-7.7916090687395734</c:v>
                </c:pt>
                <c:pt idx="3">
                  <c:v>-7.7916090687395734</c:v>
                </c:pt>
                <c:pt idx="4">
                  <c:v>-7.7916090687395734</c:v>
                </c:pt>
                <c:pt idx="5">
                  <c:v>-7.7916090687395734</c:v>
                </c:pt>
                <c:pt idx="6">
                  <c:v>-7.7916090687395734</c:v>
                </c:pt>
                <c:pt idx="7">
                  <c:v>-7.7916090687395734</c:v>
                </c:pt>
                <c:pt idx="8">
                  <c:v>-7.7916090687395734</c:v>
                </c:pt>
                <c:pt idx="9">
                  <c:v>-7.7916090687395734</c:v>
                </c:pt>
                <c:pt idx="10">
                  <c:v>-7.7916090687395734</c:v>
                </c:pt>
              </c:numCache>
            </c:numRef>
          </c:xVal>
          <c:yVal>
            <c:numRef>
              <c:f>Polar!$H$20:$H$30</c:f>
              <c:numCache>
                <c:formatCode>General</c:formatCode>
                <c:ptCount val="11"/>
                <c:pt idx="0">
                  <c:v>-5.4956644050647636</c:v>
                </c:pt>
                <c:pt idx="1">
                  <c:v>-1.271712797968692</c:v>
                </c:pt>
                <c:pt idx="2">
                  <c:v>-2.5907889046063715</c:v>
                </c:pt>
                <c:pt idx="3">
                  <c:v>-3.7023497174500877</c:v>
                </c:pt>
                <c:pt idx="4">
                  <c:v>-4.6652227214137341</c:v>
                </c:pt>
                <c:pt idx="5">
                  <c:v>2.4792468852022295E-2</c:v>
                </c:pt>
                <c:pt idx="6">
                  <c:v>1.2286166209202922</c:v>
                </c:pt>
                <c:pt idx="7">
                  <c:v>2.5636146383174703</c:v>
                </c:pt>
                <c:pt idx="8">
                  <c:v>3.7072589652245584</c:v>
                </c:pt>
                <c:pt idx="9">
                  <c:v>4.6510502922431645</c:v>
                </c:pt>
                <c:pt idx="10">
                  <c:v>5.4961348352831205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C-4A45-87E7-47A0374661F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Polar!$I$20:$I$30</c:f>
              <c:numCache>
                <c:formatCode>General</c:formatCode>
                <c:ptCount val="11"/>
                <c:pt idx="0">
                  <c:v>-4.2291699364649054</c:v>
                </c:pt>
                <c:pt idx="1">
                  <c:v>-4.2291699364649054</c:v>
                </c:pt>
                <c:pt idx="2">
                  <c:v>-4.2291699364649054</c:v>
                </c:pt>
                <c:pt idx="3">
                  <c:v>-4.2291699364649054</c:v>
                </c:pt>
                <c:pt idx="4">
                  <c:v>-4.2291699364649054</c:v>
                </c:pt>
                <c:pt idx="5">
                  <c:v>-4.2291699364649054</c:v>
                </c:pt>
                <c:pt idx="6">
                  <c:v>-4.2291699364649054</c:v>
                </c:pt>
                <c:pt idx="7">
                  <c:v>-4.2291699364649054</c:v>
                </c:pt>
                <c:pt idx="8">
                  <c:v>-4.2291699364649054</c:v>
                </c:pt>
                <c:pt idx="9">
                  <c:v>-4.2291699364649054</c:v>
                </c:pt>
                <c:pt idx="10">
                  <c:v>-4.2291699364649054</c:v>
                </c:pt>
              </c:numCache>
            </c:numRef>
          </c:xVal>
          <c:yVal>
            <c:numRef>
              <c:f>Polar!$J$20:$J$30</c:f>
              <c:numCache>
                <c:formatCode>General</c:formatCode>
                <c:ptCount val="11"/>
                <c:pt idx="0">
                  <c:v>-4.7068544056743109</c:v>
                </c:pt>
                <c:pt idx="1">
                  <c:v>-1.0891798597372329</c:v>
                </c:pt>
                <c:pt idx="2">
                  <c:v>-2.2189248234627086</c:v>
                </c:pt>
                <c:pt idx="3">
                  <c:v>-3.1709398162789793</c:v>
                </c:pt>
                <c:pt idx="4">
                  <c:v>-3.9956086291406954</c:v>
                </c:pt>
                <c:pt idx="5">
                  <c:v>2.1233927809736607E-2</c:v>
                </c:pt>
                <c:pt idx="6">
                  <c:v>1.0522694125452541</c:v>
                </c:pt>
                <c:pt idx="7">
                  <c:v>2.195650965094464</c:v>
                </c:pt>
                <c:pt idx="8">
                  <c:v>3.1751444242776992</c:v>
                </c:pt>
                <c:pt idx="9">
                  <c:v>3.9834704133102075</c:v>
                </c:pt>
                <c:pt idx="10">
                  <c:v>4.7072573135636278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DC-4A45-87E7-47A0374661F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Polar!$K$20:$K$30</c:f>
              <c:numCache>
                <c:formatCode>General</c:formatCode>
                <c:ptCount val="11"/>
                <c:pt idx="0">
                  <c:v>-1.3919426924394402</c:v>
                </c:pt>
                <c:pt idx="1">
                  <c:v>-1.3919426924394402</c:v>
                </c:pt>
                <c:pt idx="2">
                  <c:v>-1.3919426924394402</c:v>
                </c:pt>
                <c:pt idx="3">
                  <c:v>-1.3919426924394402</c:v>
                </c:pt>
                <c:pt idx="4">
                  <c:v>-1.3919426924394402</c:v>
                </c:pt>
                <c:pt idx="5">
                  <c:v>-1.3919426924394402</c:v>
                </c:pt>
                <c:pt idx="6">
                  <c:v>-1.3919426924394402</c:v>
                </c:pt>
                <c:pt idx="7">
                  <c:v>-1.3919426924394402</c:v>
                </c:pt>
                <c:pt idx="8">
                  <c:v>-1.3919426924394402</c:v>
                </c:pt>
                <c:pt idx="9">
                  <c:v>-1.3919426924394402</c:v>
                </c:pt>
                <c:pt idx="10">
                  <c:v>-1.3919426924394402</c:v>
                </c:pt>
              </c:numCache>
            </c:numRef>
          </c:xVal>
          <c:yVal>
            <c:numRef>
              <c:f>Polar!$L$20:$L$30</c:f>
              <c:numCache>
                <c:formatCode>General</c:formatCode>
                <c:ptCount val="11"/>
                <c:pt idx="0">
                  <c:v>-4.3769024920638921</c:v>
                </c:pt>
                <c:pt idx="1">
                  <c:v>-1.0128280230301141</c:v>
                </c:pt>
                <c:pt idx="2">
                  <c:v>-2.063377524022862</c:v>
                </c:pt>
                <c:pt idx="3">
                  <c:v>-2.9486559786774991</c:v>
                </c:pt>
                <c:pt idx="4">
                  <c:v>-3.7155152590050187</c:v>
                </c:pt>
                <c:pt idx="5">
                  <c:v>1.9745423065285227E-2</c:v>
                </c:pt>
                <c:pt idx="6">
                  <c:v>0.97850500931993745</c:v>
                </c:pt>
                <c:pt idx="7">
                  <c:v>2.0417351701465436</c:v>
                </c:pt>
                <c:pt idx="8">
                  <c:v>2.9525658423872332</c:v>
                </c:pt>
                <c:pt idx="9">
                  <c:v>3.7042279357656116</c:v>
                </c:pt>
                <c:pt idx="10">
                  <c:v>4.3772771559886339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DC-4A45-87E7-47A0374661F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Polar!$M$20:$M$30</c:f>
              <c:numCache>
                <c:formatCode>General</c:formatCode>
                <c:ptCount val="11"/>
                <c:pt idx="0">
                  <c:v>1.2412541864807753</c:v>
                </c:pt>
                <c:pt idx="1">
                  <c:v>1.2412541864807753</c:v>
                </c:pt>
                <c:pt idx="2">
                  <c:v>1.2412541864807753</c:v>
                </c:pt>
                <c:pt idx="3">
                  <c:v>1.2412541864807753</c:v>
                </c:pt>
                <c:pt idx="4">
                  <c:v>1.2412541864807753</c:v>
                </c:pt>
                <c:pt idx="5">
                  <c:v>1.2412541864807753</c:v>
                </c:pt>
                <c:pt idx="6">
                  <c:v>1.2412541864807753</c:v>
                </c:pt>
                <c:pt idx="7">
                  <c:v>1.2412541864807753</c:v>
                </c:pt>
                <c:pt idx="8">
                  <c:v>1.2412541864807753</c:v>
                </c:pt>
                <c:pt idx="9">
                  <c:v>1.2412541864807753</c:v>
                </c:pt>
                <c:pt idx="10">
                  <c:v>1.2412541864807753</c:v>
                </c:pt>
              </c:numCache>
            </c:numRef>
          </c:xVal>
          <c:yVal>
            <c:numRef>
              <c:f>Polar!$N$20:$N$30</c:f>
              <c:numCache>
                <c:formatCode>General</c:formatCode>
                <c:ptCount val="11"/>
                <c:pt idx="0">
                  <c:v>-4.3683756232964681</c:v>
                </c:pt>
                <c:pt idx="1">
                  <c:v>-1.0108548806875544</c:v>
                </c:pt>
                <c:pt idx="2">
                  <c:v>-2.0593577521872102</c:v>
                </c:pt>
                <c:pt idx="3">
                  <c:v>-2.9429115503709395</c:v>
                </c:pt>
                <c:pt idx="4">
                  <c:v>-3.7082768727091531</c:v>
                </c:pt>
                <c:pt idx="5">
                  <c:v>1.9706955991472132E-2</c:v>
                </c:pt>
                <c:pt idx="6">
                  <c:v>0.97659873340498027</c:v>
                </c:pt>
                <c:pt idx="7">
                  <c:v>2.0377575608931413</c:v>
                </c:pt>
                <c:pt idx="8">
                  <c:v>2.9468137970741695</c:v>
                </c:pt>
                <c:pt idx="9">
                  <c:v>3.6970115388844458</c:v>
                </c:pt>
                <c:pt idx="10">
                  <c:v>4.3687495573191573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DC-4A45-87E7-47A0374661F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Polar!$O$20:$O$30</c:f>
              <c:numCache>
                <c:formatCode>General</c:formatCode>
                <c:ptCount val="11"/>
                <c:pt idx="0">
                  <c:v>4.0556336731423182</c:v>
                </c:pt>
                <c:pt idx="1">
                  <c:v>4.0556336731423182</c:v>
                </c:pt>
                <c:pt idx="2">
                  <c:v>4.0556336731423182</c:v>
                </c:pt>
                <c:pt idx="3">
                  <c:v>4.0556336731423182</c:v>
                </c:pt>
                <c:pt idx="4">
                  <c:v>4.0556336731423182</c:v>
                </c:pt>
                <c:pt idx="5">
                  <c:v>4.0556336731423182</c:v>
                </c:pt>
                <c:pt idx="6">
                  <c:v>4.0556336731423182</c:v>
                </c:pt>
                <c:pt idx="7">
                  <c:v>4.0556336731423182</c:v>
                </c:pt>
                <c:pt idx="8">
                  <c:v>4.0556336731423182</c:v>
                </c:pt>
                <c:pt idx="9">
                  <c:v>4.0556336731423182</c:v>
                </c:pt>
                <c:pt idx="10">
                  <c:v>4.0556336731423182</c:v>
                </c:pt>
              </c:numCache>
            </c:numRef>
          </c:xVal>
          <c:yVal>
            <c:numRef>
              <c:f>Polar!$P$20:$P$30</c:f>
              <c:numCache>
                <c:formatCode>General</c:formatCode>
                <c:ptCount val="11"/>
                <c:pt idx="0">
                  <c:v>-4.6780644042969186</c:v>
                </c:pt>
                <c:pt idx="1">
                  <c:v>-1.0825177693134755</c:v>
                </c:pt>
                <c:pt idx="2">
                  <c:v>-2.2053525216199308</c:v>
                </c:pt>
                <c:pt idx="3">
                  <c:v>-3.1515444082612074</c:v>
                </c:pt>
                <c:pt idx="4">
                  <c:v>-3.9711690420997616</c:v>
                </c:pt>
                <c:pt idx="5">
                  <c:v>2.1104048115528774E-2</c:v>
                </c:pt>
                <c:pt idx="6">
                  <c:v>1.0458330889997365</c:v>
                </c:pt>
                <c:pt idx="7">
                  <c:v>2.1822210204092967</c:v>
                </c:pt>
                <c:pt idx="8">
                  <c:v>3.1557232983048684</c:v>
                </c:pt>
                <c:pt idx="9">
                  <c:v>3.9591050710239144</c:v>
                </c:pt>
                <c:pt idx="10">
                  <c:v>4.6784648477550697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DC-4A45-87E7-47A0374661F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Polar!$Q$20:$Q$30</c:f>
              <c:numCache>
                <c:formatCode>General</c:formatCode>
                <c:ptCount val="11"/>
                <c:pt idx="0">
                  <c:v>7.5562681017145934</c:v>
                </c:pt>
                <c:pt idx="1">
                  <c:v>7.5562681017145934</c:v>
                </c:pt>
                <c:pt idx="2">
                  <c:v>7.5562681017145934</c:v>
                </c:pt>
                <c:pt idx="3">
                  <c:v>7.5562681017145934</c:v>
                </c:pt>
                <c:pt idx="4">
                  <c:v>7.5562681017145934</c:v>
                </c:pt>
                <c:pt idx="5">
                  <c:v>7.5562681017145934</c:v>
                </c:pt>
                <c:pt idx="6">
                  <c:v>7.5562681017145934</c:v>
                </c:pt>
                <c:pt idx="7">
                  <c:v>7.5562681017145934</c:v>
                </c:pt>
                <c:pt idx="8">
                  <c:v>7.5562681017145934</c:v>
                </c:pt>
                <c:pt idx="9">
                  <c:v>7.5562681017145934</c:v>
                </c:pt>
                <c:pt idx="10">
                  <c:v>7.5562681017145934</c:v>
                </c:pt>
              </c:numCache>
            </c:numRef>
          </c:xVal>
          <c:yVal>
            <c:numRef>
              <c:f>Polar!$R$20:$R$30</c:f>
              <c:numCache>
                <c:formatCode>General</c:formatCode>
                <c:ptCount val="11"/>
                <c:pt idx="0">
                  <c:v>-5.4335551322494826</c:v>
                </c:pt>
                <c:pt idx="1">
                  <c:v>-1.2573405307976961</c:v>
                </c:pt>
                <c:pt idx="2">
                  <c:v>-2.5615090936458067</c:v>
                </c:pt>
                <c:pt idx="3">
                  <c:v>-3.6605075976061676</c:v>
                </c:pt>
                <c:pt idx="4">
                  <c:v>-4.612498688541331</c:v>
                </c:pt>
                <c:pt idx="5">
                  <c:v>2.4512276668111736E-2</c:v>
                </c:pt>
                <c:pt idx="6">
                  <c:v>1.2147314053631337</c:v>
                </c:pt>
                <c:pt idx="7">
                  <c:v>2.5346419374338849</c:v>
                </c:pt>
                <c:pt idx="8">
                  <c:v>3.6653613634976727</c:v>
                </c:pt>
                <c:pt idx="9">
                  <c:v>4.5984864291345833</c:v>
                </c:pt>
                <c:pt idx="10">
                  <c:v>5.4340202458988829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DC-4A45-87E7-47A0374661F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DC-4A45-87E7-47A0374661F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DC-4A45-87E7-47A0374661F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DC-4A45-87E7-47A0374661F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Polar!$C$7:$C$17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Polar!$D$7:$D$17</c:f>
              <c:numCache>
                <c:formatCode>General</c:formatCode>
                <c:ptCount val="11"/>
                <c:pt idx="0">
                  <c:v>-2.6691704850704463</c:v>
                </c:pt>
                <c:pt idx="1">
                  <c:v>-1.6639702485591783</c:v>
                </c:pt>
                <c:pt idx="2">
                  <c:v>-1.271712797968692</c:v>
                </c:pt>
                <c:pt idx="3">
                  <c:v>-1.0891798597372329</c:v>
                </c:pt>
                <c:pt idx="4">
                  <c:v>-1.0128280230301141</c:v>
                </c:pt>
                <c:pt idx="5">
                  <c:v>-1.0108548806875544</c:v>
                </c:pt>
                <c:pt idx="6">
                  <c:v>-1.0825177693134755</c:v>
                </c:pt>
                <c:pt idx="7">
                  <c:v>-1.2573405307976961</c:v>
                </c:pt>
                <c:pt idx="8">
                  <c:v>-1.632156831088315</c:v>
                </c:pt>
                <c:pt idx="9">
                  <c:v>-2.5753986636344144</c:v>
                </c:pt>
                <c:pt idx="10">
                  <c:v>-7.2763629567787405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DC-4A45-87E7-47A0374661F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Polar!$E$7:$E$17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Polar!$F$7:$F$17</c:f>
              <c:numCache>
                <c:formatCode>General</c:formatCode>
                <c:ptCount val="11"/>
                <c:pt idx="0">
                  <c:v>-5.437750794258787</c:v>
                </c:pt>
                <c:pt idx="1">
                  <c:v>-3.3899129303787636</c:v>
                </c:pt>
                <c:pt idx="2">
                  <c:v>-2.5907889046063715</c:v>
                </c:pt>
                <c:pt idx="3">
                  <c:v>-2.2189248234627086</c:v>
                </c:pt>
                <c:pt idx="4">
                  <c:v>-2.063377524022862</c:v>
                </c:pt>
                <c:pt idx="5">
                  <c:v>-2.0593577521872102</c:v>
                </c:pt>
                <c:pt idx="6">
                  <c:v>-2.2053525216199308</c:v>
                </c:pt>
                <c:pt idx="7">
                  <c:v>-2.5615090936458067</c:v>
                </c:pt>
                <c:pt idx="8">
                  <c:v>-3.3251012455920921</c:v>
                </c:pt>
                <c:pt idx="9">
                  <c:v>-5.2467147404192298</c:v>
                </c:pt>
                <c:pt idx="10">
                  <c:v>-14.823724699808574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DC-4A45-87E7-47A0374661F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Polar!$G$7:$G$17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Polar!$H$7:$H$17</c:f>
              <c:numCache>
                <c:formatCode>General</c:formatCode>
                <c:ptCount val="11"/>
                <c:pt idx="0">
                  <c:v>-7.7707817417671139</c:v>
                </c:pt>
                <c:pt idx="1">
                  <c:v>-4.8443326114502883</c:v>
                </c:pt>
                <c:pt idx="2">
                  <c:v>-3.7023497174500877</c:v>
                </c:pt>
                <c:pt idx="3">
                  <c:v>-3.1709398162789793</c:v>
                </c:pt>
                <c:pt idx="4">
                  <c:v>-2.9486559786774991</c:v>
                </c:pt>
                <c:pt idx="5">
                  <c:v>-2.9429115503709395</c:v>
                </c:pt>
                <c:pt idx="6">
                  <c:v>-3.1515444082612074</c:v>
                </c:pt>
                <c:pt idx="7">
                  <c:v>-3.6605075976061676</c:v>
                </c:pt>
                <c:pt idx="8">
                  <c:v>-4.751713902750879</c:v>
                </c:pt>
                <c:pt idx="9">
                  <c:v>-7.4977829348407248</c:v>
                </c:pt>
                <c:pt idx="10">
                  <c:v>-21.183745559630104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DC-4A45-87E7-47A0374661F0}"/>
            </c:ext>
          </c:extLst>
        </c:ser>
        <c:ser>
          <c:idx val="11"/>
          <c:order val="14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DC-4A45-87E7-47A0374661F0}"/>
              </c:ext>
            </c:extLst>
          </c:dPt>
          <c:xVal>
            <c:numRef>
              <c:f>Polar!$A$7:$A$17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Polar!$B$7:$B$17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-7.1907918837493465</c:v>
                </c:pt>
                <c:pt idx="2">
                  <c:v>-5.4956644050647636</c:v>
                </c:pt>
                <c:pt idx="3">
                  <c:v>-4.7068544056743109</c:v>
                </c:pt>
                <c:pt idx="4">
                  <c:v>-4.3769024920638921</c:v>
                </c:pt>
                <c:pt idx="5">
                  <c:v>-4.3683756232964681</c:v>
                </c:pt>
                <c:pt idx="6">
                  <c:v>-4.6780644042969186</c:v>
                </c:pt>
                <c:pt idx="7">
                  <c:v>-5.4335551322494826</c:v>
                </c:pt>
                <c:pt idx="8">
                  <c:v>-7.0533112621205056</c:v>
                </c:pt>
                <c:pt idx="9">
                  <c:v>-11.129499354881426</c:v>
                </c:pt>
                <c:pt idx="10">
                  <c:v>-31.444559623662123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DC-4A45-87E7-47A0374661F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Polar!$I$7:$I$17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Polar!$J$7:$J$17</c:f>
              <c:numCache>
                <c:formatCode>General</c:formatCode>
                <c:ptCount val="11"/>
                <c:pt idx="0">
                  <c:v>-9.7917350632686855</c:v>
                </c:pt>
                <c:pt idx="1">
                  <c:v>-6.1042020051494745</c:v>
                </c:pt>
                <c:pt idx="2">
                  <c:v>-4.6652227214137341</c:v>
                </c:pt>
                <c:pt idx="3">
                  <c:v>-3.9956086291406954</c:v>
                </c:pt>
                <c:pt idx="4">
                  <c:v>-3.7155152590050187</c:v>
                </c:pt>
                <c:pt idx="5">
                  <c:v>-3.7082768727091531</c:v>
                </c:pt>
                <c:pt idx="6">
                  <c:v>-3.9711690420997616</c:v>
                </c:pt>
                <c:pt idx="7">
                  <c:v>-4.612498688541331</c:v>
                </c:pt>
                <c:pt idx="8">
                  <c:v>-5.9874958760077703</c:v>
                </c:pt>
                <c:pt idx="9">
                  <c:v>-9.4477372418340853</c:v>
                </c:pt>
                <c:pt idx="10">
                  <c:v>-26.693018934337331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DC-4A45-87E7-47A0374661F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DC-4A45-87E7-47A0374661F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DC-4A45-87E7-47A0374661F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DC-4A45-87E7-47A0374661F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DC-4A45-87E7-47A0374661F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Polar!$U$7:$U$17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Polar!$V$7:$V$17</c:f>
              <c:numCache>
                <c:formatCode>General</c:formatCode>
                <c:ptCount val="11"/>
                <c:pt idx="0">
                  <c:v>11.535718526807171</c:v>
                </c:pt>
                <c:pt idx="1">
                  <c:v>7.1914074172948297</c:v>
                </c:pt>
                <c:pt idx="2">
                  <c:v>5.4961348352831205</c:v>
                </c:pt>
                <c:pt idx="3">
                  <c:v>4.7072573135636278</c:v>
                </c:pt>
                <c:pt idx="4">
                  <c:v>4.3772771559886339</c:v>
                </c:pt>
                <c:pt idx="5">
                  <c:v>4.3687495573191573</c:v>
                </c:pt>
                <c:pt idx="6">
                  <c:v>4.6784648477550697</c:v>
                </c:pt>
                <c:pt idx="7">
                  <c:v>5.4340202458988829</c:v>
                </c:pt>
                <c:pt idx="8">
                  <c:v>7.0539150272911231</c:v>
                </c:pt>
                <c:pt idx="9">
                  <c:v>11.130452042750594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DC-4A45-87E7-47A0374661F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Polar!$S$7:$S$17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Polar!$T$7:$T$17</c:f>
              <c:numCache>
                <c:formatCode>General</c:formatCode>
                <c:ptCount val="11"/>
                <c:pt idx="0">
                  <c:v>9.7619888582259566</c:v>
                </c:pt>
                <c:pt idx="1">
                  <c:v>6.0856581165235912</c:v>
                </c:pt>
                <c:pt idx="2">
                  <c:v>4.6510502922431645</c:v>
                </c:pt>
                <c:pt idx="3">
                  <c:v>3.9834704133102075</c:v>
                </c:pt>
                <c:pt idx="4">
                  <c:v>3.7042279357656116</c:v>
                </c:pt>
                <c:pt idx="5">
                  <c:v>3.6970115388844458</c:v>
                </c:pt>
                <c:pt idx="6">
                  <c:v>3.9591050710239144</c:v>
                </c:pt>
                <c:pt idx="7">
                  <c:v>4.5984864291345833</c:v>
                </c:pt>
                <c:pt idx="8">
                  <c:v>5.9693065276574115</c:v>
                </c:pt>
                <c:pt idx="9">
                  <c:v>9.4190360640173321</c:v>
                </c:pt>
                <c:pt idx="10">
                  <c:v>26.61192850355058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DC-4A45-87E7-47A0374661F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Polar!$Q$7:$Q$17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Polar!$R$7:$R$17</c:f>
              <c:numCache>
                <c:formatCode>General</c:formatCode>
                <c:ptCount val="11"/>
                <c:pt idx="0">
                  <c:v>7.7810856557360895</c:v>
                </c:pt>
                <c:pt idx="1">
                  <c:v>4.8507561075828844</c:v>
                </c:pt>
                <c:pt idx="2">
                  <c:v>3.7072589652245584</c:v>
                </c:pt>
                <c:pt idx="3">
                  <c:v>3.1751444242776992</c:v>
                </c:pt>
                <c:pt idx="4">
                  <c:v>2.9525658423872332</c:v>
                </c:pt>
                <c:pt idx="5">
                  <c:v>2.9468137970741695</c:v>
                </c:pt>
                <c:pt idx="6">
                  <c:v>3.1557232983048684</c:v>
                </c:pt>
                <c:pt idx="7">
                  <c:v>3.6653613634976727</c:v>
                </c:pt>
                <c:pt idx="8">
                  <c:v>4.7580145881756124</c:v>
                </c:pt>
                <c:pt idx="9">
                  <c:v>7.5077248574021844</c:v>
                </c:pt>
                <c:pt idx="10">
                  <c:v>21.211834817447489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DC-4A45-87E7-47A0374661F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Polar!$O$7:$O$17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Polar!$P$7:$P$17</c:f>
              <c:numCache>
                <c:formatCode>General</c:formatCode>
                <c:ptCount val="11"/>
                <c:pt idx="0">
                  <c:v>5.380715314512388</c:v>
                </c:pt>
                <c:pt idx="1">
                  <c:v>3.3543568121236187</c:v>
                </c:pt>
                <c:pt idx="2">
                  <c:v>2.5636146383174703</c:v>
                </c:pt>
                <c:pt idx="3">
                  <c:v>2.195650965094464</c:v>
                </c:pt>
                <c:pt idx="4">
                  <c:v>2.0417351701465436</c:v>
                </c:pt>
                <c:pt idx="5">
                  <c:v>2.0377575608931413</c:v>
                </c:pt>
                <c:pt idx="6">
                  <c:v>2.1822210204092967</c:v>
                </c:pt>
                <c:pt idx="7">
                  <c:v>2.5346419374338849</c:v>
                </c:pt>
                <c:pt idx="8">
                  <c:v>3.2902249241269881</c:v>
                </c:pt>
                <c:pt idx="9">
                  <c:v>5.191682999606785</c:v>
                </c:pt>
                <c:pt idx="10">
                  <c:v>14.668241618315617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DC-4A45-87E7-47A0374661F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Polar!$M$7:$M$17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Polar!$N$7:$N$17</c:f>
              <c:numCache>
                <c:formatCode>General</c:formatCode>
                <c:ptCount val="11"/>
                <c:pt idx="0">
                  <c:v>2.5787168512148324</c:v>
                </c:pt>
                <c:pt idx="1">
                  <c:v>1.6075811357424168</c:v>
                </c:pt>
                <c:pt idx="2">
                  <c:v>1.2286166209202922</c:v>
                </c:pt>
                <c:pt idx="3">
                  <c:v>1.0522694125452541</c:v>
                </c:pt>
                <c:pt idx="4">
                  <c:v>0.97850500931993745</c:v>
                </c:pt>
                <c:pt idx="5">
                  <c:v>0.97659873340498027</c:v>
                </c:pt>
                <c:pt idx="6">
                  <c:v>1.0458330889997365</c:v>
                </c:pt>
                <c:pt idx="7">
                  <c:v>1.2147314053631337</c:v>
                </c:pt>
                <c:pt idx="8">
                  <c:v>1.5768458207126306</c:v>
                </c:pt>
                <c:pt idx="9">
                  <c:v>2.4881227968227533</c:v>
                </c:pt>
                <c:pt idx="10">
                  <c:v>7.0297794304081318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DC-4A45-87E7-47A0374661F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DC-4A45-87E7-47A037466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49208"/>
        <c:axId val="628449536"/>
      </c:scatterChart>
      <c:valAx>
        <c:axId val="6284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536"/>
        <c:crosses val="autoZero"/>
        <c:crossBetween val="midCat"/>
        <c:majorUnit val="5"/>
      </c:valAx>
      <c:valAx>
        <c:axId val="6284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cs typeface="B Nazanin" panose="00000400000000000000" pitchFamily="2" charset="-78"/>
              </a:rPr>
              <a:t>Horizontal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70778652668416E-2"/>
          <c:y val="0.11069608378160649"/>
          <c:w val="0.90972922134733158"/>
          <c:h val="0.840727423923494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Horizontal!$A$6:$A$17</c:f>
              <c:numCache>
                <c:formatCode>General</c:formatCode>
                <c:ptCount val="12"/>
                <c:pt idx="0">
                  <c:v>-59.289733599161131</c:v>
                </c:pt>
                <c:pt idx="1">
                  <c:v>-31.282013213959516</c:v>
                </c:pt>
                <c:pt idx="2">
                  <c:v>-19.711608945564194</c:v>
                </c:pt>
                <c:pt idx="3">
                  <c:v>-12.822236395956352</c:v>
                </c:pt>
                <c:pt idx="4">
                  <c:v>-7.8431026951365723</c:v>
                </c:pt>
                <c:pt idx="5">
                  <c:v>-3.7423994891794781</c:v>
                </c:pt>
                <c:pt idx="6">
                  <c:v>0</c:v>
                </c:pt>
                <c:pt idx="7">
                  <c:v>3.7423994891794781</c:v>
                </c:pt>
                <c:pt idx="8">
                  <c:v>7.8431026951365723</c:v>
                </c:pt>
                <c:pt idx="9">
                  <c:v>12.822236395956352</c:v>
                </c:pt>
                <c:pt idx="10">
                  <c:v>19.711608945564194</c:v>
                </c:pt>
                <c:pt idx="11">
                  <c:v>31.282013213959516</c:v>
                </c:pt>
              </c:numCache>
            </c:numRef>
          </c:xVal>
          <c:yVal>
            <c:numRef>
              <c:f>Horizontal!$B$6:$B$17</c:f>
              <c:numCache>
                <c:formatCode>General</c:formatCode>
                <c:ptCount val="12"/>
                <c:pt idx="0">
                  <c:v>-20.872473656679254</c:v>
                </c:pt>
                <c:pt idx="1">
                  <c:v>-6.5094807215401209</c:v>
                </c:pt>
                <c:pt idx="2">
                  <c:v>-1.3713674922179095</c:v>
                </c:pt>
                <c:pt idx="3">
                  <c:v>1.0991210251644412</c:v>
                </c:pt>
                <c:pt idx="4">
                  <c:v>2.4055619163429669</c:v>
                </c:pt>
                <c:pt idx="5">
                  <c:v>3.0604354466111459</c:v>
                </c:pt>
                <c:pt idx="6">
                  <c:v>3.26098389015706</c:v>
                </c:pt>
                <c:pt idx="7">
                  <c:v>3.0604354466111459</c:v>
                </c:pt>
                <c:pt idx="8">
                  <c:v>2.4055619163429669</c:v>
                </c:pt>
                <c:pt idx="9">
                  <c:v>1.0991210251644412</c:v>
                </c:pt>
                <c:pt idx="10">
                  <c:v>-1.3713674922179095</c:v>
                </c:pt>
                <c:pt idx="11">
                  <c:v>-6.5094807215401209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C-43FD-AD1C-2E1A007A7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Horizontal!$C$6:$C$17</c:f>
              <c:numCache>
                <c:formatCode>General</c:formatCode>
                <c:ptCount val="12"/>
                <c:pt idx="0">
                  <c:v>-260.01464296889969</c:v>
                </c:pt>
                <c:pt idx="1">
                  <c:v>-54.090445960628976</c:v>
                </c:pt>
                <c:pt idx="2">
                  <c:v>-28.013656244199741</c:v>
                </c:pt>
                <c:pt idx="3">
                  <c:v>-16.785309650305212</c:v>
                </c:pt>
                <c:pt idx="4">
                  <c:v>-9.8561219585409834</c:v>
                </c:pt>
                <c:pt idx="5">
                  <c:v>-4.6103913952967233</c:v>
                </c:pt>
                <c:pt idx="6">
                  <c:v>0</c:v>
                </c:pt>
                <c:pt idx="7">
                  <c:v>4.6103913952967233</c:v>
                </c:pt>
                <c:pt idx="8">
                  <c:v>9.8561219585409834</c:v>
                </c:pt>
                <c:pt idx="9">
                  <c:v>16.785309650305212</c:v>
                </c:pt>
                <c:pt idx="10">
                  <c:v>28.013656244199741</c:v>
                </c:pt>
                <c:pt idx="11">
                  <c:v>54.090445960628976</c:v>
                </c:pt>
              </c:numCache>
            </c:numRef>
          </c:xVal>
          <c:yVal>
            <c:numRef>
              <c:f>Horizontal!$D$6:$D$17</c:f>
              <c:numCache>
                <c:formatCode>General</c:formatCode>
                <c:ptCount val="12"/>
                <c:pt idx="0">
                  <c:v>-20.872473727225191</c:v>
                </c:pt>
                <c:pt idx="1">
                  <c:v>3.9629065793048386</c:v>
                </c:pt>
                <c:pt idx="2">
                  <c:v>6.8420211777368367</c:v>
                </c:pt>
                <c:pt idx="3">
                  <c:v>7.8900611129549922</c:v>
                </c:pt>
                <c:pt idx="4">
                  <c:v>8.3801278250383859</c:v>
                </c:pt>
                <c:pt idx="5">
                  <c:v>8.6113049979436873</c:v>
                </c:pt>
                <c:pt idx="6">
                  <c:v>8.680291992215837</c:v>
                </c:pt>
                <c:pt idx="7">
                  <c:v>8.6113049979436873</c:v>
                </c:pt>
                <c:pt idx="8">
                  <c:v>8.3801278250383859</c:v>
                </c:pt>
                <c:pt idx="9">
                  <c:v>7.8900611129549922</c:v>
                </c:pt>
                <c:pt idx="10">
                  <c:v>6.8420211777368367</c:v>
                </c:pt>
                <c:pt idx="11">
                  <c:v>3.9629065793048386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C-43FD-AD1C-2E1A007A76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Horizontal!$E$6:$E$17</c:f>
              <c:numCache>
                <c:formatCode>General</c:formatCode>
                <c:ptCount val="12"/>
                <c:pt idx="0">
                  <c:v>-126.60870374510408</c:v>
                </c:pt>
                <c:pt idx="1">
                  <c:v>-44.086033164304844</c:v>
                </c:pt>
                <c:pt idx="2">
                  <c:v>-24.767065724538138</c:v>
                </c:pt>
                <c:pt idx="3">
                  <c:v>-15.312321693791262</c:v>
                </c:pt>
                <c:pt idx="4">
                  <c:v>-9.1270346172712422</c:v>
                </c:pt>
                <c:pt idx="5">
                  <c:v>-4.2999905719871743</c:v>
                </c:pt>
                <c:pt idx="6">
                  <c:v>0</c:v>
                </c:pt>
                <c:pt idx="7">
                  <c:v>4.2999905719871743</c:v>
                </c:pt>
                <c:pt idx="8">
                  <c:v>9.1270346172712422</c:v>
                </c:pt>
                <c:pt idx="9">
                  <c:v>15.312321693791262</c:v>
                </c:pt>
                <c:pt idx="10">
                  <c:v>24.767065724538138</c:v>
                </c:pt>
                <c:pt idx="11">
                  <c:v>44.086033164304844</c:v>
                </c:pt>
              </c:numCache>
            </c:numRef>
          </c:xVal>
          <c:yVal>
            <c:numRef>
              <c:f>Horizontal!$F$6:$F$17</c:f>
              <c:numCache>
                <c:formatCode>General</c:formatCode>
                <c:ptCount val="12"/>
                <c:pt idx="0">
                  <c:v>-20.872473680338899</c:v>
                </c:pt>
                <c:pt idx="1">
                  <c:v>-0.63057367794494512</c:v>
                </c:pt>
                <c:pt idx="2">
                  <c:v>3.6301014149388569</c:v>
                </c:pt>
                <c:pt idx="3">
                  <c:v>5.3660166856291642</c:v>
                </c:pt>
                <c:pt idx="4">
                  <c:v>6.2162238561092691</c:v>
                </c:pt>
                <c:pt idx="5">
                  <c:v>6.626269807322001</c:v>
                </c:pt>
                <c:pt idx="6">
                  <c:v>6.7497769587993437</c:v>
                </c:pt>
                <c:pt idx="7">
                  <c:v>6.626269807322001</c:v>
                </c:pt>
                <c:pt idx="8">
                  <c:v>6.2162238561092691</c:v>
                </c:pt>
                <c:pt idx="9">
                  <c:v>5.3660166856291642</c:v>
                </c:pt>
                <c:pt idx="10">
                  <c:v>3.6301014149388569</c:v>
                </c:pt>
                <c:pt idx="11">
                  <c:v>-0.63057367794494512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C-43FD-AD1C-2E1A007A760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Horizontal!$G$6:$G$17</c:f>
              <c:numCache>
                <c:formatCode>General</c:formatCode>
                <c:ptCount val="12"/>
                <c:pt idx="0">
                  <c:v>-88.365098427930221</c:v>
                </c:pt>
                <c:pt idx="1">
                  <c:v>-38.136148176026055</c:v>
                </c:pt>
                <c:pt idx="2">
                  <c:v>-22.561470433990685</c:v>
                </c:pt>
                <c:pt idx="3">
                  <c:v>-14.256968718507336</c:v>
                </c:pt>
                <c:pt idx="4">
                  <c:v>-8.5909708685616319</c:v>
                </c:pt>
                <c:pt idx="5">
                  <c:v>-4.0689097875172111</c:v>
                </c:pt>
                <c:pt idx="6">
                  <c:v>0</c:v>
                </c:pt>
                <c:pt idx="7">
                  <c:v>4.0689097875172111</c:v>
                </c:pt>
                <c:pt idx="8">
                  <c:v>8.5909708685616319</c:v>
                </c:pt>
                <c:pt idx="9">
                  <c:v>14.256968718507336</c:v>
                </c:pt>
                <c:pt idx="10">
                  <c:v>22.561470433990685</c:v>
                </c:pt>
                <c:pt idx="11">
                  <c:v>38.136148176026055</c:v>
                </c:pt>
              </c:numCache>
            </c:numRef>
          </c:xVal>
          <c:yVal>
            <c:numRef>
              <c:f>Horizontal!$H$6:$H$17</c:f>
              <c:numCache>
                <c:formatCode>General</c:formatCode>
                <c:ptCount val="12"/>
                <c:pt idx="0">
                  <c:v>-20.872473666897964</c:v>
                </c:pt>
                <c:pt idx="1">
                  <c:v>-3.3624360853625461</c:v>
                </c:pt>
                <c:pt idx="2">
                  <c:v>1.4480599595902144</c:v>
                </c:pt>
                <c:pt idx="3">
                  <c:v>3.5576123573064069</c:v>
                </c:pt>
                <c:pt idx="4">
                  <c:v>4.6252066929096269</c:v>
                </c:pt>
                <c:pt idx="5">
                  <c:v>5.1484918679513374</c:v>
                </c:pt>
                <c:pt idx="6">
                  <c:v>5.3071968553528128</c:v>
                </c:pt>
                <c:pt idx="7">
                  <c:v>5.1484918679513374</c:v>
                </c:pt>
                <c:pt idx="8">
                  <c:v>4.6252066929096269</c:v>
                </c:pt>
                <c:pt idx="9">
                  <c:v>3.5576123573064069</c:v>
                </c:pt>
                <c:pt idx="10">
                  <c:v>1.4480599595902144</c:v>
                </c:pt>
                <c:pt idx="11">
                  <c:v>-3.3624360853625461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5C-43FD-AD1C-2E1A007A760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Horizontal!$I$6:$I$17</c:f>
              <c:numCache>
                <c:formatCode>General</c:formatCode>
                <c:ptCount val="12"/>
                <c:pt idx="0">
                  <c:v>-70.009458274108653</c:v>
                </c:pt>
                <c:pt idx="1">
                  <c:v>-34.137140478988883</c:v>
                </c:pt>
                <c:pt idx="2">
                  <c:v>-20.942643844699472</c:v>
                </c:pt>
                <c:pt idx="3">
                  <c:v>-13.452206161895228</c:v>
                </c:pt>
                <c:pt idx="4">
                  <c:v>-8.1742436450277296</c:v>
                </c:pt>
                <c:pt idx="5">
                  <c:v>-3.887570398041285</c:v>
                </c:pt>
                <c:pt idx="6">
                  <c:v>0</c:v>
                </c:pt>
                <c:pt idx="7">
                  <c:v>3.887570398041285</c:v>
                </c:pt>
                <c:pt idx="8">
                  <c:v>8.1742436450277296</c:v>
                </c:pt>
                <c:pt idx="9">
                  <c:v>13.452206161895228</c:v>
                </c:pt>
                <c:pt idx="10">
                  <c:v>20.942643844699472</c:v>
                </c:pt>
                <c:pt idx="11">
                  <c:v>34.137140478988883</c:v>
                </c:pt>
              </c:numCache>
            </c:numRef>
          </c:xVal>
          <c:yVal>
            <c:numRef>
              <c:f>Horizontal!$J$6:$J$17</c:f>
              <c:numCache>
                <c:formatCode>General</c:formatCode>
                <c:ptCount val="12"/>
                <c:pt idx="0">
                  <c:v>-20.872473660446769</c:v>
                </c:pt>
                <c:pt idx="1">
                  <c:v>-5.1985621308291536</c:v>
                </c:pt>
                <c:pt idx="2">
                  <c:v>-0.1534789727754412</c:v>
                </c:pt>
                <c:pt idx="3">
                  <c:v>2.178608247086419</c:v>
                </c:pt>
                <c:pt idx="4">
                  <c:v>3.3883758745396815</c:v>
                </c:pt>
                <c:pt idx="5">
                  <c:v>3.988813663114271</c:v>
                </c:pt>
                <c:pt idx="6">
                  <c:v>4.1719020772763793</c:v>
                </c:pt>
                <c:pt idx="7">
                  <c:v>3.988813663114271</c:v>
                </c:pt>
                <c:pt idx="8">
                  <c:v>3.3883758745396815</c:v>
                </c:pt>
                <c:pt idx="9">
                  <c:v>2.178608247086419</c:v>
                </c:pt>
                <c:pt idx="10">
                  <c:v>-0.1534789727754412</c:v>
                </c:pt>
                <c:pt idx="11">
                  <c:v>-5.1985621308291536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C-43FD-AD1C-2E1A007A760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Horizontal!$K$6:$K$17</c:f>
              <c:numCache>
                <c:formatCode>General</c:formatCode>
                <c:ptCount val="12"/>
                <c:pt idx="0">
                  <c:v>999999.99899999995</c:v>
                </c:pt>
                <c:pt idx="1">
                  <c:v>-69.029119114453479</c:v>
                </c:pt>
                <c:pt idx="2">
                  <c:v>-32.015944788598532</c:v>
                </c:pt>
                <c:pt idx="3">
                  <c:v>-18.480682703470208</c:v>
                </c:pt>
                <c:pt idx="4">
                  <c:v>-10.668872969341479</c:v>
                </c:pt>
                <c:pt idx="5">
                  <c:v>-4.9512374148744929</c:v>
                </c:pt>
                <c:pt idx="6">
                  <c:v>0</c:v>
                </c:pt>
                <c:pt idx="7">
                  <c:v>4.9512374148744929</c:v>
                </c:pt>
                <c:pt idx="8">
                  <c:v>10.668872969341479</c:v>
                </c:pt>
                <c:pt idx="9">
                  <c:v>18.480682703470208</c:v>
                </c:pt>
                <c:pt idx="10">
                  <c:v>32.015944788598532</c:v>
                </c:pt>
                <c:pt idx="11">
                  <c:v>69.029119114453479</c:v>
                </c:pt>
              </c:numCache>
            </c:numRef>
          </c:xVal>
          <c:yVal>
            <c:numRef>
              <c:f>Horizontal!$L$6:$L$17</c:f>
              <c:numCache>
                <c:formatCode>General</c:formatCode>
                <c:ptCount val="12"/>
                <c:pt idx="0">
                  <c:v>9999999.9989999998</c:v>
                </c:pt>
                <c:pt idx="1">
                  <c:v>10.821929852196284</c:v>
                </c:pt>
                <c:pt idx="2">
                  <c:v>10.801568769071006</c:v>
                </c:pt>
                <c:pt idx="3">
                  <c:v>10.795174415582968</c:v>
                </c:pt>
                <c:pt idx="4">
                  <c:v>10.792342437020894</c:v>
                </c:pt>
                <c:pt idx="5">
                  <c:v>10.791039369235831</c:v>
                </c:pt>
                <c:pt idx="6">
                  <c:v>10.790654482897132</c:v>
                </c:pt>
                <c:pt idx="7">
                  <c:v>10.791039369235831</c:v>
                </c:pt>
                <c:pt idx="8">
                  <c:v>10.792342437020894</c:v>
                </c:pt>
                <c:pt idx="9">
                  <c:v>10.795174415582968</c:v>
                </c:pt>
                <c:pt idx="10">
                  <c:v>10.801568769071006</c:v>
                </c:pt>
                <c:pt idx="11">
                  <c:v>10.821929852196284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5C-43FD-AD1C-2E1A007A760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Horizontal!$M$6:$M$17</c:f>
              <c:numCache>
                <c:formatCode>General</c:formatCode>
                <c:ptCount val="12"/>
                <c:pt idx="0">
                  <c:v>999999.99899999995</c:v>
                </c:pt>
                <c:pt idx="1">
                  <c:v>-96.241377206408117</c:v>
                </c:pt>
                <c:pt idx="2">
                  <c:v>-37.501173605714513</c:v>
                </c:pt>
                <c:pt idx="3">
                  <c:v>-20.612105269340638</c:v>
                </c:pt>
                <c:pt idx="4">
                  <c:v>-11.652627145133657</c:v>
                </c:pt>
                <c:pt idx="5">
                  <c:v>-5.3566780409342165</c:v>
                </c:pt>
                <c:pt idx="6">
                  <c:v>0</c:v>
                </c:pt>
                <c:pt idx="7">
                  <c:v>5.3566780409342165</c:v>
                </c:pt>
                <c:pt idx="8">
                  <c:v>11.652627145133657</c:v>
                </c:pt>
                <c:pt idx="9">
                  <c:v>20.612105269340638</c:v>
                </c:pt>
                <c:pt idx="10">
                  <c:v>37.501173605714513</c:v>
                </c:pt>
                <c:pt idx="11">
                  <c:v>96.241377206408117</c:v>
                </c:pt>
              </c:numCache>
            </c:numRef>
          </c:xVal>
          <c:yVal>
            <c:numRef>
              <c:f>Horizontal!$N$6:$N$17</c:f>
              <c:numCache>
                <c:formatCode>General</c:formatCode>
                <c:ptCount val="12"/>
                <c:pt idx="0">
                  <c:v>9999999.9989999998</c:v>
                </c:pt>
                <c:pt idx="1">
                  <c:v>23.31631336529033</c:v>
                </c:pt>
                <c:pt idx="2">
                  <c:v>16.228220123612687</c:v>
                </c:pt>
                <c:pt idx="3">
                  <c:v>14.447482111562982</c:v>
                </c:pt>
                <c:pt idx="4">
                  <c:v>13.712088049034907</c:v>
                </c:pt>
                <c:pt idx="5">
                  <c:v>13.383860811702279</c:v>
                </c:pt>
                <c:pt idx="6">
                  <c:v>13.288095972261793</c:v>
                </c:pt>
                <c:pt idx="7">
                  <c:v>13.383860811702279</c:v>
                </c:pt>
                <c:pt idx="8">
                  <c:v>13.712088049034907</c:v>
                </c:pt>
                <c:pt idx="9">
                  <c:v>14.447482111562982</c:v>
                </c:pt>
                <c:pt idx="10">
                  <c:v>16.228220123612687</c:v>
                </c:pt>
                <c:pt idx="11">
                  <c:v>23.31631336529033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C-43FD-AD1C-2E1A007A760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Horizontal!$O$6:$O$17</c:f>
              <c:numCache>
                <c:formatCode>General</c:formatCode>
                <c:ptCount val="12"/>
                <c:pt idx="0">
                  <c:v>999999.99899999995</c:v>
                </c:pt>
                <c:pt idx="1">
                  <c:v>-162.32029170882271</c:v>
                </c:pt>
                <c:pt idx="2">
                  <c:v>-45.562213646480878</c:v>
                </c:pt>
                <c:pt idx="3">
                  <c:v>-23.398898871589857</c:v>
                </c:pt>
                <c:pt idx="4">
                  <c:v>-12.878954728735277</c:v>
                </c:pt>
                <c:pt idx="5">
                  <c:v>-5.8514870473152412</c:v>
                </c:pt>
                <c:pt idx="6">
                  <c:v>0</c:v>
                </c:pt>
                <c:pt idx="7">
                  <c:v>5.8514870473152412</c:v>
                </c:pt>
                <c:pt idx="8">
                  <c:v>12.878954728735277</c:v>
                </c:pt>
                <c:pt idx="9">
                  <c:v>23.398898871589857</c:v>
                </c:pt>
                <c:pt idx="10">
                  <c:v>45.562213646480878</c:v>
                </c:pt>
                <c:pt idx="11">
                  <c:v>162.32029170882271</c:v>
                </c:pt>
              </c:numCache>
            </c:numRef>
          </c:xVal>
          <c:yVal>
            <c:numRef>
              <c:f>Horizontal!$P$6:$P$17</c:f>
              <c:numCache>
                <c:formatCode>General</c:formatCode>
                <c:ptCount val="12"/>
                <c:pt idx="0">
                  <c:v>9999999.9989999998</c:v>
                </c:pt>
                <c:pt idx="1">
                  <c:v>53.656143934742964</c:v>
                </c:pt>
                <c:pt idx="2">
                  <c:v>24.203175283138634</c:v>
                </c:pt>
                <c:pt idx="3">
                  <c:v>19.22280347842019</c:v>
                </c:pt>
                <c:pt idx="4">
                  <c:v>17.351782465812644</c:v>
                </c:pt>
                <c:pt idx="5">
                  <c:v>16.54819935897272</c:v>
                </c:pt>
                <c:pt idx="6">
                  <c:v>16.317257089290219</c:v>
                </c:pt>
                <c:pt idx="7">
                  <c:v>16.54819935897272</c:v>
                </c:pt>
                <c:pt idx="8">
                  <c:v>17.351782465812644</c:v>
                </c:pt>
                <c:pt idx="9">
                  <c:v>19.22280347842019</c:v>
                </c:pt>
                <c:pt idx="10">
                  <c:v>24.203175283138634</c:v>
                </c:pt>
                <c:pt idx="11">
                  <c:v>53.656143934742964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5C-43FD-AD1C-2E1A007A760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Horizontal!$Q$8:$Q$16</c:f>
              <c:numCache>
                <c:formatCode>General</c:formatCode>
                <c:ptCount val="9"/>
                <c:pt idx="0">
                  <c:v>-55.793142302176605</c:v>
                </c:pt>
                <c:pt idx="1">
                  <c:v>-26.449519915775923</c:v>
                </c:pt>
                <c:pt idx="2">
                  <c:v>-14.149248073468263</c:v>
                </c:pt>
                <c:pt idx="3">
                  <c:v>-6.3520315718429234</c:v>
                </c:pt>
                <c:pt idx="4">
                  <c:v>0</c:v>
                </c:pt>
                <c:pt idx="5">
                  <c:v>6.3520315718429234</c:v>
                </c:pt>
                <c:pt idx="6">
                  <c:v>14.149248073468263</c:v>
                </c:pt>
                <c:pt idx="7">
                  <c:v>26.449519915775923</c:v>
                </c:pt>
                <c:pt idx="8">
                  <c:v>55.793142302176605</c:v>
                </c:pt>
              </c:numCache>
            </c:numRef>
          </c:xVal>
          <c:yVal>
            <c:numRef>
              <c:f>Horizontal!$R$8:$R$16</c:f>
              <c:numCache>
                <c:formatCode>General</c:formatCode>
                <c:ptCount val="9"/>
                <c:pt idx="0">
                  <c:v>34.324846538567066</c:v>
                </c:pt>
                <c:pt idx="1">
                  <c:v>24.450207417746157</c:v>
                </c:pt>
                <c:pt idx="2">
                  <c:v>21.12196561778563</c:v>
                </c:pt>
                <c:pt idx="3">
                  <c:v>19.749216949926652</c:v>
                </c:pt>
                <c:pt idx="4">
                  <c:v>19.360733486308604</c:v>
                </c:pt>
                <c:pt idx="5">
                  <c:v>19.749216949926652</c:v>
                </c:pt>
                <c:pt idx="6">
                  <c:v>21.12196561778563</c:v>
                </c:pt>
                <c:pt idx="7">
                  <c:v>24.450207417746157</c:v>
                </c:pt>
                <c:pt idx="8">
                  <c:v>34.324846538567066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C-43FD-AD1C-2E1A007A760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Horizontal!$S$8:$S$16</c:f>
              <c:numCache>
                <c:formatCode>General</c:formatCode>
                <c:ptCount val="9"/>
                <c:pt idx="0">
                  <c:v>-68.369868755982807</c:v>
                </c:pt>
                <c:pt idx="1">
                  <c:v>-29.612207177813136</c:v>
                </c:pt>
                <c:pt idx="2">
                  <c:v>-15.393017253887285</c:v>
                </c:pt>
                <c:pt idx="3">
                  <c:v>-6.8306994360655642</c:v>
                </c:pt>
                <c:pt idx="4">
                  <c:v>0</c:v>
                </c:pt>
                <c:pt idx="5">
                  <c:v>6.8306994360655642</c:v>
                </c:pt>
                <c:pt idx="6">
                  <c:v>15.393017253887285</c:v>
                </c:pt>
                <c:pt idx="7">
                  <c:v>29.612207177813136</c:v>
                </c:pt>
                <c:pt idx="8">
                  <c:v>68.369868755982807</c:v>
                </c:pt>
              </c:numCache>
            </c:numRef>
          </c:xVal>
          <c:yVal>
            <c:numRef>
              <c:f>Horizontal!$T$8:$T$16</c:f>
              <c:numCache>
                <c:formatCode>General</c:formatCode>
                <c:ptCount val="9"/>
                <c:pt idx="0">
                  <c:v>46.767264516333718</c:v>
                </c:pt>
                <c:pt idx="1">
                  <c:v>29.869642874646853</c:v>
                </c:pt>
                <c:pt idx="2">
                  <c:v>24.813426041790855</c:v>
                </c:pt>
                <c:pt idx="3">
                  <c:v>22.810331752944109</c:v>
                </c:pt>
                <c:pt idx="4">
                  <c:v>22.251823137528817</c:v>
                </c:pt>
                <c:pt idx="5">
                  <c:v>22.810331752944109</c:v>
                </c:pt>
                <c:pt idx="6">
                  <c:v>24.813426041790855</c:v>
                </c:pt>
                <c:pt idx="7">
                  <c:v>29.869642874646853</c:v>
                </c:pt>
                <c:pt idx="8">
                  <c:v>46.767264516333718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5C-43FD-AD1C-2E1A007A760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Horizontal!$U$7:$U$16</c:f>
              <c:numCache>
                <c:formatCode>General</c:formatCode>
                <c:ptCount val="10"/>
                <c:pt idx="0">
                  <c:v>999999.99899999995</c:v>
                </c:pt>
                <c:pt idx="1">
                  <c:v>-84.903917706353525</c:v>
                </c:pt>
                <c:pt idx="2">
                  <c:v>-33.023563517747334</c:v>
                </c:pt>
                <c:pt idx="3">
                  <c:v>-16.65802957190289</c:v>
                </c:pt>
                <c:pt idx="4">
                  <c:v>-7.3063485659795111</c:v>
                </c:pt>
                <c:pt idx="5">
                  <c:v>0</c:v>
                </c:pt>
                <c:pt idx="6">
                  <c:v>7.3063485659795111</c:v>
                </c:pt>
                <c:pt idx="7">
                  <c:v>16.65802957190289</c:v>
                </c:pt>
                <c:pt idx="8">
                  <c:v>33.023563517747334</c:v>
                </c:pt>
                <c:pt idx="9">
                  <c:v>84.903917706353525</c:v>
                </c:pt>
              </c:numCache>
            </c:numRef>
          </c:xVal>
          <c:yVal>
            <c:numRef>
              <c:f>Horizontal!$V$7:$V$16</c:f>
              <c:numCache>
                <c:formatCode>General</c:formatCode>
                <c:ptCount val="10"/>
                <c:pt idx="0">
                  <c:v>9999999.9989999998</c:v>
                </c:pt>
                <c:pt idx="1">
                  <c:v>63.124744235796534</c:v>
                </c:pt>
                <c:pt idx="2">
                  <c:v>35.715186228450904</c:v>
                </c:pt>
                <c:pt idx="3">
                  <c:v>28.567935303919782</c:v>
                </c:pt>
                <c:pt idx="4">
                  <c:v>25.852141536825329</c:v>
                </c:pt>
                <c:pt idx="5">
                  <c:v>25.106106999982046</c:v>
                </c:pt>
                <c:pt idx="6">
                  <c:v>25.852141536825329</c:v>
                </c:pt>
                <c:pt idx="7">
                  <c:v>28.567935303919782</c:v>
                </c:pt>
                <c:pt idx="8">
                  <c:v>35.715186228450904</c:v>
                </c:pt>
                <c:pt idx="9">
                  <c:v>63.124744235796534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C-43FD-AD1C-2E1A007A760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Horizontal!$W$8:$W$16</c:f>
              <c:numCache>
                <c:formatCode>General</c:formatCode>
                <c:ptCount val="9"/>
              </c:numCache>
            </c:numRef>
          </c:xVal>
          <c:yVal>
            <c:numRef>
              <c:f>Horizontal!$X$8:$X$16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5C-43FD-AD1C-2E1A007A760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Horizontal!$C$20:$C$30</c:f>
              <c:numCache>
                <c:formatCode>General</c:formatCode>
                <c:ptCount val="11"/>
                <c:pt idx="0">
                  <c:v>-31.282013213959516</c:v>
                </c:pt>
                <c:pt idx="1">
                  <c:v>-54.090445960628976</c:v>
                </c:pt>
                <c:pt idx="2">
                  <c:v>-44.086033164304844</c:v>
                </c:pt>
                <c:pt idx="3">
                  <c:v>-38.136148176026055</c:v>
                </c:pt>
                <c:pt idx="4">
                  <c:v>-34.137140478988883</c:v>
                </c:pt>
                <c:pt idx="5">
                  <c:v>-69.029119114453479</c:v>
                </c:pt>
                <c:pt idx="6">
                  <c:v>-96.241377206408117</c:v>
                </c:pt>
                <c:pt idx="7">
                  <c:v>-162.32029170882271</c:v>
                </c:pt>
                <c:pt idx="8">
                  <c:v>-391.81177094877052</c:v>
                </c:pt>
                <c:pt idx="9">
                  <c:v>999999.99899999995</c:v>
                </c:pt>
                <c:pt idx="10">
                  <c:v>999999.99899999995</c:v>
                </c:pt>
              </c:numCache>
            </c:numRef>
          </c:xVal>
          <c:yVal>
            <c:numRef>
              <c:f>Horizontal!$D$20:$D$30</c:f>
              <c:numCache>
                <c:formatCode>General</c:formatCode>
                <c:ptCount val="11"/>
                <c:pt idx="0">
                  <c:v>-6.5094807215401209</c:v>
                </c:pt>
                <c:pt idx="1">
                  <c:v>3.9629065793048386</c:v>
                </c:pt>
                <c:pt idx="2">
                  <c:v>-0.63057367794494512</c:v>
                </c:pt>
                <c:pt idx="3">
                  <c:v>-3.3624360853625461</c:v>
                </c:pt>
                <c:pt idx="4">
                  <c:v>-5.1985621308291536</c:v>
                </c:pt>
                <c:pt idx="5">
                  <c:v>10.821929852196284</c:v>
                </c:pt>
                <c:pt idx="6">
                  <c:v>23.31631336529033</c:v>
                </c:pt>
                <c:pt idx="7">
                  <c:v>53.656143934742964</c:v>
                </c:pt>
                <c:pt idx="8">
                  <c:v>159.02610422697271</c:v>
                </c:pt>
                <c:pt idx="9">
                  <c:v>9999999.9989999998</c:v>
                </c:pt>
                <c:pt idx="10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C-43FD-AD1C-2E1A007A760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Horizontal!$E$20:$E$30</c:f>
              <c:numCache>
                <c:formatCode>General</c:formatCode>
                <c:ptCount val="11"/>
                <c:pt idx="0">
                  <c:v>-19.711608945564194</c:v>
                </c:pt>
                <c:pt idx="1">
                  <c:v>-28.013656244199741</c:v>
                </c:pt>
                <c:pt idx="2">
                  <c:v>-24.767065724538138</c:v>
                </c:pt>
                <c:pt idx="3">
                  <c:v>-22.561470433990685</c:v>
                </c:pt>
                <c:pt idx="4">
                  <c:v>-20.942643844699472</c:v>
                </c:pt>
                <c:pt idx="5">
                  <c:v>-32.015944788598532</c:v>
                </c:pt>
                <c:pt idx="6">
                  <c:v>-37.501173605714513</c:v>
                </c:pt>
                <c:pt idx="7">
                  <c:v>-45.562213646480878</c:v>
                </c:pt>
                <c:pt idx="8">
                  <c:v>-55.793142302176605</c:v>
                </c:pt>
                <c:pt idx="9">
                  <c:v>-68.369868755982807</c:v>
                </c:pt>
                <c:pt idx="10">
                  <c:v>-84.903917706353525</c:v>
                </c:pt>
              </c:numCache>
            </c:numRef>
          </c:xVal>
          <c:yVal>
            <c:numRef>
              <c:f>Horizontal!$F$20:$F$30</c:f>
              <c:numCache>
                <c:formatCode>General</c:formatCode>
                <c:ptCount val="11"/>
                <c:pt idx="0">
                  <c:v>-1.3713674922179095</c:v>
                </c:pt>
                <c:pt idx="1">
                  <c:v>6.8420211777368367</c:v>
                </c:pt>
                <c:pt idx="2">
                  <c:v>3.6301014149388569</c:v>
                </c:pt>
                <c:pt idx="3">
                  <c:v>1.4480599595902144</c:v>
                </c:pt>
                <c:pt idx="4">
                  <c:v>-0.1534789727754412</c:v>
                </c:pt>
                <c:pt idx="5">
                  <c:v>10.801568769071006</c:v>
                </c:pt>
                <c:pt idx="6">
                  <c:v>16.228220123612687</c:v>
                </c:pt>
                <c:pt idx="7">
                  <c:v>24.203175283138634</c:v>
                </c:pt>
                <c:pt idx="8">
                  <c:v>34.324846538567066</c:v>
                </c:pt>
                <c:pt idx="9">
                  <c:v>46.767264516333718</c:v>
                </c:pt>
                <c:pt idx="10">
                  <c:v>63.124744235796534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5C-43FD-AD1C-2E1A007A760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Horizontal!$G$20:$G$30</c:f>
              <c:numCache>
                <c:formatCode>General</c:formatCode>
                <c:ptCount val="11"/>
                <c:pt idx="0">
                  <c:v>-12.822236395956352</c:v>
                </c:pt>
                <c:pt idx="1">
                  <c:v>-16.785309650305212</c:v>
                </c:pt>
                <c:pt idx="2">
                  <c:v>-15.312321693791262</c:v>
                </c:pt>
                <c:pt idx="3">
                  <c:v>-14.256968718507336</c:v>
                </c:pt>
                <c:pt idx="4">
                  <c:v>-13.452206161895228</c:v>
                </c:pt>
                <c:pt idx="5">
                  <c:v>-18.480682703470208</c:v>
                </c:pt>
                <c:pt idx="6">
                  <c:v>-20.612105269340638</c:v>
                </c:pt>
                <c:pt idx="7">
                  <c:v>-23.398898871589857</c:v>
                </c:pt>
                <c:pt idx="8">
                  <c:v>-26.449519915775923</c:v>
                </c:pt>
                <c:pt idx="9">
                  <c:v>-29.612207177813136</c:v>
                </c:pt>
                <c:pt idx="10">
                  <c:v>-33.023563517747334</c:v>
                </c:pt>
              </c:numCache>
            </c:numRef>
          </c:xVal>
          <c:yVal>
            <c:numRef>
              <c:f>Horizontal!$H$20:$H$30</c:f>
              <c:numCache>
                <c:formatCode>General</c:formatCode>
                <c:ptCount val="11"/>
                <c:pt idx="0">
                  <c:v>1.0991210251644412</c:v>
                </c:pt>
                <c:pt idx="1">
                  <c:v>7.8900611129549922</c:v>
                </c:pt>
                <c:pt idx="2">
                  <c:v>5.3660166856291642</c:v>
                </c:pt>
                <c:pt idx="3">
                  <c:v>3.5576123573064069</c:v>
                </c:pt>
                <c:pt idx="4">
                  <c:v>2.178608247086419</c:v>
                </c:pt>
                <c:pt idx="5">
                  <c:v>10.795174415582968</c:v>
                </c:pt>
                <c:pt idx="6">
                  <c:v>14.447482111562982</c:v>
                </c:pt>
                <c:pt idx="7">
                  <c:v>19.22280347842019</c:v>
                </c:pt>
                <c:pt idx="8">
                  <c:v>24.450207417746157</c:v>
                </c:pt>
                <c:pt idx="9">
                  <c:v>29.869642874646853</c:v>
                </c:pt>
                <c:pt idx="10">
                  <c:v>35.715186228450904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C-43FD-AD1C-2E1A007A760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Horizontal!$I$20:$I$30</c:f>
              <c:numCache>
                <c:formatCode>General</c:formatCode>
                <c:ptCount val="11"/>
                <c:pt idx="0">
                  <c:v>-7.8431026951365723</c:v>
                </c:pt>
                <c:pt idx="1">
                  <c:v>-9.8561219585409834</c:v>
                </c:pt>
                <c:pt idx="2">
                  <c:v>-9.1270346172712422</c:v>
                </c:pt>
                <c:pt idx="3">
                  <c:v>-8.5909708685616319</c:v>
                </c:pt>
                <c:pt idx="4">
                  <c:v>-8.1742436450277296</c:v>
                </c:pt>
                <c:pt idx="5">
                  <c:v>-10.668872969341479</c:v>
                </c:pt>
                <c:pt idx="6">
                  <c:v>-11.652627145133657</c:v>
                </c:pt>
                <c:pt idx="7">
                  <c:v>-12.878954728735277</c:v>
                </c:pt>
                <c:pt idx="8">
                  <c:v>-14.149248073468263</c:v>
                </c:pt>
                <c:pt idx="9">
                  <c:v>-15.393017253887285</c:v>
                </c:pt>
                <c:pt idx="10">
                  <c:v>-16.65802957190289</c:v>
                </c:pt>
              </c:numCache>
            </c:numRef>
          </c:xVal>
          <c:yVal>
            <c:numRef>
              <c:f>Horizontal!$J$20:$J$30</c:f>
              <c:numCache>
                <c:formatCode>General</c:formatCode>
                <c:ptCount val="11"/>
                <c:pt idx="0">
                  <c:v>2.4055619163429669</c:v>
                </c:pt>
                <c:pt idx="1">
                  <c:v>8.3801278250383859</c:v>
                </c:pt>
                <c:pt idx="2">
                  <c:v>6.2162238561092691</c:v>
                </c:pt>
                <c:pt idx="3">
                  <c:v>4.6252066929096269</c:v>
                </c:pt>
                <c:pt idx="4">
                  <c:v>3.3883758745396815</c:v>
                </c:pt>
                <c:pt idx="5">
                  <c:v>10.792342437020894</c:v>
                </c:pt>
                <c:pt idx="6">
                  <c:v>13.712088049034907</c:v>
                </c:pt>
                <c:pt idx="7">
                  <c:v>17.351782465812644</c:v>
                </c:pt>
                <c:pt idx="8">
                  <c:v>21.12196561778563</c:v>
                </c:pt>
                <c:pt idx="9">
                  <c:v>24.813426041790855</c:v>
                </c:pt>
                <c:pt idx="10">
                  <c:v>28.567935303919782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25C-43FD-AD1C-2E1A007A760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Horizontal!$K$20:$K$30</c:f>
              <c:numCache>
                <c:formatCode>General</c:formatCode>
                <c:ptCount val="11"/>
                <c:pt idx="0">
                  <c:v>-3.7423994891794781</c:v>
                </c:pt>
                <c:pt idx="1">
                  <c:v>-4.6103913952967233</c:v>
                </c:pt>
                <c:pt idx="2">
                  <c:v>-4.2999905719871743</c:v>
                </c:pt>
                <c:pt idx="3">
                  <c:v>-4.0689097875172111</c:v>
                </c:pt>
                <c:pt idx="4">
                  <c:v>-3.887570398041285</c:v>
                </c:pt>
                <c:pt idx="5">
                  <c:v>-4.9512374148744929</c:v>
                </c:pt>
                <c:pt idx="6">
                  <c:v>-5.3566780409342165</c:v>
                </c:pt>
                <c:pt idx="7">
                  <c:v>-5.8514870473152412</c:v>
                </c:pt>
                <c:pt idx="8">
                  <c:v>-6.3520315718429234</c:v>
                </c:pt>
                <c:pt idx="9">
                  <c:v>-6.8306994360655642</c:v>
                </c:pt>
                <c:pt idx="10">
                  <c:v>-7.3063485659795111</c:v>
                </c:pt>
              </c:numCache>
            </c:numRef>
          </c:xVal>
          <c:yVal>
            <c:numRef>
              <c:f>Horizontal!$L$20:$L$30</c:f>
              <c:numCache>
                <c:formatCode>General</c:formatCode>
                <c:ptCount val="11"/>
                <c:pt idx="0">
                  <c:v>3.0604354466111459</c:v>
                </c:pt>
                <c:pt idx="1">
                  <c:v>8.6113049979436873</c:v>
                </c:pt>
                <c:pt idx="2">
                  <c:v>6.626269807322001</c:v>
                </c:pt>
                <c:pt idx="3">
                  <c:v>5.1484918679513374</c:v>
                </c:pt>
                <c:pt idx="4">
                  <c:v>3.988813663114271</c:v>
                </c:pt>
                <c:pt idx="5">
                  <c:v>10.791039369235831</c:v>
                </c:pt>
                <c:pt idx="6">
                  <c:v>13.383860811702279</c:v>
                </c:pt>
                <c:pt idx="7">
                  <c:v>16.54819935897272</c:v>
                </c:pt>
                <c:pt idx="8">
                  <c:v>19.749216949926652</c:v>
                </c:pt>
                <c:pt idx="9">
                  <c:v>22.810331752944109</c:v>
                </c:pt>
                <c:pt idx="10">
                  <c:v>25.852141536825329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C-43FD-AD1C-2E1A007A760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Horizontal!$M$20:$M$31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Horizontal!$N$20:$N$31</c:f>
              <c:numCache>
                <c:formatCode>General</c:formatCode>
                <c:ptCount val="12"/>
                <c:pt idx="0">
                  <c:v>3.26098389015706</c:v>
                </c:pt>
                <c:pt idx="1">
                  <c:v>8.680291992215837</c:v>
                </c:pt>
                <c:pt idx="2">
                  <c:v>6.7497769587993437</c:v>
                </c:pt>
                <c:pt idx="3">
                  <c:v>5.3071968553528128</c:v>
                </c:pt>
                <c:pt idx="4">
                  <c:v>4.1719020772763793</c:v>
                </c:pt>
                <c:pt idx="5">
                  <c:v>10.790654482897132</c:v>
                </c:pt>
                <c:pt idx="6">
                  <c:v>13.288095972261793</c:v>
                </c:pt>
                <c:pt idx="7">
                  <c:v>16.317257089290219</c:v>
                </c:pt>
                <c:pt idx="8">
                  <c:v>19.360733486308604</c:v>
                </c:pt>
                <c:pt idx="9">
                  <c:v>22.251823137528817</c:v>
                </c:pt>
                <c:pt idx="10">
                  <c:v>25.106106999982046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25C-43FD-AD1C-2E1A007A760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Horizontal!$O$20:$O$30</c:f>
              <c:numCache>
                <c:formatCode>General</c:formatCode>
                <c:ptCount val="11"/>
                <c:pt idx="0">
                  <c:v>3.7423994891794781</c:v>
                </c:pt>
                <c:pt idx="1">
                  <c:v>4.6103913952967233</c:v>
                </c:pt>
                <c:pt idx="2">
                  <c:v>4.2999905719871743</c:v>
                </c:pt>
                <c:pt idx="3">
                  <c:v>4.0689097875172111</c:v>
                </c:pt>
                <c:pt idx="4">
                  <c:v>3.887570398041285</c:v>
                </c:pt>
                <c:pt idx="5">
                  <c:v>4.9512374148744929</c:v>
                </c:pt>
                <c:pt idx="6">
                  <c:v>5.3566780409342165</c:v>
                </c:pt>
                <c:pt idx="7">
                  <c:v>5.8514870473152412</c:v>
                </c:pt>
                <c:pt idx="8">
                  <c:v>6.3520315718429234</c:v>
                </c:pt>
                <c:pt idx="9">
                  <c:v>6.8306994360655642</c:v>
                </c:pt>
                <c:pt idx="10">
                  <c:v>7.3063485659795111</c:v>
                </c:pt>
              </c:numCache>
            </c:numRef>
          </c:xVal>
          <c:yVal>
            <c:numRef>
              <c:f>Horizontal!$P$20:$P$30</c:f>
              <c:numCache>
                <c:formatCode>General</c:formatCode>
                <c:ptCount val="11"/>
                <c:pt idx="0">
                  <c:v>3.0604354466111459</c:v>
                </c:pt>
                <c:pt idx="1">
                  <c:v>8.6113049979436873</c:v>
                </c:pt>
                <c:pt idx="2">
                  <c:v>6.626269807322001</c:v>
                </c:pt>
                <c:pt idx="3">
                  <c:v>5.1484918679513374</c:v>
                </c:pt>
                <c:pt idx="4">
                  <c:v>3.988813663114271</c:v>
                </c:pt>
                <c:pt idx="5">
                  <c:v>10.791039369235831</c:v>
                </c:pt>
                <c:pt idx="6">
                  <c:v>13.383860811702279</c:v>
                </c:pt>
                <c:pt idx="7">
                  <c:v>16.54819935897272</c:v>
                </c:pt>
                <c:pt idx="8">
                  <c:v>19.749216949926652</c:v>
                </c:pt>
                <c:pt idx="9">
                  <c:v>22.810331752944109</c:v>
                </c:pt>
                <c:pt idx="10">
                  <c:v>25.852141536825329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25C-43FD-AD1C-2E1A007A760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Horizontal!$Q$20:$Q$30</c:f>
              <c:numCache>
                <c:formatCode>General</c:formatCode>
                <c:ptCount val="11"/>
                <c:pt idx="0">
                  <c:v>7.8431026951365723</c:v>
                </c:pt>
                <c:pt idx="1">
                  <c:v>9.8561219585409834</c:v>
                </c:pt>
                <c:pt idx="2">
                  <c:v>9.1270346172712422</c:v>
                </c:pt>
                <c:pt idx="3">
                  <c:v>8.5909708685616319</c:v>
                </c:pt>
                <c:pt idx="4">
                  <c:v>8.1742436450277296</c:v>
                </c:pt>
                <c:pt idx="5">
                  <c:v>10.668872969341479</c:v>
                </c:pt>
                <c:pt idx="6">
                  <c:v>11.652627145133657</c:v>
                </c:pt>
                <c:pt idx="7">
                  <c:v>12.878954728735277</c:v>
                </c:pt>
                <c:pt idx="8">
                  <c:v>14.149248073468263</c:v>
                </c:pt>
                <c:pt idx="9">
                  <c:v>15.393017253887285</c:v>
                </c:pt>
                <c:pt idx="10">
                  <c:v>16.65802957190289</c:v>
                </c:pt>
              </c:numCache>
            </c:numRef>
          </c:xVal>
          <c:yVal>
            <c:numRef>
              <c:f>Horizontal!$R$20:$R$30</c:f>
              <c:numCache>
                <c:formatCode>General</c:formatCode>
                <c:ptCount val="11"/>
                <c:pt idx="0">
                  <c:v>2.4055619163429669</c:v>
                </c:pt>
                <c:pt idx="1">
                  <c:v>8.3801278250383859</c:v>
                </c:pt>
                <c:pt idx="2">
                  <c:v>6.2162238561092691</c:v>
                </c:pt>
                <c:pt idx="3">
                  <c:v>4.6252066929096269</c:v>
                </c:pt>
                <c:pt idx="4">
                  <c:v>3.3883758745396815</c:v>
                </c:pt>
                <c:pt idx="5">
                  <c:v>10.792342437020894</c:v>
                </c:pt>
                <c:pt idx="6">
                  <c:v>13.712088049034907</c:v>
                </c:pt>
                <c:pt idx="7">
                  <c:v>17.351782465812644</c:v>
                </c:pt>
                <c:pt idx="8">
                  <c:v>21.12196561778563</c:v>
                </c:pt>
                <c:pt idx="9">
                  <c:v>24.813426041790855</c:v>
                </c:pt>
                <c:pt idx="10">
                  <c:v>28.567935303919782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C-43FD-AD1C-2E1A007A760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Horizontal!$S$20:$S$30</c:f>
              <c:numCache>
                <c:formatCode>General</c:formatCode>
                <c:ptCount val="11"/>
                <c:pt idx="0">
                  <c:v>12.822236395956352</c:v>
                </c:pt>
                <c:pt idx="1">
                  <c:v>16.785309650305212</c:v>
                </c:pt>
                <c:pt idx="2">
                  <c:v>15.312321693791262</c:v>
                </c:pt>
                <c:pt idx="3">
                  <c:v>14.256968718507336</c:v>
                </c:pt>
                <c:pt idx="4">
                  <c:v>13.452206161895228</c:v>
                </c:pt>
                <c:pt idx="5">
                  <c:v>18.480682703470208</c:v>
                </c:pt>
                <c:pt idx="6">
                  <c:v>20.612105269340638</c:v>
                </c:pt>
                <c:pt idx="7">
                  <c:v>23.398898871589857</c:v>
                </c:pt>
                <c:pt idx="8">
                  <c:v>26.449519915775923</c:v>
                </c:pt>
                <c:pt idx="9">
                  <c:v>29.612207177813136</c:v>
                </c:pt>
                <c:pt idx="10">
                  <c:v>33.023563517747334</c:v>
                </c:pt>
              </c:numCache>
            </c:numRef>
          </c:xVal>
          <c:yVal>
            <c:numRef>
              <c:f>Horizontal!$T$20:$T$30</c:f>
              <c:numCache>
                <c:formatCode>General</c:formatCode>
                <c:ptCount val="11"/>
                <c:pt idx="0">
                  <c:v>1.0991210251644412</c:v>
                </c:pt>
                <c:pt idx="1">
                  <c:v>7.8900611129549922</c:v>
                </c:pt>
                <c:pt idx="2">
                  <c:v>5.3660166856291642</c:v>
                </c:pt>
                <c:pt idx="3">
                  <c:v>3.5576123573064069</c:v>
                </c:pt>
                <c:pt idx="4">
                  <c:v>2.178608247086419</c:v>
                </c:pt>
                <c:pt idx="5">
                  <c:v>10.795174415582968</c:v>
                </c:pt>
                <c:pt idx="6">
                  <c:v>14.447482111562982</c:v>
                </c:pt>
                <c:pt idx="7">
                  <c:v>19.22280347842019</c:v>
                </c:pt>
                <c:pt idx="8">
                  <c:v>24.450207417746157</c:v>
                </c:pt>
                <c:pt idx="9">
                  <c:v>29.869642874646853</c:v>
                </c:pt>
                <c:pt idx="10">
                  <c:v>35.715186228450904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25C-43FD-AD1C-2E1A007A760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Horizontal!$U$20:$U$30</c:f>
              <c:numCache>
                <c:formatCode>General</c:formatCode>
                <c:ptCount val="11"/>
                <c:pt idx="0">
                  <c:v>19.711608945564194</c:v>
                </c:pt>
                <c:pt idx="1">
                  <c:v>28.013656244199741</c:v>
                </c:pt>
                <c:pt idx="2">
                  <c:v>24.767065724538138</c:v>
                </c:pt>
                <c:pt idx="3">
                  <c:v>22.561470433990685</c:v>
                </c:pt>
                <c:pt idx="4">
                  <c:v>20.942643844699472</c:v>
                </c:pt>
                <c:pt idx="5">
                  <c:v>32.015944788598532</c:v>
                </c:pt>
                <c:pt idx="6">
                  <c:v>37.501173605714513</c:v>
                </c:pt>
                <c:pt idx="7">
                  <c:v>45.562213646480878</c:v>
                </c:pt>
                <c:pt idx="8">
                  <c:v>55.793142302176605</c:v>
                </c:pt>
                <c:pt idx="9">
                  <c:v>68.369868755982807</c:v>
                </c:pt>
                <c:pt idx="10">
                  <c:v>84.903917706353525</c:v>
                </c:pt>
              </c:numCache>
            </c:numRef>
          </c:xVal>
          <c:yVal>
            <c:numRef>
              <c:f>Horizontal!$V$20:$V$30</c:f>
              <c:numCache>
                <c:formatCode>General</c:formatCode>
                <c:ptCount val="11"/>
                <c:pt idx="0">
                  <c:v>-1.3713674922179095</c:v>
                </c:pt>
                <c:pt idx="1">
                  <c:v>6.8420211777368367</c:v>
                </c:pt>
                <c:pt idx="2">
                  <c:v>3.6301014149388569</c:v>
                </c:pt>
                <c:pt idx="3">
                  <c:v>1.4480599595902144</c:v>
                </c:pt>
                <c:pt idx="4">
                  <c:v>-0.1534789727754412</c:v>
                </c:pt>
                <c:pt idx="5">
                  <c:v>10.801568769071006</c:v>
                </c:pt>
                <c:pt idx="6">
                  <c:v>16.228220123612687</c:v>
                </c:pt>
                <c:pt idx="7">
                  <c:v>24.203175283138634</c:v>
                </c:pt>
                <c:pt idx="8">
                  <c:v>34.324846538567066</c:v>
                </c:pt>
                <c:pt idx="9">
                  <c:v>46.767264516333718</c:v>
                </c:pt>
                <c:pt idx="10">
                  <c:v>63.124744235796534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C-43FD-AD1C-2E1A007A760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Horizontal!$W$20:$W$27</c:f>
              <c:numCache>
                <c:formatCode>General</c:formatCode>
                <c:ptCount val="8"/>
                <c:pt idx="0">
                  <c:v>31.282013213959516</c:v>
                </c:pt>
                <c:pt idx="1">
                  <c:v>54.090445960628976</c:v>
                </c:pt>
                <c:pt idx="2">
                  <c:v>44.086033164304844</c:v>
                </c:pt>
                <c:pt idx="3">
                  <c:v>38.136148176026055</c:v>
                </c:pt>
                <c:pt idx="4">
                  <c:v>34.137140478988883</c:v>
                </c:pt>
                <c:pt idx="5">
                  <c:v>69.029119114453479</c:v>
                </c:pt>
                <c:pt idx="6">
                  <c:v>96.241377206408117</c:v>
                </c:pt>
                <c:pt idx="7">
                  <c:v>162.32029170882271</c:v>
                </c:pt>
              </c:numCache>
            </c:numRef>
          </c:xVal>
          <c:yVal>
            <c:numRef>
              <c:f>Horizontal!$X$20:$X$27</c:f>
              <c:numCache>
                <c:formatCode>General</c:formatCode>
                <c:ptCount val="8"/>
                <c:pt idx="0">
                  <c:v>-6.5094807215401209</c:v>
                </c:pt>
                <c:pt idx="1">
                  <c:v>3.9629065793048386</c:v>
                </c:pt>
                <c:pt idx="2">
                  <c:v>-0.63057367794494512</c:v>
                </c:pt>
                <c:pt idx="3">
                  <c:v>-3.3624360853625461</c:v>
                </c:pt>
                <c:pt idx="4">
                  <c:v>-5.1985621308291536</c:v>
                </c:pt>
                <c:pt idx="5">
                  <c:v>10.821929852196284</c:v>
                </c:pt>
                <c:pt idx="6">
                  <c:v>23.31631336529033</c:v>
                </c:pt>
                <c:pt idx="7">
                  <c:v>53.656143934742964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25C-43FD-AD1C-2E1A007A760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Horizontal!$A$20:$A$27</c:f>
              <c:numCache>
                <c:formatCode>General</c:formatCode>
                <c:ptCount val="8"/>
                <c:pt idx="0">
                  <c:v>-59.289733599161131</c:v>
                </c:pt>
                <c:pt idx="1">
                  <c:v>-260.01464296889969</c:v>
                </c:pt>
                <c:pt idx="2">
                  <c:v>-126.60870374510408</c:v>
                </c:pt>
                <c:pt idx="3">
                  <c:v>-88.365098427930221</c:v>
                </c:pt>
                <c:pt idx="4">
                  <c:v>-70.009458274108653</c:v>
                </c:pt>
                <c:pt idx="5">
                  <c:v>999999.99899999995</c:v>
                </c:pt>
                <c:pt idx="6">
                  <c:v>999999.99899999995</c:v>
                </c:pt>
                <c:pt idx="7">
                  <c:v>999999.99899999995</c:v>
                </c:pt>
              </c:numCache>
            </c:numRef>
          </c:xVal>
          <c:yVal>
            <c:numRef>
              <c:f>Horizontal!$B$20:$B$27</c:f>
              <c:numCache>
                <c:formatCode>General</c:formatCode>
                <c:ptCount val="8"/>
                <c:pt idx="0">
                  <c:v>-20.872473656679254</c:v>
                </c:pt>
                <c:pt idx="1">
                  <c:v>-20.872473727225191</c:v>
                </c:pt>
                <c:pt idx="2">
                  <c:v>-20.872473680338899</c:v>
                </c:pt>
                <c:pt idx="3">
                  <c:v>-20.872473666897964</c:v>
                </c:pt>
                <c:pt idx="4">
                  <c:v>-20.872473660446769</c:v>
                </c:pt>
                <c:pt idx="5">
                  <c:v>9999999.9989999998</c:v>
                </c:pt>
                <c:pt idx="6">
                  <c:v>9999999.9989999998</c:v>
                </c:pt>
                <c:pt idx="7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F-4E1E-87FB-002171E29AA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Horizontal!$Y$23:$Y$25</c:f>
              <c:numCache>
                <c:formatCode>General</c:formatCode>
                <c:ptCount val="3"/>
                <c:pt idx="0">
                  <c:v>88.365098427930221</c:v>
                </c:pt>
                <c:pt idx="1">
                  <c:v>70.009458274108653</c:v>
                </c:pt>
                <c:pt idx="2">
                  <c:v>999999.99899999995</c:v>
                </c:pt>
              </c:numCache>
            </c:numRef>
          </c:xVal>
          <c:yVal>
            <c:numRef>
              <c:f>Horizontal!$Z$23:$Z$25</c:f>
              <c:numCache>
                <c:formatCode>General</c:formatCode>
                <c:ptCount val="3"/>
                <c:pt idx="0">
                  <c:v>-20.872473666897964</c:v>
                </c:pt>
                <c:pt idx="1">
                  <c:v>-20.872473660446769</c:v>
                </c:pt>
                <c:pt idx="2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F-4E1E-87FB-002171E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45448"/>
        <c:axId val="525541512"/>
      </c:scatterChart>
      <c:valAx>
        <c:axId val="525545448"/>
        <c:scaling>
          <c:orientation val="minMax"/>
          <c:max val="75"/>
          <c:min val="-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1512"/>
        <c:crosses val="autoZero"/>
        <c:crossBetween val="midCat"/>
        <c:majorUnit val="5"/>
      </c:valAx>
      <c:valAx>
        <c:axId val="52554151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54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6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Vertical!$A$20:$A$30</c:f>
              <c:numCache>
                <c:formatCode>General</c:formatCode>
                <c:ptCount val="11"/>
                <c:pt idx="0">
                  <c:v>7.2918774433972597</c:v>
                </c:pt>
                <c:pt idx="1">
                  <c:v>13.841144915066614</c:v>
                </c:pt>
                <c:pt idx="2">
                  <c:v>11.517446201581421</c:v>
                </c:pt>
                <c:pt idx="3">
                  <c:v>9.7710320240398509</c:v>
                </c:pt>
                <c:pt idx="4">
                  <c:v>8.3922364180932902</c:v>
                </c:pt>
                <c:pt idx="5">
                  <c:v>16.451994148356402</c:v>
                </c:pt>
                <c:pt idx="6">
                  <c:v>19.213533336462813</c:v>
                </c:pt>
                <c:pt idx="7">
                  <c:v>22.754859972853801</c:v>
                </c:pt>
                <c:pt idx="8">
                  <c:v>26.286630466302988</c:v>
                </c:pt>
                <c:pt idx="9">
                  <c:v>29.63064562192104</c:v>
                </c:pt>
                <c:pt idx="10">
                  <c:v>33.023993763924167</c:v>
                </c:pt>
              </c:numCache>
            </c:numRef>
          </c:xVal>
          <c:yVal>
            <c:numRef>
              <c:f>Vertical!$B$20:$B$30</c:f>
              <c:numCache>
                <c:formatCode>General</c:formatCode>
                <c:ptCount val="11"/>
                <c:pt idx="0">
                  <c:v>-4.7503463485230375</c:v>
                </c:pt>
                <c:pt idx="1">
                  <c:v>-1.0360671147970002</c:v>
                </c:pt>
                <c:pt idx="2">
                  <c:v>-2.3539039437659075</c:v>
                </c:pt>
                <c:pt idx="3">
                  <c:v>-3.3443459956728199</c:v>
                </c:pt>
                <c:pt idx="4">
                  <c:v>-4.1263009103061448</c:v>
                </c:pt>
                <c:pt idx="5">
                  <c:v>0.44462108911995152</c:v>
                </c:pt>
                <c:pt idx="6">
                  <c:v>2.0107699300207571</c:v>
                </c:pt>
                <c:pt idx="7">
                  <c:v>4.0191588135542018</c:v>
                </c:pt>
                <c:pt idx="8">
                  <c:v>6.0221281317031545</c:v>
                </c:pt>
                <c:pt idx="9">
                  <c:v>7.9186159608391629</c:v>
                </c:pt>
                <c:pt idx="10">
                  <c:v>9.843081955115073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38-4B1B-A142-E8F350480DCC}"/>
            </c:ext>
          </c:extLst>
        </c:ser>
        <c:ser>
          <c:idx val="1"/>
          <c:order val="1"/>
          <c:tx>
            <c:v>7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Vertical!$C$20:$C$30</c:f>
              <c:numCache>
                <c:formatCode>General</c:formatCode>
                <c:ptCount val="11"/>
                <c:pt idx="0">
                  <c:v>10.500020949203503</c:v>
                </c:pt>
                <c:pt idx="1">
                  <c:v>18.94856394446396</c:v>
                </c:pt>
                <c:pt idx="2">
                  <c:v>15.894613312640931</c:v>
                </c:pt>
                <c:pt idx="3">
                  <c:v>13.640630221957494</c:v>
                </c:pt>
                <c:pt idx="4">
                  <c:v>11.885524844609918</c:v>
                </c:pt>
                <c:pt idx="5">
                  <c:v>22.45697054815885</c:v>
                </c:pt>
                <c:pt idx="6">
                  <c:v>26.259764672051837</c:v>
                </c:pt>
                <c:pt idx="7">
                  <c:v>31.280395734410028</c:v>
                </c:pt>
                <c:pt idx="8">
                  <c:v>36.456222239069639</c:v>
                </c:pt>
                <c:pt idx="9">
                  <c:v>41.520041865076912</c:v>
                </c:pt>
                <c:pt idx="10">
                  <c:v>46.828990169088371</c:v>
                </c:pt>
              </c:numCache>
            </c:numRef>
          </c:xVal>
          <c:yVal>
            <c:numRef>
              <c:f>Vertical!$D$20:$D$30</c:f>
              <c:numCache>
                <c:formatCode>General</c:formatCode>
                <c:ptCount val="11"/>
                <c:pt idx="0">
                  <c:v>-10.182711472963033</c:v>
                </c:pt>
                <c:pt idx="1">
                  <c:v>-7.1756856391933477</c:v>
                </c:pt>
                <c:pt idx="2">
                  <c:v>-8.2626551261333852</c:v>
                </c:pt>
                <c:pt idx="3">
                  <c:v>-9.0648982331836034</c:v>
                </c:pt>
                <c:pt idx="4">
                  <c:v>-9.6895795792610251</c:v>
                </c:pt>
                <c:pt idx="5">
                  <c:v>-5.9269650848211857</c:v>
                </c:pt>
                <c:pt idx="6">
                  <c:v>-4.5734654130471624</c:v>
                </c:pt>
                <c:pt idx="7">
                  <c:v>-2.7865102759534666</c:v>
                </c:pt>
                <c:pt idx="8">
                  <c:v>-0.94431760209805093</c:v>
                </c:pt>
                <c:pt idx="9">
                  <c:v>0.85800931290918592</c:v>
                </c:pt>
                <c:pt idx="10">
                  <c:v>2.7475830191998365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38-4B1B-A142-E8F350480DCC}"/>
            </c:ext>
          </c:extLst>
        </c:ser>
        <c:ser>
          <c:idx val="2"/>
          <c:order val="2"/>
          <c:tx>
            <c:v>8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Vertical!$E$20:$E$30</c:f>
              <c:numCache>
                <c:formatCode>General</c:formatCode>
                <c:ptCount val="11"/>
                <c:pt idx="0">
                  <c:v>14.241262203592424</c:v>
                </c:pt>
                <c:pt idx="1">
                  <c:v>26.449461293384715</c:v>
                </c:pt>
                <c:pt idx="2">
                  <c:v>21.871439607904271</c:v>
                </c:pt>
                <c:pt idx="3">
                  <c:v>18.615032196517753</c:v>
                </c:pt>
                <c:pt idx="4">
                  <c:v>16.147941352704635</c:v>
                </c:pt>
                <c:pt idx="5">
                  <c:v>31.959412141025776</c:v>
                </c:pt>
                <c:pt idx="6">
                  <c:v>38.257852730552962</c:v>
                </c:pt>
                <c:pt idx="7">
                  <c:v>47.142758637555495</c:v>
                </c:pt>
                <c:pt idx="8">
                  <c:v>57.057440952120679</c:v>
                </c:pt>
                <c:pt idx="9">
                  <c:v>67.594933123254535</c:v>
                </c:pt>
                <c:pt idx="10">
                  <c:v>79.653874369995009</c:v>
                </c:pt>
              </c:numCache>
            </c:numRef>
          </c:xVal>
          <c:yVal>
            <c:numRef>
              <c:f>Vertical!$F$20:$F$30</c:f>
              <c:numCache>
                <c:formatCode>General</c:formatCode>
                <c:ptCount val="11"/>
                <c:pt idx="0">
                  <c:v>-18.033085498610866</c:v>
                </c:pt>
                <c:pt idx="1">
                  <c:v>-16.631875368407936</c:v>
                </c:pt>
                <c:pt idx="2">
                  <c:v>-17.157323087174866</c:v>
                </c:pt>
                <c:pt idx="3">
                  <c:v>-17.53108100341969</c:v>
                </c:pt>
                <c:pt idx="4">
                  <c:v>-17.814244200305321</c:v>
                </c:pt>
                <c:pt idx="5">
                  <c:v>-15.999464405263469</c:v>
                </c:pt>
                <c:pt idx="6">
                  <c:v>-15.276553622631649</c:v>
                </c:pt>
                <c:pt idx="7">
                  <c:v>-14.256778300225466</c:v>
                </c:pt>
                <c:pt idx="8">
                  <c:v>-13.11880920300386</c:v>
                </c:pt>
                <c:pt idx="9">
                  <c:v>-11.909356386210218</c:v>
                </c:pt>
                <c:pt idx="10">
                  <c:v>-10.525277497082087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38-4B1B-A142-E8F350480DCC}"/>
            </c:ext>
          </c:extLst>
        </c:ser>
        <c:ser>
          <c:idx val="3"/>
          <c:order val="3"/>
          <c:tx>
            <c:v>9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Vertical!$G$20:$G$30</c:f>
              <c:numCache>
                <c:formatCode>General</c:formatCode>
                <c:ptCount val="11"/>
                <c:pt idx="0">
                  <c:v>19.462283521626386</c:v>
                </c:pt>
                <c:pt idx="1">
                  <c:v>41.3096197791482</c:v>
                </c:pt>
                <c:pt idx="2">
                  <c:v>32.439091840612051</c:v>
                </c:pt>
                <c:pt idx="3">
                  <c:v>26.647134967432461</c:v>
                </c:pt>
                <c:pt idx="4">
                  <c:v>22.515514116073266</c:v>
                </c:pt>
                <c:pt idx="5">
                  <c:v>53.297255694127216</c:v>
                </c:pt>
                <c:pt idx="6">
                  <c:v>69.134207512154489</c:v>
                </c:pt>
                <c:pt idx="7">
                  <c:v>96.541445718700984</c:v>
                </c:pt>
                <c:pt idx="8">
                  <c:v>137.20677732290278</c:v>
                </c:pt>
                <c:pt idx="9">
                  <c:v>199.4385951234222</c:v>
                </c:pt>
                <c:pt idx="10">
                  <c:v>317.38909928634286</c:v>
                </c:pt>
              </c:numCache>
            </c:numRef>
          </c:xVal>
          <c:yVal>
            <c:numRef>
              <c:f>Vertical!$H$20:$H$30</c:f>
              <c:numCache>
                <c:formatCode>General</c:formatCode>
                <c:ptCount val="11"/>
                <c:pt idx="0">
                  <c:v>-31.495415764082392</c:v>
                </c:pt>
                <c:pt idx="1">
                  <c:v>-36.083169923986858</c:v>
                </c:pt>
                <c:pt idx="2">
                  <c:v>-34.220434761636945</c:v>
                </c:pt>
                <c:pt idx="3">
                  <c:v>-33.004173249217168</c:v>
                </c:pt>
                <c:pt idx="4">
                  <c:v>-32.13656813138752</c:v>
                </c:pt>
                <c:pt idx="5">
                  <c:v>-38.60047115870514</c:v>
                </c:pt>
                <c:pt idx="6">
                  <c:v>-41.926095881414597</c:v>
                </c:pt>
                <c:pt idx="7">
                  <c:v>-47.681382000118703</c:v>
                </c:pt>
                <c:pt idx="8">
                  <c:v>-56.220754582295157</c:v>
                </c:pt>
                <c:pt idx="9">
                  <c:v>-69.288905208413411</c:v>
                </c:pt>
                <c:pt idx="10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38-4B1B-A142-E8F350480DCC}"/>
            </c:ext>
          </c:extLst>
        </c:ser>
        <c:ser>
          <c:idx val="4"/>
          <c:order val="4"/>
          <c:tx>
            <c:v>10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Vertical!$I$20:$I$25</c:f>
              <c:numCache>
                <c:formatCode>General</c:formatCode>
                <c:ptCount val="6"/>
                <c:pt idx="0">
                  <c:v>29.671527310506953</c:v>
                </c:pt>
                <c:pt idx="1">
                  <c:v>102.94675901372881</c:v>
                </c:pt>
                <c:pt idx="2">
                  <c:v>64.959401543161633</c:v>
                </c:pt>
                <c:pt idx="3">
                  <c:v>47.060784716374222</c:v>
                </c:pt>
                <c:pt idx="4">
                  <c:v>36.523650027138331</c:v>
                </c:pt>
                <c:pt idx="5">
                  <c:v>195.43598549374414</c:v>
                </c:pt>
              </c:numCache>
            </c:numRef>
          </c:xVal>
          <c:yVal>
            <c:numRef>
              <c:f>Vertical!$J$20:$J$25</c:f>
              <c:numCache>
                <c:formatCode>General</c:formatCode>
                <c:ptCount val="6"/>
                <c:pt idx="0">
                  <c:v>-63.077442508020297</c:v>
                </c:pt>
                <c:pt idx="1">
                  <c:v>-118.77906220342068</c:v>
                </c:pt>
                <c:pt idx="2">
                  <c:v>-89.902219512171683</c:v>
                </c:pt>
                <c:pt idx="3">
                  <c:v>-76.296231180434063</c:v>
                </c:pt>
                <c:pt idx="4">
                  <c:v>-68.286219400243112</c:v>
                </c:pt>
                <c:pt idx="5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38-4B1B-A142-E8F350480DCC}"/>
            </c:ext>
          </c:extLst>
        </c:ser>
        <c:ser>
          <c:idx val="5"/>
          <c:order val="5"/>
          <c:tx>
            <c:strRef>
              <c:f>Vertical!$B$5</c:f>
              <c:strCache>
                <c:ptCount val="1"/>
                <c:pt idx="0">
                  <c:v>1401/3/31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Vertical!$A$6:$A$11</c:f>
              <c:numCache>
                <c:formatCode>General</c:formatCode>
                <c:ptCount val="6"/>
                <c:pt idx="0">
                  <c:v>7.2918774433972597</c:v>
                </c:pt>
                <c:pt idx="1">
                  <c:v>10.500020949203503</c:v>
                </c:pt>
                <c:pt idx="2">
                  <c:v>14.241262203592424</c:v>
                </c:pt>
                <c:pt idx="3">
                  <c:v>19.462283521626386</c:v>
                </c:pt>
                <c:pt idx="4">
                  <c:v>29.671527310506953</c:v>
                </c:pt>
                <c:pt idx="5">
                  <c:v>86.848043263885657</c:v>
                </c:pt>
              </c:numCache>
            </c:numRef>
          </c:xVal>
          <c:yVal>
            <c:numRef>
              <c:f>Vertical!$B$6:$B$11</c:f>
              <c:numCache>
                <c:formatCode>General</c:formatCode>
                <c:ptCount val="6"/>
                <c:pt idx="0">
                  <c:v>-4.7503463485230375</c:v>
                </c:pt>
                <c:pt idx="1">
                  <c:v>-10.182711472963033</c:v>
                </c:pt>
                <c:pt idx="2">
                  <c:v>-18.033085498610866</c:v>
                </c:pt>
                <c:pt idx="3">
                  <c:v>-31.495415764082392</c:v>
                </c:pt>
                <c:pt idx="4">
                  <c:v>-63.077442508020297</c:v>
                </c:pt>
                <c:pt idx="5">
                  <c:v>-264.59444733232164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38-4B1B-A142-E8F350480DCC}"/>
            </c:ext>
          </c:extLst>
        </c:ser>
        <c:ser>
          <c:idx val="6"/>
          <c:order val="6"/>
          <c:tx>
            <c:strRef>
              <c:f>Vertical!$D$5</c:f>
              <c:strCache>
                <c:ptCount val="1"/>
                <c:pt idx="0">
                  <c:v>1401/1/15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Vertical!$C$6:$C$10</c:f>
              <c:numCache>
                <c:formatCode>General</c:formatCode>
                <c:ptCount val="5"/>
                <c:pt idx="0">
                  <c:v>13.841144915066614</c:v>
                </c:pt>
                <c:pt idx="1">
                  <c:v>18.94856394446396</c:v>
                </c:pt>
                <c:pt idx="2">
                  <c:v>26.449461293384715</c:v>
                </c:pt>
                <c:pt idx="3">
                  <c:v>41.3096197791482</c:v>
                </c:pt>
                <c:pt idx="4">
                  <c:v>102.94675901372881</c:v>
                </c:pt>
              </c:numCache>
            </c:numRef>
          </c:xVal>
          <c:yVal>
            <c:numRef>
              <c:f>Vertical!$D$6:$D$10</c:f>
              <c:numCache>
                <c:formatCode>General</c:formatCode>
                <c:ptCount val="5"/>
                <c:pt idx="0">
                  <c:v>-1.0360671147970002</c:v>
                </c:pt>
                <c:pt idx="1">
                  <c:v>-7.1756856391933477</c:v>
                </c:pt>
                <c:pt idx="2">
                  <c:v>-16.631875368407936</c:v>
                </c:pt>
                <c:pt idx="3">
                  <c:v>-36.083169923986858</c:v>
                </c:pt>
                <c:pt idx="4">
                  <c:v>-118.77906220342068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38-4B1B-A142-E8F350480DCC}"/>
            </c:ext>
          </c:extLst>
        </c:ser>
        <c:ser>
          <c:idx val="7"/>
          <c:order val="7"/>
          <c:tx>
            <c:strRef>
              <c:f>Vertical!$H$5</c:f>
              <c:strCache>
                <c:ptCount val="1"/>
                <c:pt idx="0">
                  <c:v>1401/2/15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Vertical!$G$6:$G$11</c:f>
              <c:numCache>
                <c:formatCode>General</c:formatCode>
                <c:ptCount val="6"/>
                <c:pt idx="0">
                  <c:v>9.7710320240398509</c:v>
                </c:pt>
                <c:pt idx="1">
                  <c:v>13.640630221957494</c:v>
                </c:pt>
                <c:pt idx="2">
                  <c:v>18.615032196517753</c:v>
                </c:pt>
                <c:pt idx="3">
                  <c:v>26.647134967432461</c:v>
                </c:pt>
                <c:pt idx="4">
                  <c:v>47.060784716374222</c:v>
                </c:pt>
                <c:pt idx="5">
                  <c:v>1963.8947561349378</c:v>
                </c:pt>
              </c:numCache>
            </c:numRef>
          </c:xVal>
          <c:yVal>
            <c:numRef>
              <c:f>Vertical!$H$6:$H$11</c:f>
              <c:numCache>
                <c:formatCode>General</c:formatCode>
                <c:ptCount val="6"/>
                <c:pt idx="0">
                  <c:v>-3.3443459956728199</c:v>
                </c:pt>
                <c:pt idx="1">
                  <c:v>-9.0648982331836034</c:v>
                </c:pt>
                <c:pt idx="2">
                  <c:v>-17.53108100341969</c:v>
                </c:pt>
                <c:pt idx="3">
                  <c:v>-33.004173249217168</c:v>
                </c:pt>
                <c:pt idx="4">
                  <c:v>-76.296231180434063</c:v>
                </c:pt>
                <c:pt idx="5">
                  <c:v>-4371.8516401145034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38-4B1B-A142-E8F350480DCC}"/>
            </c:ext>
          </c:extLst>
        </c:ser>
        <c:ser>
          <c:idx val="8"/>
          <c:order val="8"/>
          <c:tx>
            <c:strRef>
              <c:f>Vertical!$J$5</c:f>
              <c:strCache>
                <c:ptCount val="1"/>
                <c:pt idx="0">
                  <c:v>1401/2/31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Vertical!$I$6:$I$11</c:f>
              <c:numCache>
                <c:formatCode>General</c:formatCode>
                <c:ptCount val="6"/>
                <c:pt idx="0">
                  <c:v>8.3922364180932902</c:v>
                </c:pt>
                <c:pt idx="1">
                  <c:v>11.885524844609918</c:v>
                </c:pt>
                <c:pt idx="2">
                  <c:v>16.147941352704635</c:v>
                </c:pt>
                <c:pt idx="3">
                  <c:v>22.515514116073266</c:v>
                </c:pt>
                <c:pt idx="4">
                  <c:v>36.523650027138331</c:v>
                </c:pt>
                <c:pt idx="5">
                  <c:v>172.78166832230883</c:v>
                </c:pt>
              </c:numCache>
            </c:numRef>
          </c:xVal>
          <c:yVal>
            <c:numRef>
              <c:f>Vertical!$J$6:$J$11</c:f>
              <c:numCache>
                <c:formatCode>General</c:formatCode>
                <c:ptCount val="6"/>
                <c:pt idx="0">
                  <c:v>-4.1263009103061448</c:v>
                </c:pt>
                <c:pt idx="1">
                  <c:v>-9.6895795792610251</c:v>
                </c:pt>
                <c:pt idx="2">
                  <c:v>-17.814244200305321</c:v>
                </c:pt>
                <c:pt idx="3">
                  <c:v>-32.13656813138752</c:v>
                </c:pt>
                <c:pt idx="4">
                  <c:v>-68.286219400243112</c:v>
                </c:pt>
                <c:pt idx="5">
                  <c:v>-452.62999125503842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38-4B1B-A142-E8F350480DCC}"/>
            </c:ext>
          </c:extLst>
        </c:ser>
        <c:ser>
          <c:idx val="9"/>
          <c:order val="9"/>
          <c:tx>
            <c:strRef>
              <c:f>Vertical!$V$5</c:f>
              <c:strCache>
                <c:ptCount val="1"/>
                <c:pt idx="0">
                  <c:v>1401/9/30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Vertical!$U$6:$U$9</c:f>
              <c:numCache>
                <c:formatCode>General</c:formatCode>
                <c:ptCount val="4"/>
                <c:pt idx="0">
                  <c:v>33.023993763924167</c:v>
                </c:pt>
                <c:pt idx="1">
                  <c:v>46.828990169088371</c:v>
                </c:pt>
                <c:pt idx="2">
                  <c:v>79.653874369995009</c:v>
                </c:pt>
                <c:pt idx="3">
                  <c:v>317.38909928634286</c:v>
                </c:pt>
              </c:numCache>
            </c:numRef>
          </c:xVal>
          <c:yVal>
            <c:numRef>
              <c:f>Vertical!$V$6:$V$9</c:f>
              <c:numCache>
                <c:formatCode>General</c:formatCode>
                <c:ptCount val="4"/>
                <c:pt idx="0">
                  <c:v>9.843081955115073</c:v>
                </c:pt>
                <c:pt idx="1">
                  <c:v>2.7475830191998365</c:v>
                </c:pt>
                <c:pt idx="2">
                  <c:v>-10.525277497082087</c:v>
                </c:pt>
                <c:pt idx="3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38-4B1B-A142-E8F350480DCC}"/>
            </c:ext>
          </c:extLst>
        </c:ser>
        <c:ser>
          <c:idx val="10"/>
          <c:order val="10"/>
          <c:tx>
            <c:strRef>
              <c:f>Vertical!$T$5</c:f>
              <c:strCache>
                <c:ptCount val="1"/>
                <c:pt idx="0">
                  <c:v>1401/9/1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Vertical!$S$6:$S$9</c:f>
              <c:numCache>
                <c:formatCode>General</c:formatCode>
                <c:ptCount val="4"/>
                <c:pt idx="0">
                  <c:v>29.63064562192104</c:v>
                </c:pt>
                <c:pt idx="1">
                  <c:v>41.520041865076912</c:v>
                </c:pt>
                <c:pt idx="2">
                  <c:v>67.594933123254535</c:v>
                </c:pt>
                <c:pt idx="3">
                  <c:v>199.4385951234222</c:v>
                </c:pt>
              </c:numCache>
            </c:numRef>
          </c:xVal>
          <c:yVal>
            <c:numRef>
              <c:f>Vertical!$T$6:$T$9</c:f>
              <c:numCache>
                <c:formatCode>General</c:formatCode>
                <c:ptCount val="4"/>
                <c:pt idx="0">
                  <c:v>7.9186159608391629</c:v>
                </c:pt>
                <c:pt idx="1">
                  <c:v>0.85800931290918592</c:v>
                </c:pt>
                <c:pt idx="2">
                  <c:v>-11.909356386210218</c:v>
                </c:pt>
                <c:pt idx="3">
                  <c:v>-69.288905208413411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38-4B1B-A142-E8F350480DCC}"/>
            </c:ext>
          </c:extLst>
        </c:ser>
        <c:ser>
          <c:idx val="11"/>
          <c:order val="11"/>
          <c:tx>
            <c:strRef>
              <c:f>Vertical!$R$5</c:f>
              <c:strCache>
                <c:ptCount val="1"/>
                <c:pt idx="0">
                  <c:v>1401/8/16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Vertical!$Q$6:$Q$9</c:f>
              <c:numCache>
                <c:formatCode>General</c:formatCode>
                <c:ptCount val="4"/>
                <c:pt idx="0">
                  <c:v>26.286630466302988</c:v>
                </c:pt>
                <c:pt idx="1">
                  <c:v>36.456222239069639</c:v>
                </c:pt>
                <c:pt idx="2">
                  <c:v>57.057440952120679</c:v>
                </c:pt>
                <c:pt idx="3">
                  <c:v>137.20677732290278</c:v>
                </c:pt>
              </c:numCache>
            </c:numRef>
          </c:xVal>
          <c:yVal>
            <c:numRef>
              <c:f>Vertical!$R$6:$R$9</c:f>
              <c:numCache>
                <c:formatCode>General</c:formatCode>
                <c:ptCount val="4"/>
                <c:pt idx="0">
                  <c:v>6.0221281317031545</c:v>
                </c:pt>
                <c:pt idx="1">
                  <c:v>-0.94431760209805093</c:v>
                </c:pt>
                <c:pt idx="2">
                  <c:v>-13.11880920300386</c:v>
                </c:pt>
                <c:pt idx="3">
                  <c:v>-56.220754582295157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38-4B1B-A142-E8F350480DCC}"/>
            </c:ext>
          </c:extLst>
        </c:ser>
        <c:ser>
          <c:idx val="12"/>
          <c:order val="12"/>
          <c:tx>
            <c:strRef>
              <c:f>Vertical!$P$5</c:f>
              <c:strCache>
                <c:ptCount val="1"/>
                <c:pt idx="0">
                  <c:v>1401/8/1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Vertical!$O$6:$O$9</c:f>
              <c:numCache>
                <c:formatCode>General</c:formatCode>
                <c:ptCount val="4"/>
                <c:pt idx="0">
                  <c:v>22.754859972853801</c:v>
                </c:pt>
                <c:pt idx="1">
                  <c:v>31.280395734410028</c:v>
                </c:pt>
                <c:pt idx="2">
                  <c:v>47.142758637555495</c:v>
                </c:pt>
                <c:pt idx="3">
                  <c:v>96.541445718700984</c:v>
                </c:pt>
              </c:numCache>
            </c:numRef>
          </c:xVal>
          <c:yVal>
            <c:numRef>
              <c:f>Vertical!$P$6:$P$9</c:f>
              <c:numCache>
                <c:formatCode>General</c:formatCode>
                <c:ptCount val="4"/>
                <c:pt idx="0">
                  <c:v>4.0191588135542018</c:v>
                </c:pt>
                <c:pt idx="1">
                  <c:v>-2.7865102759534666</c:v>
                </c:pt>
                <c:pt idx="2">
                  <c:v>-14.256778300225466</c:v>
                </c:pt>
                <c:pt idx="3">
                  <c:v>-47.681382000118703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38-4B1B-A142-E8F350480DCC}"/>
            </c:ext>
          </c:extLst>
        </c:ser>
        <c:ser>
          <c:idx val="13"/>
          <c:order val="13"/>
          <c:tx>
            <c:strRef>
              <c:f>Vertical!$N$5</c:f>
              <c:strCache>
                <c:ptCount val="1"/>
                <c:pt idx="0">
                  <c:v>1401/7/15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Vertical!$M$6:$M$10</c:f>
              <c:numCache>
                <c:formatCode>General</c:formatCode>
                <c:ptCount val="5"/>
                <c:pt idx="0">
                  <c:v>19.213533336462813</c:v>
                </c:pt>
                <c:pt idx="1">
                  <c:v>26.259764672051837</c:v>
                </c:pt>
                <c:pt idx="2">
                  <c:v>38.257852730552962</c:v>
                </c:pt>
                <c:pt idx="3">
                  <c:v>69.134207512154489</c:v>
                </c:pt>
                <c:pt idx="4">
                  <c:v>651.51696733709161</c:v>
                </c:pt>
              </c:numCache>
            </c:numRef>
          </c:xVal>
          <c:yVal>
            <c:numRef>
              <c:f>Vertical!$N$6:$N$10</c:f>
              <c:numCache>
                <c:formatCode>General</c:formatCode>
                <c:ptCount val="5"/>
                <c:pt idx="0">
                  <c:v>2.0107699300207571</c:v>
                </c:pt>
                <c:pt idx="1">
                  <c:v>-4.5734654130471624</c:v>
                </c:pt>
                <c:pt idx="2">
                  <c:v>-15.276553622631649</c:v>
                </c:pt>
                <c:pt idx="3">
                  <c:v>-41.926095881414597</c:v>
                </c:pt>
                <c:pt idx="4">
                  <c:v>-535.78557873021839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38-4B1B-A142-E8F350480DCC}"/>
            </c:ext>
          </c:extLst>
        </c:ser>
        <c:ser>
          <c:idx val="14"/>
          <c:order val="14"/>
          <c:tx>
            <c:strRef>
              <c:f>Vertical!$L$5</c:f>
              <c:strCache>
                <c:ptCount val="1"/>
                <c:pt idx="0">
                  <c:v>1401/7/1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Vertical!$K$6:$K$10</c:f>
              <c:numCache>
                <c:formatCode>General</c:formatCode>
                <c:ptCount val="5"/>
                <c:pt idx="0">
                  <c:v>16.451994148356402</c:v>
                </c:pt>
                <c:pt idx="1">
                  <c:v>22.45697054815885</c:v>
                </c:pt>
                <c:pt idx="2">
                  <c:v>31.959412141025776</c:v>
                </c:pt>
                <c:pt idx="3">
                  <c:v>53.297255694127216</c:v>
                </c:pt>
                <c:pt idx="4">
                  <c:v>195.43598549374414</c:v>
                </c:pt>
              </c:numCache>
            </c:numRef>
          </c:xVal>
          <c:yVal>
            <c:numRef>
              <c:f>Vertical!$L$6:$L$10</c:f>
              <c:numCache>
                <c:formatCode>General</c:formatCode>
                <c:ptCount val="5"/>
                <c:pt idx="0">
                  <c:v>0.44462108911995152</c:v>
                </c:pt>
                <c:pt idx="1">
                  <c:v>-5.9269650848211857</c:v>
                </c:pt>
                <c:pt idx="2">
                  <c:v>-15.999464405263469</c:v>
                </c:pt>
                <c:pt idx="3">
                  <c:v>-38.60047115870514</c:v>
                </c:pt>
                <c:pt idx="4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38-4B1B-A142-E8F35048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47080"/>
        <c:axId val="863151672"/>
      </c:scatterChart>
      <c:valAx>
        <c:axId val="863147080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51672"/>
        <c:crosses val="autoZero"/>
        <c:crossBetween val="midCat"/>
      </c:valAx>
      <c:valAx>
        <c:axId val="863151672"/>
        <c:scaling>
          <c:orientation val="minMax"/>
          <c:max val="50"/>
          <c:min val="-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4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V_Polar!$A$7:$A$17</c:f>
              <c:numCache>
                <c:formatCode>General</c:formatCode>
                <c:ptCount val="11"/>
                <c:pt idx="0">
                  <c:v>-40.348344383474114</c:v>
                </c:pt>
                <c:pt idx="1">
                  <c:v>-18.11018385504736</c:v>
                </c:pt>
                <c:pt idx="2">
                  <c:v>-10.39235439915524</c:v>
                </c:pt>
                <c:pt idx="3">
                  <c:v>-6.0345072320616051</c:v>
                </c:pt>
                <c:pt idx="4">
                  <c:v>-2.8891164328492827</c:v>
                </c:pt>
                <c:pt idx="5">
                  <c:v>-0.19548627172582891</c:v>
                </c:pt>
                <c:pt idx="6">
                  <c:v>2.4700880799439</c:v>
                </c:pt>
                <c:pt idx="7">
                  <c:v>5.5132870449152103</c:v>
                </c:pt>
                <c:pt idx="8">
                  <c:v>9.6106970639866525</c:v>
                </c:pt>
                <c:pt idx="9">
                  <c:v>16.547458234710561</c:v>
                </c:pt>
                <c:pt idx="10">
                  <c:v>34.51496649254419</c:v>
                </c:pt>
              </c:numCache>
            </c:numRef>
          </c:xVal>
          <c:yVal>
            <c:numRef>
              <c:f>V_Polar!$B$7:$B$17</c:f>
              <c:numCache>
                <c:formatCode>General</c:formatCode>
                <c:ptCount val="11"/>
                <c:pt idx="0">
                  <c:v>-18.034065142155878</c:v>
                </c:pt>
                <c:pt idx="1">
                  <c:v>-8.9721576331819062</c:v>
                </c:pt>
                <c:pt idx="2">
                  <c:v>-6.2539504198951628</c:v>
                </c:pt>
                <c:pt idx="3">
                  <c:v>-5.0643098751483402</c:v>
                </c:pt>
                <c:pt idx="4">
                  <c:v>-4.5131617276093197</c:v>
                </c:pt>
                <c:pt idx="5">
                  <c:v>-4.3366070773283889</c:v>
                </c:pt>
                <c:pt idx="6">
                  <c:v>-4.4661347172178543</c:v>
                </c:pt>
                <c:pt idx="7">
                  <c:v>-4.9512962025475566</c:v>
                </c:pt>
                <c:pt idx="8">
                  <c:v>-6.0142298435077528</c:v>
                </c:pt>
                <c:pt idx="9">
                  <c:v>-8.385036988498543</c:v>
                </c:pt>
                <c:pt idx="10">
                  <c:v>-15.588593394744672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4-4212-9C4E-341289874A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V_Polar!$C$7:$C$17</c:f>
              <c:numCache>
                <c:formatCode>General</c:formatCode>
                <c:ptCount val="11"/>
                <c:pt idx="0">
                  <c:v>-40.384818062955716</c:v>
                </c:pt>
                <c:pt idx="1">
                  <c:v>-18.12313269331354</c:v>
                </c:pt>
                <c:pt idx="2">
                  <c:v>-10.397698038329795</c:v>
                </c:pt>
                <c:pt idx="3">
                  <c:v>-6.0369746481999833</c:v>
                </c:pt>
                <c:pt idx="4">
                  <c:v>-2.8901486235959855</c:v>
                </c:pt>
                <c:pt idx="5">
                  <c:v>-0.19555272886850245</c:v>
                </c:pt>
                <c:pt idx="6">
                  <c:v>2.4709593758240662</c:v>
                </c:pt>
                <c:pt idx="7">
                  <c:v>5.5154836736113939</c:v>
                </c:pt>
                <c:pt idx="8">
                  <c:v>9.6154428094121833</c:v>
                </c:pt>
                <c:pt idx="9">
                  <c:v>16.55867638255932</c:v>
                </c:pt>
                <c:pt idx="10">
                  <c:v>34.54725314640887</c:v>
                </c:pt>
              </c:numCache>
            </c:numRef>
          </c:xVal>
          <c:yVal>
            <c:numRef>
              <c:f>V_Polar!$D$7:$D$17</c:f>
              <c:numCache>
                <c:formatCode>General</c:formatCode>
                <c:ptCount val="11"/>
                <c:pt idx="0">
                  <c:v>-4.1442400658818936</c:v>
                </c:pt>
                <c:pt idx="1">
                  <c:v>-2.0624275344725684</c:v>
                </c:pt>
                <c:pt idx="2">
                  <c:v>-1.4401258200198654</c:v>
                </c:pt>
                <c:pt idx="3">
                  <c:v>-1.168860831799879</c:v>
                </c:pt>
                <c:pt idx="4">
                  <c:v>-1.0443122368564033</c:v>
                </c:pt>
                <c:pt idx="5">
                  <c:v>-1.0061786898712883</c:v>
                </c:pt>
                <c:pt idx="6">
                  <c:v>-1.0391760093265441</c:v>
                </c:pt>
                <c:pt idx="7">
                  <c:v>-1.1555081350334828</c:v>
                </c:pt>
                <c:pt idx="8">
                  <c:v>-1.408087046315563</c:v>
                </c:pt>
                <c:pt idx="9">
                  <c:v>-1.9703693228623265</c:v>
                </c:pt>
                <c:pt idx="10">
                  <c:v>-3.6809723786741753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4-4212-9C4E-341289874A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V_Polar!$E$7:$E$17</c:f>
              <c:numCache>
                <c:formatCode>General</c:formatCode>
                <c:ptCount val="11"/>
                <c:pt idx="0">
                  <c:v>-40.393953332014028</c:v>
                </c:pt>
                <c:pt idx="1">
                  <c:v>-18.122155042589455</c:v>
                </c:pt>
                <c:pt idx="2">
                  <c:v>-10.397070553188508</c:v>
                </c:pt>
                <c:pt idx="3">
                  <c:v>-6.0366513473633763</c:v>
                </c:pt>
                <c:pt idx="4">
                  <c:v>-2.8900076959285741</c:v>
                </c:pt>
                <c:pt idx="5">
                  <c:v>-0.19554352424817487</c:v>
                </c:pt>
                <c:pt idx="6">
                  <c:v>2.4708396347565293</c:v>
                </c:pt>
                <c:pt idx="7">
                  <c:v>5.5151912177877804</c:v>
                </c:pt>
                <c:pt idx="8">
                  <c:v>9.6148640467707711</c:v>
                </c:pt>
                <c:pt idx="9">
                  <c:v>16.557681767419428</c:v>
                </c:pt>
                <c:pt idx="10">
                  <c:v>34.550789425710477</c:v>
                </c:pt>
              </c:numCache>
            </c:numRef>
          </c:xVal>
          <c:yVal>
            <c:numRef>
              <c:f>V_Polar!$F$7:$F$17</c:f>
              <c:numCache>
                <c:formatCode>General</c:formatCode>
                <c:ptCount val="11"/>
                <c:pt idx="0">
                  <c:v>-8.4743347106529647</c:v>
                </c:pt>
                <c:pt idx="1">
                  <c:v>-4.2164582288391088</c:v>
                </c:pt>
                <c:pt idx="2">
                  <c:v>-2.9413041294147053</c:v>
                </c:pt>
                <c:pt idx="3">
                  <c:v>-2.3842405919634828</c:v>
                </c:pt>
                <c:pt idx="4">
                  <c:v>-2.127204108174515</c:v>
                </c:pt>
                <c:pt idx="5">
                  <c:v>-2.0464999022035149</c:v>
                </c:pt>
                <c:pt idx="6">
                  <c:v>-2.11035816783005</c:v>
                </c:pt>
                <c:pt idx="7">
                  <c:v>-2.3428213912249349</c:v>
                </c:pt>
                <c:pt idx="8">
                  <c:v>-2.8500041453110923</c:v>
                </c:pt>
                <c:pt idx="9">
                  <c:v>-3.9802580184935721</c:v>
                </c:pt>
                <c:pt idx="10">
                  <c:v>-7.416540711860673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4-4212-9C4E-341289874A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V_Polar!$G$7:$G$17</c:f>
              <c:numCache>
                <c:formatCode>General</c:formatCode>
                <c:ptCount val="11"/>
                <c:pt idx="0">
                  <c:v>-40.385528484594403</c:v>
                </c:pt>
                <c:pt idx="1">
                  <c:v>-18.119023781598472</c:v>
                </c:pt>
                <c:pt idx="2">
                  <c:v>-10.395765350134329</c:v>
                </c:pt>
                <c:pt idx="3">
                  <c:v>-6.0360462451208603</c:v>
                </c:pt>
                <c:pt idx="4">
                  <c:v>-2.889754040675423</c:v>
                </c:pt>
                <c:pt idx="5">
                  <c:v>-0.19552717051703294</c:v>
                </c:pt>
                <c:pt idx="6">
                  <c:v>2.4706252328583331</c:v>
                </c:pt>
                <c:pt idx="7">
                  <c:v>5.5146511116360966</c:v>
                </c:pt>
                <c:pt idx="8">
                  <c:v>9.613699878595682</c:v>
                </c:pt>
                <c:pt idx="9">
                  <c:v>16.554948842571072</c:v>
                </c:pt>
                <c:pt idx="10">
                  <c:v>34.543144975340901</c:v>
                </c:pt>
              </c:numCache>
            </c:numRef>
          </c:xVal>
          <c:yVal>
            <c:numRef>
              <c:f>V_Polar!$H$7:$H$17</c:f>
              <c:numCache>
                <c:formatCode>General</c:formatCode>
                <c:ptCount val="11"/>
                <c:pt idx="0">
                  <c:v>-12.124673365354807</c:v>
                </c:pt>
                <c:pt idx="1">
                  <c:v>-6.0323754485615142</c:v>
                </c:pt>
                <c:pt idx="2">
                  <c:v>-4.2068001383675</c:v>
                </c:pt>
                <c:pt idx="3">
                  <c:v>-3.4086999623580998</c:v>
                </c:pt>
                <c:pt idx="4">
                  <c:v>-3.0398514482117229</c:v>
                </c:pt>
                <c:pt idx="5">
                  <c:v>-2.9231102617431488</c:v>
                </c:pt>
                <c:pt idx="6">
                  <c:v>-3.0127839925585898</c:v>
                </c:pt>
                <c:pt idx="7">
                  <c:v>-3.3428420118408191</c:v>
                </c:pt>
                <c:pt idx="8">
                  <c:v>-4.0641226030194666</c:v>
                </c:pt>
                <c:pt idx="9">
                  <c:v>-5.6720261049849894</c:v>
                </c:pt>
                <c:pt idx="10">
                  <c:v>-10.559476338303631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5B4-4212-9C4E-341289874A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V_Polar!$K$7:$K$17</c:f>
              <c:numCache>
                <c:formatCode>General</c:formatCode>
                <c:ptCount val="11"/>
                <c:pt idx="0">
                  <c:v>-40.358588057493378</c:v>
                </c:pt>
                <c:pt idx="1">
                  <c:v>-18.122701597063362</c:v>
                </c:pt>
                <c:pt idx="2">
                  <c:v>-10.39793048282784</c:v>
                </c:pt>
                <c:pt idx="3">
                  <c:v>-6.0371399108790635</c:v>
                </c:pt>
                <c:pt idx="4">
                  <c:v>-2.8902271055164785</c:v>
                </c:pt>
                <c:pt idx="5">
                  <c:v>-0.19555797313864348</c:v>
                </c:pt>
                <c:pt idx="6">
                  <c:v>2.4710258403209098</c:v>
                </c:pt>
                <c:pt idx="7">
                  <c:v>5.5156325935122821</c:v>
                </c:pt>
                <c:pt idx="8">
                  <c:v>9.6156617106943862</c:v>
                </c:pt>
                <c:pt idx="9">
                  <c:v>16.558447380855334</c:v>
                </c:pt>
                <c:pt idx="10">
                  <c:v>34.532237278998878</c:v>
                </c:pt>
              </c:numCache>
            </c:numRef>
          </c:xVal>
          <c:yVal>
            <c:numRef>
              <c:f>V_Polar!$L$7:$L$17</c:f>
              <c:numCache>
                <c:formatCode>General</c:formatCode>
                <c:ptCount val="11"/>
                <c:pt idx="0">
                  <c:v>-2.7239376332579479E-3</c:v>
                </c:pt>
                <c:pt idx="1">
                  <c:v>1.1909418605848045E-2</c:v>
                </c:pt>
                <c:pt idx="2">
                  <c:v>1.4020848663747447E-2</c:v>
                </c:pt>
                <c:pt idx="3">
                  <c:v>1.5247071615302551E-2</c:v>
                </c:pt>
                <c:pt idx="4">
                  <c:v>1.6777364737457397E-2</c:v>
                </c:pt>
                <c:pt idx="5">
                  <c:v>1.9026721180503983E-2</c:v>
                </c:pt>
                <c:pt idx="6">
                  <c:v>2.2453009998034883E-2</c:v>
                </c:pt>
                <c:pt idx="7">
                  <c:v>2.7887978510967651E-2</c:v>
                </c:pt>
                <c:pt idx="8">
                  <c:v>3.7175584771260553E-2</c:v>
                </c:pt>
                <c:pt idx="9">
                  <c:v>5.5376205299042268E-2</c:v>
                </c:pt>
                <c:pt idx="10">
                  <c:v>0.10258087442590574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5B4-4212-9C4E-341289874A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V_Polar!$M$7:$M$17</c:f>
              <c:numCache>
                <c:formatCode>General</c:formatCode>
                <c:ptCount val="11"/>
                <c:pt idx="0">
                  <c:v>-40.287254785977467</c:v>
                </c:pt>
                <c:pt idx="1">
                  <c:v>-18.117367166794406</c:v>
                </c:pt>
                <c:pt idx="2">
                  <c:v>-10.396551597775728</c:v>
                </c:pt>
                <c:pt idx="3">
                  <c:v>-6.036615622688549</c:v>
                </c:pt>
                <c:pt idx="4">
                  <c:v>-2.8900254636230294</c:v>
                </c:pt>
                <c:pt idx="5">
                  <c:v>-0.19554527886121784</c:v>
                </c:pt>
                <c:pt idx="6">
                  <c:v>2.4708563593417967</c:v>
                </c:pt>
                <c:pt idx="7">
                  <c:v>5.5151716351624582</c:v>
                </c:pt>
                <c:pt idx="8">
                  <c:v>9.6144762849456846</c:v>
                </c:pt>
                <c:pt idx="9">
                  <c:v>16.55423813714058</c:v>
                </c:pt>
                <c:pt idx="10">
                  <c:v>34.490475037775703</c:v>
                </c:pt>
              </c:numCache>
            </c:numRef>
          </c:xVal>
          <c:yVal>
            <c:numRef>
              <c:f>V_Polar!$N$7:$N$17</c:f>
              <c:numCache>
                <c:formatCode>General</c:formatCode>
                <c:ptCount val="11"/>
                <c:pt idx="0">
                  <c:v>3.9271320203305935</c:v>
                </c:pt>
                <c:pt idx="1">
                  <c:v>1.9752225748784531</c:v>
                </c:pt>
                <c:pt idx="2">
                  <c:v>1.3830712338315463</c:v>
                </c:pt>
                <c:pt idx="3">
                  <c:v>1.1239380729104556</c:v>
                </c:pt>
                <c:pt idx="4">
                  <c:v>1.0048034759753934</c:v>
                </c:pt>
                <c:pt idx="5">
                  <c:v>0.96838064294978343</c:v>
                </c:pt>
                <c:pt idx="6">
                  <c:v>1.0001346492608214</c:v>
                </c:pt>
                <c:pt idx="7">
                  <c:v>1.1117308297527859</c:v>
                </c:pt>
                <c:pt idx="8">
                  <c:v>1.3535697640249551</c:v>
                </c:pt>
                <c:pt idx="9">
                  <c:v>1.8900307089189763</c:v>
                </c:pt>
                <c:pt idx="10">
                  <c:v>3.5037142550634468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5B4-4212-9C4E-341289874A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V_Polar!$O$7:$O$17</c:f>
              <c:numCache>
                <c:formatCode>General</c:formatCode>
                <c:ptCount val="11"/>
                <c:pt idx="0">
                  <c:v>-40.11847453071335</c:v>
                </c:pt>
                <c:pt idx="1">
                  <c:v>-18.106919295995915</c:v>
                </c:pt>
                <c:pt idx="2">
                  <c:v>-10.393781345545248</c:v>
                </c:pt>
                <c:pt idx="3">
                  <c:v>-6.0355332639366122</c:v>
                </c:pt>
                <c:pt idx="4">
                  <c:v>-2.8896029278797339</c:v>
                </c:pt>
                <c:pt idx="5">
                  <c:v>-0.19551858106818296</c:v>
                </c:pt>
                <c:pt idx="6">
                  <c:v>2.4705011757426076</c:v>
                </c:pt>
                <c:pt idx="7">
                  <c:v>5.5142195837682184</c:v>
                </c:pt>
                <c:pt idx="8">
                  <c:v>9.6120917411583147</c:v>
                </c:pt>
                <c:pt idx="9">
                  <c:v>16.546015402086311</c:v>
                </c:pt>
                <c:pt idx="10">
                  <c:v>34.398919791052094</c:v>
                </c:pt>
              </c:numCache>
            </c:numRef>
          </c:xVal>
          <c:yVal>
            <c:numRef>
              <c:f>V_Polar!$P$7:$P$17</c:f>
              <c:numCache>
                <c:formatCode>General</c:formatCode>
                <c:ptCount val="11"/>
                <c:pt idx="0">
                  <c:v>8.2393165520974385</c:v>
                </c:pt>
                <c:pt idx="1">
                  <c:v>4.150454769861204</c:v>
                </c:pt>
                <c:pt idx="2">
                  <c:v>2.9010004070493558</c:v>
                </c:pt>
                <c:pt idx="3">
                  <c:v>2.3533463720188723</c:v>
                </c:pt>
                <c:pt idx="4">
                  <c:v>2.1003802286652031</c:v>
                </c:pt>
                <c:pt idx="5">
                  <c:v>2.0209768126876342</c:v>
                </c:pt>
                <c:pt idx="6">
                  <c:v>2.0839819920462093</c:v>
                </c:pt>
                <c:pt idx="7">
                  <c:v>2.3130167737059883</c:v>
                </c:pt>
                <c:pt idx="8">
                  <c:v>2.8121122983916313</c:v>
                </c:pt>
                <c:pt idx="9">
                  <c:v>3.9211492013916818</c:v>
                </c:pt>
                <c:pt idx="10">
                  <c:v>7.2464149828814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5B4-4212-9C4E-341289874A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V_Polar!$Q$7:$Q$17</c:f>
              <c:numCache>
                <c:formatCode>General</c:formatCode>
                <c:ptCount val="11"/>
                <c:pt idx="0">
                  <c:v>-39.760539033058016</c:v>
                </c:pt>
                <c:pt idx="1">
                  <c:v>-18.092975924455857</c:v>
                </c:pt>
                <c:pt idx="2">
                  <c:v>-10.390238722216754</c:v>
                </c:pt>
                <c:pt idx="3">
                  <c:v>-6.0341532356153813</c:v>
                </c:pt>
                <c:pt idx="4">
                  <c:v>-2.8890636800923621</c:v>
                </c:pt>
                <c:pt idx="5">
                  <c:v>-0.19548450851891111</c:v>
                </c:pt>
                <c:pt idx="6">
                  <c:v>2.470048127974243</c:v>
                </c:pt>
                <c:pt idx="7">
                  <c:v>5.5130072939714365</c:v>
                </c:pt>
                <c:pt idx="8">
                  <c:v>9.6090525831213096</c:v>
                </c:pt>
                <c:pt idx="9">
                  <c:v>16.535218491343649</c:v>
                </c:pt>
                <c:pt idx="10">
                  <c:v>34.232047492552482</c:v>
                </c:pt>
              </c:numCache>
            </c:numRef>
          </c:xVal>
          <c:yVal>
            <c:numRef>
              <c:f>V_Polar!$R$7:$R$17</c:f>
              <c:numCache>
                <c:formatCode>General</c:formatCode>
                <c:ptCount val="11"/>
                <c:pt idx="0">
                  <c:v>11.808196935612841</c:v>
                </c:pt>
                <c:pt idx="1">
                  <c:v>6.0108695388594056</c:v>
                </c:pt>
                <c:pt idx="2">
                  <c:v>4.2010106089552286</c:v>
                </c:pt>
                <c:pt idx="3">
                  <c:v>3.4064661978266009</c:v>
                </c:pt>
                <c:pt idx="4">
                  <c:v>3.0388085666750198</c:v>
                </c:pt>
                <c:pt idx="5">
                  <c:v>2.9224406745627634</c:v>
                </c:pt>
                <c:pt idx="6">
                  <c:v>3.0119792084269914</c:v>
                </c:pt>
                <c:pt idx="7">
                  <c:v>3.3412032397684173</c:v>
                </c:pt>
                <c:pt idx="8">
                  <c:v>4.0597748479807967</c:v>
                </c:pt>
                <c:pt idx="9">
                  <c:v>5.6560892544594026</c:v>
                </c:pt>
                <c:pt idx="10">
                  <c:v>10.389517855749862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5B4-4212-9C4E-341289874A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V_Polar!$S$8:$S$17</c:f>
              <c:numCache>
                <c:formatCode>General</c:formatCode>
                <c:ptCount val="10"/>
                <c:pt idx="0">
                  <c:v>-18.076474230233963</c:v>
                </c:pt>
                <c:pt idx="1">
                  <c:v>-10.386370672873515</c:v>
                </c:pt>
                <c:pt idx="2">
                  <c:v>-6.0326684594525615</c:v>
                </c:pt>
                <c:pt idx="3">
                  <c:v>-2.8884857482728896</c:v>
                </c:pt>
                <c:pt idx="4">
                  <c:v>-0.19544804261703796</c:v>
                </c:pt>
                <c:pt idx="5">
                  <c:v>2.4695630502637433</c:v>
                </c:pt>
                <c:pt idx="6">
                  <c:v>5.511706154315263</c:v>
                </c:pt>
                <c:pt idx="7">
                  <c:v>9.6057547126239715</c:v>
                </c:pt>
                <c:pt idx="8">
                  <c:v>16.522780838289897</c:v>
                </c:pt>
                <c:pt idx="9">
                  <c:v>33.917459399578817</c:v>
                </c:pt>
              </c:numCache>
            </c:numRef>
          </c:xVal>
          <c:yVal>
            <c:numRef>
              <c:f>V_Polar!$T$8:$T$17</c:f>
              <c:numCache>
                <c:formatCode>General</c:formatCode>
                <c:ptCount val="10"/>
                <c:pt idx="0">
                  <c:v>7.5430211994079697</c:v>
                </c:pt>
                <c:pt idx="1">
                  <c:v>5.2738232075006737</c:v>
                </c:pt>
                <c:pt idx="2">
                  <c:v>4.2756637224671525</c:v>
                </c:pt>
                <c:pt idx="3">
                  <c:v>3.813196401328431</c:v>
                </c:pt>
                <c:pt idx="4">
                  <c:v>3.6660793032573489</c:v>
                </c:pt>
                <c:pt idx="5">
                  <c:v>3.7771743360292738</c:v>
                </c:pt>
                <c:pt idx="6">
                  <c:v>4.1885347826750561</c:v>
                </c:pt>
                <c:pt idx="7">
                  <c:v>5.0871061493058933</c:v>
                </c:pt>
                <c:pt idx="8">
                  <c:v>7.0814954890648227</c:v>
                </c:pt>
                <c:pt idx="9">
                  <c:v>12.851162762007164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5B4-4212-9C4E-341289874A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V_Polar!$U$8:$U$16</c:f>
              <c:numCache>
                <c:formatCode>General</c:formatCode>
                <c:ptCount val="9"/>
                <c:pt idx="0">
                  <c:v>-18.055477921479856</c:v>
                </c:pt>
                <c:pt idx="1">
                  <c:v>-10.381948332512826</c:v>
                </c:pt>
                <c:pt idx="2">
                  <c:v>-6.0310030199494511</c:v>
                </c:pt>
                <c:pt idx="3">
                  <c:v>-2.8878410992734125</c:v>
                </c:pt>
                <c:pt idx="4">
                  <c:v>-0.19540744619651007</c:v>
                </c:pt>
                <c:pt idx="5">
                  <c:v>2.4690235449576767</c:v>
                </c:pt>
                <c:pt idx="6">
                  <c:v>5.5102560751466392</c:v>
                </c:pt>
                <c:pt idx="7">
                  <c:v>9.6020348586776425</c:v>
                </c:pt>
                <c:pt idx="8">
                  <c:v>16.507676488934912</c:v>
                </c:pt>
              </c:numCache>
            </c:numRef>
          </c:xVal>
          <c:yVal>
            <c:numRef>
              <c:f>V_Polar!$V$8:$V$16</c:f>
              <c:numCache>
                <c:formatCode>General</c:formatCode>
                <c:ptCount val="9"/>
                <c:pt idx="0">
                  <c:v>8.9169012415419786</c:v>
                </c:pt>
                <c:pt idx="1">
                  <c:v>6.2377175795179349</c:v>
                </c:pt>
                <c:pt idx="2">
                  <c:v>5.0557198084112107</c:v>
                </c:pt>
                <c:pt idx="3">
                  <c:v>4.5070572869579442</c:v>
                </c:pt>
                <c:pt idx="4">
                  <c:v>4.3312090689479712</c:v>
                </c:pt>
                <c:pt idx="5">
                  <c:v>4.4602865761643846</c:v>
                </c:pt>
                <c:pt idx="6">
                  <c:v>4.9434161473294829</c:v>
                </c:pt>
                <c:pt idx="7">
                  <c:v>6.0001244556907292</c:v>
                </c:pt>
                <c:pt idx="8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5B4-4212-9C4E-341289874A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V_Polar!$C$20:$C$28</c:f>
              <c:numCache>
                <c:formatCode>General</c:formatCode>
                <c:ptCount val="9"/>
                <c:pt idx="0">
                  <c:v>-40.348344383474114</c:v>
                </c:pt>
                <c:pt idx="1">
                  <c:v>-40.384818062955716</c:v>
                </c:pt>
                <c:pt idx="2">
                  <c:v>-40.393953332014028</c:v>
                </c:pt>
                <c:pt idx="3">
                  <c:v>-40.385528484594403</c:v>
                </c:pt>
                <c:pt idx="4">
                  <c:v>-40.368394261513387</c:v>
                </c:pt>
                <c:pt idx="5">
                  <c:v>-40.358588057493378</c:v>
                </c:pt>
                <c:pt idx="6">
                  <c:v>-40.287254785977467</c:v>
                </c:pt>
                <c:pt idx="7">
                  <c:v>-40.11847453071335</c:v>
                </c:pt>
                <c:pt idx="8">
                  <c:v>-39.760539033058016</c:v>
                </c:pt>
              </c:numCache>
            </c:numRef>
          </c:xVal>
          <c:yVal>
            <c:numRef>
              <c:f>V_Polar!$D$20:$D$28</c:f>
              <c:numCache>
                <c:formatCode>General</c:formatCode>
                <c:ptCount val="9"/>
                <c:pt idx="0">
                  <c:v>-18.034065142155878</c:v>
                </c:pt>
                <c:pt idx="1">
                  <c:v>-4.1442400658818936</c:v>
                </c:pt>
                <c:pt idx="2">
                  <c:v>-8.4743347106529647</c:v>
                </c:pt>
                <c:pt idx="3">
                  <c:v>-12.124673365354807</c:v>
                </c:pt>
                <c:pt idx="4">
                  <c:v>-15.287879814370385</c:v>
                </c:pt>
                <c:pt idx="5">
                  <c:v>-2.7239376332579479E-3</c:v>
                </c:pt>
                <c:pt idx="6">
                  <c:v>3.9271320203305935</c:v>
                </c:pt>
                <c:pt idx="7">
                  <c:v>8.2393165520974385</c:v>
                </c:pt>
                <c:pt idx="8">
                  <c:v>11.808196935612841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5B4-4212-9C4E-341289874A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V_Polar!$E$20:$E$30</c:f>
              <c:numCache>
                <c:formatCode>General</c:formatCode>
                <c:ptCount val="11"/>
                <c:pt idx="0">
                  <c:v>-18.11018385504736</c:v>
                </c:pt>
                <c:pt idx="1">
                  <c:v>-18.12313269331354</c:v>
                </c:pt>
                <c:pt idx="2">
                  <c:v>-18.122155042589455</c:v>
                </c:pt>
                <c:pt idx="3">
                  <c:v>-18.119023781598472</c:v>
                </c:pt>
                <c:pt idx="4">
                  <c:v>-18.114739543893165</c:v>
                </c:pt>
                <c:pt idx="5">
                  <c:v>-18.122701597063362</c:v>
                </c:pt>
                <c:pt idx="6">
                  <c:v>-18.117367166794406</c:v>
                </c:pt>
                <c:pt idx="7">
                  <c:v>-18.106919295995915</c:v>
                </c:pt>
                <c:pt idx="8">
                  <c:v>-18.092975924455857</c:v>
                </c:pt>
                <c:pt idx="9">
                  <c:v>-18.076474230233963</c:v>
                </c:pt>
                <c:pt idx="10">
                  <c:v>-18.055477921479856</c:v>
                </c:pt>
              </c:numCache>
            </c:numRef>
          </c:xVal>
          <c:yVal>
            <c:numRef>
              <c:f>V_Polar!$F$20:$F$30</c:f>
              <c:numCache>
                <c:formatCode>General</c:formatCode>
                <c:ptCount val="11"/>
                <c:pt idx="0">
                  <c:v>-8.9721576331819062</c:v>
                </c:pt>
                <c:pt idx="1">
                  <c:v>-2.0624275344725684</c:v>
                </c:pt>
                <c:pt idx="2">
                  <c:v>-4.2164582288391088</c:v>
                </c:pt>
                <c:pt idx="3">
                  <c:v>-6.0323754485615142</c:v>
                </c:pt>
                <c:pt idx="4">
                  <c:v>-7.6066268511806978</c:v>
                </c:pt>
                <c:pt idx="5">
                  <c:v>1.1909418605848045E-2</c:v>
                </c:pt>
                <c:pt idx="6">
                  <c:v>1.9752225748784531</c:v>
                </c:pt>
                <c:pt idx="7">
                  <c:v>4.150454769861204</c:v>
                </c:pt>
                <c:pt idx="8">
                  <c:v>6.0108695388594056</c:v>
                </c:pt>
                <c:pt idx="9">
                  <c:v>7.5430211994079697</c:v>
                </c:pt>
                <c:pt idx="10">
                  <c:v>8.9169012415419786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5B4-4212-9C4E-341289874A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V_Polar!$G$20:$G$30</c:f>
              <c:numCache>
                <c:formatCode>General</c:formatCode>
                <c:ptCount val="11"/>
                <c:pt idx="0">
                  <c:v>-10.39235439915524</c:v>
                </c:pt>
                <c:pt idx="1">
                  <c:v>-10.397698038329795</c:v>
                </c:pt>
                <c:pt idx="2">
                  <c:v>-10.397070553188508</c:v>
                </c:pt>
                <c:pt idx="3">
                  <c:v>-10.395765350134329</c:v>
                </c:pt>
                <c:pt idx="4">
                  <c:v>-10.394092793891041</c:v>
                </c:pt>
                <c:pt idx="5">
                  <c:v>-10.39793048282784</c:v>
                </c:pt>
                <c:pt idx="6">
                  <c:v>-10.396551597775728</c:v>
                </c:pt>
                <c:pt idx="7">
                  <c:v>-10.393781345545248</c:v>
                </c:pt>
                <c:pt idx="8">
                  <c:v>-10.390238722216754</c:v>
                </c:pt>
                <c:pt idx="9">
                  <c:v>-10.386370672873515</c:v>
                </c:pt>
                <c:pt idx="10">
                  <c:v>-10.381948332512826</c:v>
                </c:pt>
              </c:numCache>
            </c:numRef>
          </c:xVal>
          <c:yVal>
            <c:numRef>
              <c:f>V_Polar!$H$20:$H$30</c:f>
              <c:numCache>
                <c:formatCode>General</c:formatCode>
                <c:ptCount val="11"/>
                <c:pt idx="0">
                  <c:v>-6.2539504198951628</c:v>
                </c:pt>
                <c:pt idx="1">
                  <c:v>-1.4401258200198654</c:v>
                </c:pt>
                <c:pt idx="2">
                  <c:v>-2.9413041294147053</c:v>
                </c:pt>
                <c:pt idx="3">
                  <c:v>-4.2068001383675</c:v>
                </c:pt>
                <c:pt idx="4">
                  <c:v>-5.3037941459882108</c:v>
                </c:pt>
                <c:pt idx="5">
                  <c:v>1.4020848663747447E-2</c:v>
                </c:pt>
                <c:pt idx="6">
                  <c:v>1.3830712338315463</c:v>
                </c:pt>
                <c:pt idx="7">
                  <c:v>2.9010004070493558</c:v>
                </c:pt>
                <c:pt idx="8">
                  <c:v>4.2010106089552286</c:v>
                </c:pt>
                <c:pt idx="9">
                  <c:v>5.2738232075006737</c:v>
                </c:pt>
                <c:pt idx="10">
                  <c:v>6.2377175795179349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B4-4212-9C4E-341289874A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V_Polar!$I$20:$I$30</c:f>
              <c:numCache>
                <c:formatCode>General</c:formatCode>
                <c:ptCount val="11"/>
                <c:pt idx="0">
                  <c:v>-6.0345072320616051</c:v>
                </c:pt>
                <c:pt idx="1">
                  <c:v>-6.0369746481999833</c:v>
                </c:pt>
                <c:pt idx="2">
                  <c:v>-6.0366513473633763</c:v>
                </c:pt>
                <c:pt idx="3">
                  <c:v>-6.0360462451208603</c:v>
                </c:pt>
                <c:pt idx="4">
                  <c:v>-6.0352880808107514</c:v>
                </c:pt>
                <c:pt idx="5">
                  <c:v>-6.0371399108790635</c:v>
                </c:pt>
                <c:pt idx="6">
                  <c:v>-6.036615622688549</c:v>
                </c:pt>
                <c:pt idx="7">
                  <c:v>-6.0355332639366122</c:v>
                </c:pt>
                <c:pt idx="8">
                  <c:v>-6.0341532356153813</c:v>
                </c:pt>
                <c:pt idx="9">
                  <c:v>-6.0326684594525615</c:v>
                </c:pt>
                <c:pt idx="10">
                  <c:v>-6.0310030199494511</c:v>
                </c:pt>
              </c:numCache>
            </c:numRef>
          </c:xVal>
          <c:yVal>
            <c:numRef>
              <c:f>V_Polar!$J$20:$J$30</c:f>
              <c:numCache>
                <c:formatCode>General</c:formatCode>
                <c:ptCount val="11"/>
                <c:pt idx="0">
                  <c:v>-5.0643098751483402</c:v>
                </c:pt>
                <c:pt idx="1">
                  <c:v>-1.168860831799879</c:v>
                </c:pt>
                <c:pt idx="2">
                  <c:v>-2.3842405919634828</c:v>
                </c:pt>
                <c:pt idx="3">
                  <c:v>-3.4086999623580998</c:v>
                </c:pt>
                <c:pt idx="4">
                  <c:v>-4.296552106619095</c:v>
                </c:pt>
                <c:pt idx="5">
                  <c:v>1.5247071615302551E-2</c:v>
                </c:pt>
                <c:pt idx="6">
                  <c:v>1.1239380729104556</c:v>
                </c:pt>
                <c:pt idx="7">
                  <c:v>2.3533463720188723</c:v>
                </c:pt>
                <c:pt idx="8">
                  <c:v>3.4064661978266009</c:v>
                </c:pt>
                <c:pt idx="9">
                  <c:v>4.2756637224671525</c:v>
                </c:pt>
                <c:pt idx="10">
                  <c:v>5.0557198084112107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5B4-4212-9C4E-341289874A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V_Polar!$K$20:$K$30</c:f>
              <c:numCache>
                <c:formatCode>General</c:formatCode>
                <c:ptCount val="11"/>
                <c:pt idx="0">
                  <c:v>-2.8891164328492827</c:v>
                </c:pt>
                <c:pt idx="1">
                  <c:v>-2.8901486235959855</c:v>
                </c:pt>
                <c:pt idx="2">
                  <c:v>-2.8900076959285741</c:v>
                </c:pt>
                <c:pt idx="3">
                  <c:v>-2.889754040675423</c:v>
                </c:pt>
                <c:pt idx="4">
                  <c:v>-2.8894391948517804</c:v>
                </c:pt>
                <c:pt idx="5">
                  <c:v>-2.8902271055164785</c:v>
                </c:pt>
                <c:pt idx="6">
                  <c:v>-2.8900254636230294</c:v>
                </c:pt>
                <c:pt idx="7">
                  <c:v>-2.8896029278797339</c:v>
                </c:pt>
                <c:pt idx="8">
                  <c:v>-2.8890636800923621</c:v>
                </c:pt>
                <c:pt idx="9">
                  <c:v>-2.8884857482728896</c:v>
                </c:pt>
                <c:pt idx="10">
                  <c:v>-2.8878410992734125</c:v>
                </c:pt>
              </c:numCache>
            </c:numRef>
          </c:xVal>
          <c:yVal>
            <c:numRef>
              <c:f>V_Polar!$L$20:$L$30</c:f>
              <c:numCache>
                <c:formatCode>General</c:formatCode>
                <c:ptCount val="11"/>
                <c:pt idx="0">
                  <c:v>-4.5131617276093197</c:v>
                </c:pt>
                <c:pt idx="1">
                  <c:v>-1.0443122368564033</c:v>
                </c:pt>
                <c:pt idx="2">
                  <c:v>-2.127204108174515</c:v>
                </c:pt>
                <c:pt idx="3">
                  <c:v>-3.0398514482117229</c:v>
                </c:pt>
                <c:pt idx="4">
                  <c:v>-3.8305674555352316</c:v>
                </c:pt>
                <c:pt idx="5">
                  <c:v>1.6777364737457397E-2</c:v>
                </c:pt>
                <c:pt idx="6">
                  <c:v>1.0048034759753934</c:v>
                </c:pt>
                <c:pt idx="7">
                  <c:v>2.1003802286652031</c:v>
                </c:pt>
                <c:pt idx="8">
                  <c:v>3.0388085666750198</c:v>
                </c:pt>
                <c:pt idx="9">
                  <c:v>3.813196401328431</c:v>
                </c:pt>
                <c:pt idx="10">
                  <c:v>4.5070572869579442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5B4-4212-9C4E-341289874A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V_Polar!$M$20:$M$30</c:f>
              <c:numCache>
                <c:formatCode>General</c:formatCode>
                <c:ptCount val="11"/>
                <c:pt idx="0">
                  <c:v>-0.19548627172582891</c:v>
                </c:pt>
                <c:pt idx="1">
                  <c:v>-0.19555272886850245</c:v>
                </c:pt>
                <c:pt idx="2">
                  <c:v>-0.19554352424817487</c:v>
                </c:pt>
                <c:pt idx="3">
                  <c:v>-0.19552717051703294</c:v>
                </c:pt>
                <c:pt idx="4">
                  <c:v>-0.19550693702793087</c:v>
                </c:pt>
                <c:pt idx="5">
                  <c:v>-0.19555797313864348</c:v>
                </c:pt>
                <c:pt idx="6">
                  <c:v>-0.19554527886121784</c:v>
                </c:pt>
                <c:pt idx="7">
                  <c:v>-0.19551858106818296</c:v>
                </c:pt>
                <c:pt idx="8">
                  <c:v>-0.19548450851891111</c:v>
                </c:pt>
                <c:pt idx="9">
                  <c:v>-0.19544804261703796</c:v>
                </c:pt>
                <c:pt idx="10">
                  <c:v>-0.19540744619651007</c:v>
                </c:pt>
              </c:numCache>
            </c:numRef>
          </c:xVal>
          <c:yVal>
            <c:numRef>
              <c:f>V_Polar!$N$20:$N$30</c:f>
              <c:numCache>
                <c:formatCode>General</c:formatCode>
                <c:ptCount val="11"/>
                <c:pt idx="0">
                  <c:v>-4.3366070773283889</c:v>
                </c:pt>
                <c:pt idx="1">
                  <c:v>-1.0061786898712883</c:v>
                </c:pt>
                <c:pt idx="2">
                  <c:v>-2.0464999022035149</c:v>
                </c:pt>
                <c:pt idx="3">
                  <c:v>-2.9231102617431488</c:v>
                </c:pt>
                <c:pt idx="4">
                  <c:v>-3.6823435959057909</c:v>
                </c:pt>
                <c:pt idx="5">
                  <c:v>1.9026721180503983E-2</c:v>
                </c:pt>
                <c:pt idx="6">
                  <c:v>0.96838064294978343</c:v>
                </c:pt>
                <c:pt idx="7">
                  <c:v>2.0209768126876342</c:v>
                </c:pt>
                <c:pt idx="8">
                  <c:v>2.9224406745627634</c:v>
                </c:pt>
                <c:pt idx="9">
                  <c:v>3.6660793032573489</c:v>
                </c:pt>
                <c:pt idx="10">
                  <c:v>4.3312090689479712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5B4-4212-9C4E-341289874A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V_Polar!$O$20:$O$30</c:f>
              <c:numCache>
                <c:formatCode>General</c:formatCode>
                <c:ptCount val="11"/>
                <c:pt idx="0">
                  <c:v>2.4700880799439</c:v>
                </c:pt>
                <c:pt idx="1">
                  <c:v>2.4709593758240662</c:v>
                </c:pt>
                <c:pt idx="2">
                  <c:v>2.4708396347565293</c:v>
                </c:pt>
                <c:pt idx="3">
                  <c:v>2.4706252328583331</c:v>
                </c:pt>
                <c:pt idx="4">
                  <c:v>2.4703596116993749</c:v>
                </c:pt>
                <c:pt idx="5">
                  <c:v>2.4710258403209098</c:v>
                </c:pt>
                <c:pt idx="6">
                  <c:v>2.4708563593417967</c:v>
                </c:pt>
                <c:pt idx="7">
                  <c:v>2.4705011757426076</c:v>
                </c:pt>
                <c:pt idx="8">
                  <c:v>2.470048127974243</c:v>
                </c:pt>
                <c:pt idx="9">
                  <c:v>2.4695630502637433</c:v>
                </c:pt>
                <c:pt idx="10">
                  <c:v>2.4690235449576767</c:v>
                </c:pt>
              </c:numCache>
            </c:numRef>
          </c:xVal>
          <c:yVal>
            <c:numRef>
              <c:f>V_Polar!$P$20:$P$30</c:f>
              <c:numCache>
                <c:formatCode>General</c:formatCode>
                <c:ptCount val="11"/>
                <c:pt idx="0">
                  <c:v>-4.4661347172178543</c:v>
                </c:pt>
                <c:pt idx="1">
                  <c:v>-1.0391760093265441</c:v>
                </c:pt>
                <c:pt idx="2">
                  <c:v>-2.11035816783005</c:v>
                </c:pt>
                <c:pt idx="3">
                  <c:v>-3.0127839925585898</c:v>
                </c:pt>
                <c:pt idx="4">
                  <c:v>-3.7940768750128688</c:v>
                </c:pt>
                <c:pt idx="5">
                  <c:v>2.2453009998034883E-2</c:v>
                </c:pt>
                <c:pt idx="6">
                  <c:v>1.0001346492608214</c:v>
                </c:pt>
                <c:pt idx="7">
                  <c:v>2.0839819920462093</c:v>
                </c:pt>
                <c:pt idx="8">
                  <c:v>3.0119792084269914</c:v>
                </c:pt>
                <c:pt idx="9">
                  <c:v>3.7771743360292738</c:v>
                </c:pt>
                <c:pt idx="10">
                  <c:v>4.4602865761643846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B4-4212-9C4E-341289874A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V_Polar!$Q$20:$Q$30</c:f>
              <c:numCache>
                <c:formatCode>General</c:formatCode>
                <c:ptCount val="11"/>
                <c:pt idx="0">
                  <c:v>5.5132870449152103</c:v>
                </c:pt>
                <c:pt idx="1">
                  <c:v>5.5154836736113939</c:v>
                </c:pt>
                <c:pt idx="2">
                  <c:v>5.5151912177877804</c:v>
                </c:pt>
                <c:pt idx="3">
                  <c:v>5.5146511116360966</c:v>
                </c:pt>
                <c:pt idx="4">
                  <c:v>5.5139771581933799</c:v>
                </c:pt>
                <c:pt idx="5">
                  <c:v>5.5156325935122821</c:v>
                </c:pt>
                <c:pt idx="6">
                  <c:v>5.5151716351624582</c:v>
                </c:pt>
                <c:pt idx="7">
                  <c:v>5.5142195837682184</c:v>
                </c:pt>
                <c:pt idx="8">
                  <c:v>5.5130072939714365</c:v>
                </c:pt>
                <c:pt idx="9">
                  <c:v>5.511706154315263</c:v>
                </c:pt>
                <c:pt idx="10">
                  <c:v>5.5102560751466392</c:v>
                </c:pt>
              </c:numCache>
            </c:numRef>
          </c:xVal>
          <c:yVal>
            <c:numRef>
              <c:f>V_Polar!$R$20:$R$30</c:f>
              <c:numCache>
                <c:formatCode>General</c:formatCode>
                <c:ptCount val="11"/>
                <c:pt idx="0">
                  <c:v>-4.9512962025475566</c:v>
                </c:pt>
                <c:pt idx="1">
                  <c:v>-1.1555081350334828</c:v>
                </c:pt>
                <c:pt idx="2">
                  <c:v>-2.3428213912249349</c:v>
                </c:pt>
                <c:pt idx="3">
                  <c:v>-3.3428420118408191</c:v>
                </c:pt>
                <c:pt idx="4">
                  <c:v>-4.2082585750390296</c:v>
                </c:pt>
                <c:pt idx="5">
                  <c:v>2.7887978510967651E-2</c:v>
                </c:pt>
                <c:pt idx="6">
                  <c:v>1.1117308297527859</c:v>
                </c:pt>
                <c:pt idx="7">
                  <c:v>2.3130167737059883</c:v>
                </c:pt>
                <c:pt idx="8">
                  <c:v>3.3412032397684173</c:v>
                </c:pt>
                <c:pt idx="9">
                  <c:v>4.1885347826750561</c:v>
                </c:pt>
                <c:pt idx="10">
                  <c:v>4.9434161473294829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B4-4212-9C4E-341289874A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V_Polar!$S$20:$S$30</c:f>
              <c:numCache>
                <c:formatCode>General</c:formatCode>
                <c:ptCount val="11"/>
                <c:pt idx="0">
                  <c:v>9.6106970639866525</c:v>
                </c:pt>
                <c:pt idx="1">
                  <c:v>9.6154428094121833</c:v>
                </c:pt>
                <c:pt idx="2">
                  <c:v>9.6148640467707711</c:v>
                </c:pt>
                <c:pt idx="3">
                  <c:v>9.613699878595682</c:v>
                </c:pt>
                <c:pt idx="4">
                  <c:v>9.6122203990248103</c:v>
                </c:pt>
                <c:pt idx="5">
                  <c:v>9.6156617106943862</c:v>
                </c:pt>
                <c:pt idx="6">
                  <c:v>9.6144762849456846</c:v>
                </c:pt>
                <c:pt idx="7">
                  <c:v>9.6120917411583147</c:v>
                </c:pt>
                <c:pt idx="8">
                  <c:v>9.6090525831213096</c:v>
                </c:pt>
                <c:pt idx="9">
                  <c:v>9.6057547126239715</c:v>
                </c:pt>
                <c:pt idx="10">
                  <c:v>9.6020348586776425</c:v>
                </c:pt>
              </c:numCache>
            </c:numRef>
          </c:xVal>
          <c:yVal>
            <c:numRef>
              <c:f>V_Polar!$T$20:$T$30</c:f>
              <c:numCache>
                <c:formatCode>General</c:formatCode>
                <c:ptCount val="11"/>
                <c:pt idx="0">
                  <c:v>-6.0142298435077528</c:v>
                </c:pt>
                <c:pt idx="1">
                  <c:v>-1.408087046315563</c:v>
                </c:pt>
                <c:pt idx="2">
                  <c:v>-2.8500041453110923</c:v>
                </c:pt>
                <c:pt idx="3">
                  <c:v>-4.0641226030194666</c:v>
                </c:pt>
                <c:pt idx="4">
                  <c:v>-5.1142996151602995</c:v>
                </c:pt>
                <c:pt idx="5">
                  <c:v>3.7175584771260553E-2</c:v>
                </c:pt>
                <c:pt idx="6">
                  <c:v>1.3535697640249551</c:v>
                </c:pt>
                <c:pt idx="7">
                  <c:v>2.8121122983916313</c:v>
                </c:pt>
                <c:pt idx="8">
                  <c:v>4.0597748479807967</c:v>
                </c:pt>
                <c:pt idx="9">
                  <c:v>5.0871061493058933</c:v>
                </c:pt>
                <c:pt idx="10">
                  <c:v>6.0001244556907292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5B4-4212-9C4E-341289874A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V_Polar!$U$20:$U$30</c:f>
              <c:numCache>
                <c:formatCode>General</c:formatCode>
                <c:ptCount val="11"/>
                <c:pt idx="0">
                  <c:v>16.547458234710561</c:v>
                </c:pt>
                <c:pt idx="1">
                  <c:v>16.55867638255932</c:v>
                </c:pt>
                <c:pt idx="2">
                  <c:v>16.557681767419428</c:v>
                </c:pt>
                <c:pt idx="3">
                  <c:v>16.554948842571072</c:v>
                </c:pt>
                <c:pt idx="4">
                  <c:v>16.55128947963982</c:v>
                </c:pt>
                <c:pt idx="5">
                  <c:v>16.558447380855334</c:v>
                </c:pt>
                <c:pt idx="6">
                  <c:v>16.55423813714058</c:v>
                </c:pt>
                <c:pt idx="7">
                  <c:v>16.546015402086311</c:v>
                </c:pt>
                <c:pt idx="8">
                  <c:v>16.535218491343649</c:v>
                </c:pt>
                <c:pt idx="9">
                  <c:v>16.522780838289897</c:v>
                </c:pt>
                <c:pt idx="10">
                  <c:v>16.507676488934912</c:v>
                </c:pt>
              </c:numCache>
            </c:numRef>
          </c:xVal>
          <c:yVal>
            <c:numRef>
              <c:f>V_Polar!$V$20:$V$30</c:f>
              <c:numCache>
                <c:formatCode>General</c:formatCode>
                <c:ptCount val="11"/>
                <c:pt idx="0">
                  <c:v>-8.385036988498543</c:v>
                </c:pt>
                <c:pt idx="1">
                  <c:v>-1.9703693228623265</c:v>
                </c:pt>
                <c:pt idx="2">
                  <c:v>-3.9802580184935721</c:v>
                </c:pt>
                <c:pt idx="3">
                  <c:v>-5.6720261049849894</c:v>
                </c:pt>
                <c:pt idx="4">
                  <c:v>-7.1344441443558182</c:v>
                </c:pt>
                <c:pt idx="5">
                  <c:v>5.5376205299042268E-2</c:v>
                </c:pt>
                <c:pt idx="6">
                  <c:v>1.8900307089189763</c:v>
                </c:pt>
                <c:pt idx="7">
                  <c:v>3.9211492013916818</c:v>
                </c:pt>
                <c:pt idx="8">
                  <c:v>5.6560892544594026</c:v>
                </c:pt>
                <c:pt idx="9">
                  <c:v>7.0814954890648227</c:v>
                </c:pt>
                <c:pt idx="10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5B4-4212-9C4E-341289874A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V_Polar!$W$20:$W$29</c:f>
              <c:numCache>
                <c:formatCode>General</c:formatCode>
                <c:ptCount val="10"/>
              </c:numCache>
            </c:numRef>
          </c:xVal>
          <c:yVal>
            <c:numRef>
              <c:f>V_Polar!$X$20:$X$29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5B4-4212-9C4E-34128987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253416"/>
        <c:axId val="719256368"/>
      </c:scatterChart>
      <c:valAx>
        <c:axId val="7192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6368"/>
        <c:crosses val="autoZero"/>
        <c:crossBetween val="midCat"/>
        <c:majorUnit val="5"/>
      </c:valAx>
      <c:valAx>
        <c:axId val="7192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G$6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List" dx="22" fmlaLink="$E$4" fmlaRange="$AD$1:$AD$5" noThreeD="1" sel="5" val="0"/>
</file>

<file path=xl/ctrlProps/ctrlProp5.xml><?xml version="1.0" encoding="utf-8"?>
<formControlPr xmlns="http://schemas.microsoft.com/office/spreadsheetml/2009/9/main" objectType="List" dx="22" fmlaLink="$K$4" fmlaRange="$AD$6:$AD$13" sel="1" val="0"/>
</file>

<file path=xl/ctrlProps/ctrlProp6.xml><?xml version="1.0" encoding="utf-8"?>
<formControlPr xmlns="http://schemas.microsoft.com/office/spreadsheetml/2009/9/main" objectType="List" dx="22" fmlaLink="$M$4" fmlaRange="$AD$14:$AD$15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Link="$A$4" fmlaRange="$AB$1:$AB$9" noThreeD="1" sel="6" val="0"/>
</file>

<file path=xl/ctrlProps/ctrlProp12.xml><?xml version="1.0" encoding="utf-8"?>
<formControlPr xmlns="http://schemas.microsoft.com/office/spreadsheetml/2009/9/main" objectType="Radio" firstButton="1" fmlaLink="$B$4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180975</xdr:rowOff>
        </xdr:from>
        <xdr:to>
          <xdr:col>7</xdr:col>
          <xdr:colOff>85725</xdr:colOff>
          <xdr:row>6</xdr:row>
          <xdr:rowOff>19050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</xdr:row>
          <xdr:rowOff>19050</xdr:rowOff>
        </xdr:from>
        <xdr:to>
          <xdr:col>6</xdr:col>
          <xdr:colOff>323850</xdr:colOff>
          <xdr:row>3</xdr:row>
          <xdr:rowOff>19050</xdr:rowOff>
        </xdr:to>
        <xdr:sp macro="" textlink="">
          <xdr:nvSpPr>
            <xdr:cNvPr id="16387" name="Option Button 3" descr="Iranian Calend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Iranian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</xdr:row>
          <xdr:rowOff>95250</xdr:rowOff>
        </xdr:from>
        <xdr:to>
          <xdr:col>6</xdr:col>
          <xdr:colOff>323850</xdr:colOff>
          <xdr:row>4</xdr:row>
          <xdr:rowOff>76200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Gregory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9525</xdr:rowOff>
        </xdr:from>
        <xdr:to>
          <xdr:col>4</xdr:col>
          <xdr:colOff>495300</xdr:colOff>
          <xdr:row>5</xdr:row>
          <xdr:rowOff>9525</xdr:rowOff>
        </xdr:to>
        <xdr:sp macro="" textlink="">
          <xdr:nvSpPr>
            <xdr:cNvPr id="16392" name="List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</xdr:row>
          <xdr:rowOff>19050</xdr:rowOff>
        </xdr:from>
        <xdr:to>
          <xdr:col>9</xdr:col>
          <xdr:colOff>390525</xdr:colOff>
          <xdr:row>6</xdr:row>
          <xdr:rowOff>152400</xdr:rowOff>
        </xdr:to>
        <xdr:sp macro="" textlink="">
          <xdr:nvSpPr>
            <xdr:cNvPr id="16393" name="List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19050</xdr:rowOff>
        </xdr:from>
        <xdr:to>
          <xdr:col>12</xdr:col>
          <xdr:colOff>657225</xdr:colOff>
          <xdr:row>3</xdr:row>
          <xdr:rowOff>209550</xdr:rowOff>
        </xdr:to>
        <xdr:sp macro="" textlink="">
          <xdr:nvSpPr>
            <xdr:cNvPr id="16396" name="List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4</xdr:row>
          <xdr:rowOff>152400</xdr:rowOff>
        </xdr:from>
        <xdr:to>
          <xdr:col>12</xdr:col>
          <xdr:colOff>657225</xdr:colOff>
          <xdr:row>6</xdr:row>
          <xdr:rowOff>9525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0</xdr:rowOff>
        </xdr:from>
        <xdr:to>
          <xdr:col>7</xdr:col>
          <xdr:colOff>790575</xdr:colOff>
          <xdr:row>2</xdr:row>
          <xdr:rowOff>47625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Average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647700</xdr:colOff>
      <xdr:row>0</xdr:row>
      <xdr:rowOff>161925</xdr:rowOff>
    </xdr:from>
    <xdr:ext cx="4105275" cy="7334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515100" y="161925"/>
          <a:ext cx="4105275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Exept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first table,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Formulas in this tab are from the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book:</a:t>
          </a:r>
          <a:endParaRPr lang="en-US" sz="1200">
            <a:effectLst/>
          </a:endParaRPr>
        </a:p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Sonnenuhren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by  Ottmar  Beucher</a:t>
          </a:r>
          <a:endParaRPr lang="en-US" sz="1200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 can change numer in colored cells</a:t>
          </a:r>
          <a:endParaRPr lang="en-US" sz="1200">
            <a:effectLst/>
          </a:endParaRPr>
        </a:p>
      </xdr:txBody>
    </xdr:sp>
    <xdr:clientData/>
  </xdr:oneCellAnchor>
  <xdr:twoCellAnchor>
    <xdr:from>
      <xdr:col>17</xdr:col>
      <xdr:colOff>76199</xdr:colOff>
      <xdr:row>74</xdr:row>
      <xdr:rowOff>28575</xdr:rowOff>
    </xdr:from>
    <xdr:to>
      <xdr:col>27</xdr:col>
      <xdr:colOff>247650</xdr:colOff>
      <xdr:row>83</xdr:row>
      <xdr:rowOff>128586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123825</xdr:rowOff>
        </xdr:from>
        <xdr:to>
          <xdr:col>8</xdr:col>
          <xdr:colOff>133350</xdr:colOff>
          <xdr:row>5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Dial With Vector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9525</xdr:rowOff>
        </xdr:from>
        <xdr:to>
          <xdr:col>2</xdr:col>
          <xdr:colOff>542925</xdr:colOff>
          <xdr:row>6</xdr:row>
          <xdr:rowOff>114300</xdr:rowOff>
        </xdr:to>
        <xdr:sp macro="" textlink="">
          <xdr:nvSpPr>
            <xdr:cNvPr id="34821" name="List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4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Loal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161925</xdr:rowOff>
        </xdr:from>
        <xdr:to>
          <xdr:col>4</xdr:col>
          <xdr:colOff>447675</xdr:colOff>
          <xdr:row>4</xdr:row>
          <xdr:rowOff>171450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4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Civil Tiem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</xdr:row>
      <xdr:rowOff>9526</xdr:rowOff>
    </xdr:from>
    <xdr:to>
      <xdr:col>13</xdr:col>
      <xdr:colOff>123825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30</xdr:row>
      <xdr:rowOff>166686</xdr:rowOff>
    </xdr:from>
    <xdr:to>
      <xdr:col>14</xdr:col>
      <xdr:colOff>342900</xdr:colOff>
      <xdr:row>48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533402</xdr:colOff>
      <xdr:row>31</xdr:row>
      <xdr:rowOff>152399</xdr:rowOff>
    </xdr:from>
    <xdr:to>
      <xdr:col>15</xdr:col>
      <xdr:colOff>247650</xdr:colOff>
      <xdr:row>57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32</xdr:row>
      <xdr:rowOff>4761</xdr:rowOff>
    </xdr:from>
    <xdr:to>
      <xdr:col>8</xdr:col>
      <xdr:colOff>476250</xdr:colOff>
      <xdr:row>60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30</xdr:row>
      <xdr:rowOff>80962</xdr:rowOff>
    </xdr:from>
    <xdr:to>
      <xdr:col>16</xdr:col>
      <xdr:colOff>276225</xdr:colOff>
      <xdr:row>45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liKhiabani\Documents\Sundials\SunDials_English_1.xlsm" TargetMode="External"/><Relationship Id="rId1" Type="http://schemas.openxmlformats.org/officeDocument/2006/relationships/externalLinkPath" Target="/Users/AliKhiabani/Documents/Sundials/SunDials_English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ter"/>
      <sheetName val="EquSol"/>
      <sheetName val="HourLines"/>
      <sheetName val="Sheet1"/>
      <sheetName val="Average"/>
      <sheetName val="Equatorial"/>
      <sheetName val="Polar"/>
      <sheetName val="Horizontal"/>
      <sheetName val="Vertical"/>
      <sheetName val="General"/>
      <sheetName val="Bifilar"/>
      <sheetName val="VectorDial"/>
      <sheetName val="V_Polar"/>
      <sheetName val="V_Vertical"/>
      <sheetName val="V_Equatorial"/>
      <sheetName val="V_General"/>
    </sheetNames>
    <sheetDataSet>
      <sheetData sheetId="0">
        <row r="6">
          <cell r="B6">
            <v>3.5</v>
          </cell>
          <cell r="G6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271-E2E0-475D-A7B7-382B013CB419}">
  <sheetPr codeName="Sheet11"/>
  <dimension ref="A1:AD40"/>
  <sheetViews>
    <sheetView tabSelected="1" workbookViewId="0">
      <selection activeCell="B2" sqref="B2"/>
    </sheetView>
  </sheetViews>
  <sheetFormatPr defaultRowHeight="15"/>
  <cols>
    <col min="1" max="1" width="22.7109375" customWidth="1"/>
    <col min="2" max="2" width="11.140625" customWidth="1"/>
    <col min="5" max="10" width="9.5703125" bestFit="1" customWidth="1"/>
    <col min="11" max="16" width="10.28515625" bestFit="1" customWidth="1"/>
    <col min="19" max="19" width="9" customWidth="1"/>
    <col min="20" max="20" width="7.28515625" customWidth="1"/>
    <col min="29" max="31" width="9.140625" customWidth="1"/>
  </cols>
  <sheetData>
    <row r="1" spans="1:30" ht="18">
      <c r="Y1" s="222"/>
      <c r="AD1" s="260" t="s">
        <v>85</v>
      </c>
    </row>
    <row r="2" spans="1:30" ht="18">
      <c r="A2" t="s">
        <v>70</v>
      </c>
      <c r="B2" s="164" t="s">
        <v>180</v>
      </c>
      <c r="D2" s="6" t="s">
        <v>78</v>
      </c>
      <c r="F2" s="7" t="s">
        <v>79</v>
      </c>
      <c r="H2" s="8" t="s">
        <v>63</v>
      </c>
      <c r="I2" s="166">
        <v>2023</v>
      </c>
      <c r="J2" s="7" t="s">
        <v>80</v>
      </c>
      <c r="L2" s="6" t="s">
        <v>81</v>
      </c>
      <c r="O2" s="220" t="s">
        <v>82</v>
      </c>
      <c r="P2" s="221" t="s">
        <v>83</v>
      </c>
      <c r="Q2" s="221" t="s">
        <v>84</v>
      </c>
      <c r="AD2" s="222" t="s">
        <v>86</v>
      </c>
    </row>
    <row r="3" spans="1:30" ht="18">
      <c r="A3" t="s">
        <v>71</v>
      </c>
      <c r="B3" s="165">
        <v>51.349758148193303</v>
      </c>
      <c r="O3" s="167">
        <v>15</v>
      </c>
      <c r="P3" s="176">
        <v>25</v>
      </c>
      <c r="Q3" s="176">
        <v>0</v>
      </c>
      <c r="AD3" s="222" t="s">
        <v>87</v>
      </c>
    </row>
    <row r="4" spans="1:30" ht="18">
      <c r="A4" t="s">
        <v>72</v>
      </c>
      <c r="B4" s="165">
        <v>35.702907562255803</v>
      </c>
      <c r="E4" s="11">
        <v>5</v>
      </c>
      <c r="K4">
        <v>1</v>
      </c>
      <c r="M4">
        <v>1</v>
      </c>
      <c r="R4" s="173"/>
      <c r="AD4" s="222" t="s">
        <v>88</v>
      </c>
    </row>
    <row r="5" spans="1:30" ht="18">
      <c r="A5" t="s">
        <v>73</v>
      </c>
      <c r="B5" s="165">
        <v>1368</v>
      </c>
      <c r="R5" s="173"/>
      <c r="AD5" s="222" t="s">
        <v>89</v>
      </c>
    </row>
    <row r="6" spans="1:30" ht="18">
      <c r="A6" t="s">
        <v>74</v>
      </c>
      <c r="B6" s="165">
        <v>3.5</v>
      </c>
      <c r="G6">
        <v>2</v>
      </c>
      <c r="AD6" s="222" t="s">
        <v>90</v>
      </c>
    </row>
    <row r="7" spans="1:30" ht="18.75">
      <c r="A7" s="11" t="s">
        <v>75</v>
      </c>
      <c r="B7" s="96"/>
      <c r="C7" s="12">
        <f>(B3-B6*15)*4</f>
        <v>-4.6009674072267899</v>
      </c>
      <c r="E7" s="7" t="s">
        <v>177</v>
      </c>
      <c r="R7" s="173"/>
      <c r="S7" s="173"/>
      <c r="AD7" s="222" t="s">
        <v>91</v>
      </c>
    </row>
    <row r="8" spans="1:30" ht="18.75" thickBot="1">
      <c r="A8" t="s">
        <v>76</v>
      </c>
      <c r="B8" s="9">
        <v>859.37743101323645</v>
      </c>
      <c r="C8" t="s">
        <v>1</v>
      </c>
      <c r="J8" s="89" t="s">
        <v>29</v>
      </c>
      <c r="R8" s="173"/>
      <c r="S8" s="173"/>
      <c r="AD8" s="222" t="s">
        <v>92</v>
      </c>
    </row>
    <row r="9" spans="1:30" ht="18.75">
      <c r="A9" t="s">
        <v>77</v>
      </c>
      <c r="B9" s="9">
        <v>6.109913180187772</v>
      </c>
      <c r="C9" s="86" t="s">
        <v>2</v>
      </c>
      <c r="D9" s="95" t="s">
        <v>0</v>
      </c>
      <c r="E9" s="223">
        <v>1</v>
      </c>
      <c r="F9" s="223">
        <f>E9+1</f>
        <v>2</v>
      </c>
      <c r="G9" s="223">
        <f t="shared" ref="G9:P9" si="0">F9+1</f>
        <v>3</v>
      </c>
      <c r="H9" s="223">
        <f t="shared" si="0"/>
        <v>4</v>
      </c>
      <c r="I9" s="223">
        <f t="shared" si="0"/>
        <v>5</v>
      </c>
      <c r="J9" s="223">
        <f t="shared" si="0"/>
        <v>6</v>
      </c>
      <c r="K9" s="223">
        <f t="shared" si="0"/>
        <v>7</v>
      </c>
      <c r="L9" s="223">
        <f t="shared" si="0"/>
        <v>8</v>
      </c>
      <c r="M9" s="223">
        <f t="shared" si="0"/>
        <v>9</v>
      </c>
      <c r="N9" s="223">
        <f t="shared" si="0"/>
        <v>10</v>
      </c>
      <c r="O9" s="223">
        <f t="shared" si="0"/>
        <v>11</v>
      </c>
      <c r="P9" s="224">
        <f t="shared" si="0"/>
        <v>12</v>
      </c>
      <c r="R9" s="173"/>
      <c r="S9" s="173"/>
      <c r="AD9" s="222" t="s">
        <v>93</v>
      </c>
    </row>
    <row r="10" spans="1:30" ht="18.75">
      <c r="D10" s="225">
        <v>1</v>
      </c>
      <c r="E10" s="13">
        <v>-23.012726769213366</v>
      </c>
      <c r="F10" s="13">
        <v>-17.133670530633768</v>
      </c>
      <c r="G10" s="13">
        <v>-7.6317291230097704</v>
      </c>
      <c r="H10" s="13">
        <v>4.4938542922091118</v>
      </c>
      <c r="I10" s="13">
        <v>15.040458835601481</v>
      </c>
      <c r="J10" s="13">
        <v>22.037192070179607</v>
      </c>
      <c r="K10" s="13">
        <v>23.112769878931722</v>
      </c>
      <c r="L10" s="13">
        <v>18.039774419183782</v>
      </c>
      <c r="M10" s="13">
        <v>8.3181423329930055</v>
      </c>
      <c r="N10" s="13">
        <v>-3.1389920964412883</v>
      </c>
      <c r="O10" s="13">
        <v>-14.385031380851839</v>
      </c>
      <c r="P10" s="14">
        <v>-21.780075727868212</v>
      </c>
      <c r="S10" s="11"/>
      <c r="AD10" s="222" t="s">
        <v>94</v>
      </c>
    </row>
    <row r="11" spans="1:30" ht="18.75">
      <c r="D11" s="225">
        <f>D10+1</f>
        <v>2</v>
      </c>
      <c r="E11" s="13">
        <v>-22.927393170865759</v>
      </c>
      <c r="F11" s="13">
        <v>-16.847190265091225</v>
      </c>
      <c r="G11" s="13">
        <v>-7.2510371642055329</v>
      </c>
      <c r="H11" s="13">
        <v>4.8792414817047716</v>
      </c>
      <c r="I11" s="13">
        <v>15.341396614962802</v>
      </c>
      <c r="J11" s="13">
        <v>22.17046537238129</v>
      </c>
      <c r="K11" s="13">
        <v>23.042849406505329</v>
      </c>
      <c r="L11" s="13">
        <v>17.786237276408258</v>
      </c>
      <c r="M11" s="13">
        <v>7.9549005121457581</v>
      </c>
      <c r="N11" s="13">
        <v>-3.5264261317854229</v>
      </c>
      <c r="O11" s="13">
        <v>-14.703852303735452</v>
      </c>
      <c r="P11" s="14">
        <v>-21.933141141851316</v>
      </c>
      <c r="S11" s="11"/>
      <c r="AD11" s="222" t="s">
        <v>99</v>
      </c>
    </row>
    <row r="12" spans="1:30" ht="18.75">
      <c r="D12" s="225">
        <f t="shared" ref="D12:D40" si="1">D11+1</f>
        <v>3</v>
      </c>
      <c r="E12" s="13">
        <v>-22.834443093194086</v>
      </c>
      <c r="F12" s="13">
        <v>-16.55580527601569</v>
      </c>
      <c r="G12" s="13">
        <v>-6.8686336279736464</v>
      </c>
      <c r="H12" s="13">
        <v>5.2631669034766633</v>
      </c>
      <c r="I12" s="13">
        <v>15.638098205500171</v>
      </c>
      <c r="J12" s="13">
        <v>22.297294610137996</v>
      </c>
      <c r="K12" s="13">
        <v>22.966232852487508</v>
      </c>
      <c r="L12" s="13">
        <v>17.527889001907575</v>
      </c>
      <c r="M12" s="13">
        <v>7.5895270992601436</v>
      </c>
      <c r="N12" s="13">
        <v>-3.9132113924135523</v>
      </c>
      <c r="O12" s="13">
        <v>-15.018724973242715</v>
      </c>
      <c r="P12" s="14">
        <v>-22.079195796432778</v>
      </c>
      <c r="S12" s="11"/>
      <c r="AD12" s="222" t="s">
        <v>95</v>
      </c>
    </row>
    <row r="13" spans="1:30" ht="18.75">
      <c r="D13" s="225">
        <f t="shared" si="1"/>
        <v>4</v>
      </c>
      <c r="E13" s="13">
        <v>-22.733926374276749</v>
      </c>
      <c r="F13" s="13">
        <v>-16.259630893958747</v>
      </c>
      <c r="G13" s="13">
        <v>-6.4846296549591491</v>
      </c>
      <c r="H13" s="13">
        <v>5.645536256860483</v>
      </c>
      <c r="I13" s="13">
        <v>15.930480179231626</v>
      </c>
      <c r="J13" s="13">
        <v>22.417637319133956</v>
      </c>
      <c r="K13" s="13">
        <v>22.882953307436626</v>
      </c>
      <c r="L13" s="13">
        <v>17.264807998527314</v>
      </c>
      <c r="M13" s="13">
        <v>7.2221084092933072</v>
      </c>
      <c r="N13" s="13">
        <v>-4.299251020269641</v>
      </c>
      <c r="O13" s="13">
        <v>-15.329535259880295</v>
      </c>
      <c r="P13" s="14">
        <v>-22.218161870511025</v>
      </c>
      <c r="S13" s="11"/>
      <c r="AD13" s="222" t="s">
        <v>96</v>
      </c>
    </row>
    <row r="14" spans="1:30" ht="18.75">
      <c r="D14" s="225">
        <f t="shared" si="1"/>
        <v>5</v>
      </c>
      <c r="E14" s="13">
        <v>-22.625896220274758</v>
      </c>
      <c r="F14" s="13">
        <v>-15.958781626814526</v>
      </c>
      <c r="G14" s="13">
        <v>-6.0991345819945337</v>
      </c>
      <c r="H14" s="13">
        <v>6.0262565152427792</v>
      </c>
      <c r="I14" s="13">
        <v>16.218459909669111</v>
      </c>
      <c r="J14" s="13">
        <v>22.531452131309358</v>
      </c>
      <c r="K14" s="13">
        <v>22.793044869005755</v>
      </c>
      <c r="L14" s="13">
        <v>16.997072840525213</v>
      </c>
      <c r="M14" s="13">
        <v>6.8527316490577448</v>
      </c>
      <c r="N14" s="13">
        <v>-4.6844465076879711</v>
      </c>
      <c r="O14" s="13">
        <v>-15.636168342126698</v>
      </c>
      <c r="P14" s="14">
        <v>-22.349964517425928</v>
      </c>
      <c r="S14" s="11"/>
      <c r="AD14" s="222" t="s">
        <v>97</v>
      </c>
    </row>
    <row r="15" spans="1:30" ht="18.75">
      <c r="D15" s="225">
        <f t="shared" si="1"/>
        <v>6</v>
      </c>
      <c r="E15" s="13">
        <v>-22.510408625696012</v>
      </c>
      <c r="F15" s="13">
        <v>-15.653371074232382</v>
      </c>
      <c r="G15" s="13">
        <v>-5.7122558675161761</v>
      </c>
      <c r="H15" s="13">
        <v>6.4052355075606169</v>
      </c>
      <c r="I15" s="13">
        <v>16.501955080830299</v>
      </c>
      <c r="J15" s="13">
        <v>22.638698623234951</v>
      </c>
      <c r="K15" s="13">
        <v>22.696542786250522</v>
      </c>
      <c r="L15" s="13">
        <v>16.724762730455538</v>
      </c>
      <c r="M15" s="13">
        <v>6.4814851504891822</v>
      </c>
      <c r="N15" s="13">
        <v>-5.0686977632870436</v>
      </c>
      <c r="O15" s="13">
        <v>-15.938509183204747</v>
      </c>
      <c r="P15" s="14">
        <v>-22.474532381821113</v>
      </c>
      <c r="S15" s="11"/>
      <c r="T15" s="56"/>
      <c r="AD15" s="222" t="s">
        <v>98</v>
      </c>
    </row>
    <row r="16" spans="1:30" ht="18.75">
      <c r="D16" s="225">
        <f t="shared" si="1"/>
        <v>7</v>
      </c>
      <c r="E16" s="13">
        <v>-22.387521925594424</v>
      </c>
      <c r="F16" s="13">
        <v>-15.343512047484857</v>
      </c>
      <c r="G16" s="13">
        <v>-5.3240992241355496</v>
      </c>
      <c r="H16" s="13">
        <v>6.7823814198601227</v>
      </c>
      <c r="I16" s="13">
        <v>16.780883259336559</v>
      </c>
      <c r="J16" s="13">
        <v>22.73933738007063</v>
      </c>
      <c r="K16" s="13">
        <v>22.593483779657539</v>
      </c>
      <c r="L16" s="13">
        <v>16.44795791246397</v>
      </c>
      <c r="M16" s="13">
        <v>6.1084584184476149</v>
      </c>
      <c r="N16" s="13">
        <v>-5.4519033449093044</v>
      </c>
      <c r="O16" s="13">
        <v>-16.23644300279819</v>
      </c>
      <c r="P16" s="14">
        <v>-22.591797979945607</v>
      </c>
      <c r="S16" s="11"/>
      <c r="T16" s="56"/>
    </row>
    <row r="17" spans="4:20" ht="18.75">
      <c r="D17" s="225">
        <f t="shared" si="1"/>
        <v>8</v>
      </c>
      <c r="E17" s="13">
        <v>-22.257296537820462</v>
      </c>
      <c r="F17" s="13">
        <v>-15.029316861652546</v>
      </c>
      <c r="G17" s="13">
        <v>-4.9347689303141724</v>
      </c>
      <c r="H17" s="13">
        <v>7.1576023013963423</v>
      </c>
      <c r="I17" s="13">
        <v>17.055161604958641</v>
      </c>
      <c r="J17" s="13">
        <v>22.833330263032181</v>
      </c>
      <c r="K17" s="13">
        <v>22.48390646583827</v>
      </c>
      <c r="L17" s="13">
        <v>16.166739967609576</v>
      </c>
      <c r="M17" s="13">
        <v>5.733742000081353</v>
      </c>
      <c r="N17" s="13">
        <v>-5.8339608014582796</v>
      </c>
      <c r="O17" s="13">
        <v>-16.529855664922124</v>
      </c>
      <c r="P17" s="14">
        <v>-22.701697900800543</v>
      </c>
      <c r="S17" s="11"/>
      <c r="T17" s="56"/>
    </row>
    <row r="18" spans="4:20" ht="18.75">
      <c r="D18" s="225">
        <f t="shared" si="1"/>
        <v>9</v>
      </c>
      <c r="E18" s="13">
        <v>-22.119794919651298</v>
      </c>
      <c r="F18" s="13">
        <v>-14.71089772852479</v>
      </c>
      <c r="G18" s="13">
        <v>-4.5443682693308913</v>
      </c>
      <c r="H18" s="13">
        <v>7.5308056544997628</v>
      </c>
      <c r="I18" s="13">
        <v>17.324706771986374</v>
      </c>
      <c r="J18" s="13">
        <v>22.920640832564423</v>
      </c>
      <c r="K18" s="13">
        <v>22.36785179876874</v>
      </c>
      <c r="L18" s="13">
        <v>15.881191936829547</v>
      </c>
      <c r="M18" s="13">
        <v>5.3574272149624731</v>
      </c>
      <c r="N18" s="13">
        <v>-6.2147670518413829</v>
      </c>
      <c r="O18" s="13">
        <v>-16.818633927000342</v>
      </c>
      <c r="P18" s="14">
        <v>-22.804172820620749</v>
      </c>
      <c r="S18" s="11"/>
      <c r="T18" s="56"/>
    </row>
    <row r="19" spans="4:20" ht="18.75">
      <c r="D19" s="225">
        <f t="shared" si="1"/>
        <v>10</v>
      </c>
      <c r="E19" s="13">
        <v>-21.975081721814259</v>
      </c>
      <c r="F19" s="13">
        <v>-14.388367169433325</v>
      </c>
      <c r="G19" s="13">
        <v>-4.1530000160909175</v>
      </c>
      <c r="H19" s="13">
        <v>7.9018981759364264</v>
      </c>
      <c r="I19" s="13">
        <v>17.589435015698047</v>
      </c>
      <c r="J19" s="13">
        <v>23.001234852238095</v>
      </c>
      <c r="K19" s="13">
        <v>22.245363439420888</v>
      </c>
      <c r="L19" s="13">
        <v>15.591398257292415</v>
      </c>
      <c r="M19" s="13">
        <v>4.9796058082222263</v>
      </c>
      <c r="N19" s="13">
        <v>-6.5942187219481374</v>
      </c>
      <c r="O19" s="13">
        <v>-17.102665519359906</v>
      </c>
      <c r="P19" s="14">
        <v>-22.899167360063235</v>
      </c>
      <c r="S19" s="11"/>
      <c r="T19" s="56"/>
    </row>
    <row r="20" spans="4:20" ht="18.75">
      <c r="D20" s="225">
        <f t="shared" si="1"/>
        <v>11</v>
      </c>
      <c r="E20" s="13">
        <v>-21.823224089396248</v>
      </c>
      <c r="F20" s="13">
        <v>-14.061838364458916</v>
      </c>
      <c r="G20" s="13">
        <v>-3.7607668925042463</v>
      </c>
      <c r="H20" s="13">
        <v>8.270785683866178</v>
      </c>
      <c r="I20" s="13">
        <v>17.849262483401812</v>
      </c>
      <c r="J20" s="13">
        <v>23.075080782973604</v>
      </c>
      <c r="K20" s="13">
        <v>22.116487982190748</v>
      </c>
      <c r="L20" s="13">
        <v>15.297444529667455</v>
      </c>
      <c r="M20" s="13">
        <v>4.6003696058191741</v>
      </c>
      <c r="N20" s="13">
        <v>-6.9722123743449904</v>
      </c>
      <c r="O20" s="13">
        <v>-17.381839066361497</v>
      </c>
      <c r="P20" s="14">
        <v>-22.986629844706837</v>
      </c>
      <c r="S20" s="11"/>
      <c r="T20" s="56"/>
    </row>
    <row r="21" spans="4:20" ht="18.75">
      <c r="D21" s="225">
        <f t="shared" si="1"/>
        <v>12</v>
      </c>
      <c r="E21" s="13">
        <v>-21.664292031606923</v>
      </c>
      <c r="F21" s="13">
        <v>-13.731425368761546</v>
      </c>
      <c r="G21" s="13">
        <v>-3.3677719114032896</v>
      </c>
      <c r="H21" s="13">
        <v>8.6373732314320186</v>
      </c>
      <c r="I21" s="13">
        <v>18.104105633863579</v>
      </c>
      <c r="J21" s="13">
        <v>23.142150185623262</v>
      </c>
      <c r="K21" s="13">
        <v>21.981274995097422</v>
      </c>
      <c r="L21" s="13">
        <v>14.999417169750918</v>
      </c>
      <c r="M21" s="13">
        <v>4.2198102444032415</v>
      </c>
      <c r="N21" s="13">
        <v>-7.3486445866224743</v>
      </c>
      <c r="O21" s="13">
        <v>-17.656043889826087</v>
      </c>
      <c r="P21" s="14">
        <v>-23.066512046460449</v>
      </c>
      <c r="S21" s="11"/>
      <c r="T21" s="56"/>
    </row>
    <row r="22" spans="4:20" ht="18.75">
      <c r="D22" s="225">
        <f t="shared" si="1"/>
        <v>13</v>
      </c>
      <c r="E22" s="13">
        <v>-21.498358773687595</v>
      </c>
      <c r="F22" s="13">
        <v>-13.397243157705612</v>
      </c>
      <c r="G22" s="13">
        <v>-2.9741185621359914</v>
      </c>
      <c r="H22" s="13">
        <v>9.0015653760654786</v>
      </c>
      <c r="I22" s="13">
        <v>18.353881711118873</v>
      </c>
      <c r="J22" s="13">
        <v>23.202417966314748</v>
      </c>
      <c r="K22" s="13">
        <v>21.839776869939936</v>
      </c>
      <c r="L22" s="13">
        <v>14.697403016009085</v>
      </c>
      <c r="M22" s="13">
        <v>3.8380190324875878</v>
      </c>
      <c r="N22" s="13">
        <v>-7.7234118697445417</v>
      </c>
      <c r="O22" s="13">
        <v>-17.925169759979656</v>
      </c>
      <c r="P22" s="14">
        <v>-23.138768986129261</v>
      </c>
      <c r="S22" s="11"/>
      <c r="T22" s="56"/>
    </row>
    <row r="23" spans="4:20" ht="18.75">
      <c r="D23" s="225">
        <f t="shared" si="1"/>
        <v>14</v>
      </c>
      <c r="E23" s="13">
        <v>-21.325501009474177</v>
      </c>
      <c r="F23" s="13">
        <v>-13.059407493417256</v>
      </c>
      <c r="G23" s="13">
        <v>-2.5799108126993273</v>
      </c>
      <c r="H23" s="13">
        <v>9.3632665414712317</v>
      </c>
      <c r="I23" s="13">
        <v>18.598509185798093</v>
      </c>
      <c r="J23" s="13">
        <v>23.255862434364921</v>
      </c>
      <c r="K23" s="13">
        <v>21.692048514220001</v>
      </c>
      <c r="L23" s="13">
        <v>14.391488975217293</v>
      </c>
      <c r="M23" s="13">
        <v>3.4550869717487083</v>
      </c>
      <c r="N23" s="13">
        <v>-8.0964104478920991</v>
      </c>
      <c r="O23" s="13">
        <v>-18.189106673385936</v>
      </c>
      <c r="P23" s="14">
        <v>-23.203358862896231</v>
      </c>
      <c r="S23" s="11"/>
      <c r="T23" s="56"/>
    </row>
    <row r="24" spans="4:20" ht="18.75">
      <c r="D24" s="225">
        <f t="shared" si="1"/>
        <v>15</v>
      </c>
      <c r="E24" s="13">
        <v>-21.145798994979543</v>
      </c>
      <c r="F24" s="13">
        <v>-12.718034644618218</v>
      </c>
      <c r="G24" s="13">
        <v>-2.1852529434247967</v>
      </c>
      <c r="H24" s="13">
        <v>9.7223813967274317</v>
      </c>
      <c r="I24" s="13">
        <v>18.837908091754439</v>
      </c>
      <c r="J24" s="13">
        <v>23.302465178727452</v>
      </c>
      <c r="K24" s="13">
        <v>21.538146948738454</v>
      </c>
      <c r="L24" s="13">
        <v>14.08176177269088</v>
      </c>
      <c r="M24" s="13">
        <v>3.071104932017986</v>
      </c>
      <c r="N24" s="13">
        <v>-8.4675359528298948</v>
      </c>
      <c r="O24" s="13">
        <v>-18.447744730394298</v>
      </c>
      <c r="P24" s="14">
        <v>-23.260243149157297</v>
      </c>
      <c r="S24" s="11"/>
      <c r="T24" s="56"/>
    </row>
    <row r="25" spans="4:20" ht="18.75">
      <c r="D25" s="225">
        <f t="shared" si="1"/>
        <v>16</v>
      </c>
      <c r="E25" s="13">
        <v>-20.959336455866993</v>
      </c>
      <c r="F25" s="13">
        <v>-12.373241015514454</v>
      </c>
      <c r="G25" s="13">
        <v>-1.7902492588694288</v>
      </c>
      <c r="H25" s="13">
        <v>10.078815176748462</v>
      </c>
      <c r="I25" s="13">
        <v>19.072000206459876</v>
      </c>
      <c r="J25" s="13">
        <v>23.342210806244836</v>
      </c>
      <c r="K25" s="13">
        <v>21.378130889666796</v>
      </c>
      <c r="L25" s="13">
        <v>13.768307858307155</v>
      </c>
      <c r="M25" s="13">
        <v>2.6861639450675132</v>
      </c>
      <c r="N25" s="13">
        <v>-8.8366831041365703</v>
      </c>
      <c r="O25" s="13">
        <v>-18.700974166559774</v>
      </c>
      <c r="P25" s="14">
        <v>-23.309386852611397</v>
      </c>
      <c r="S25" s="11"/>
      <c r="T25" s="56"/>
    </row>
    <row r="26" spans="4:20" ht="18.75">
      <c r="D26" s="225">
        <f t="shared" si="1"/>
        <v>17</v>
      </c>
      <c r="E26" s="13">
        <v>-20.766200320068524</v>
      </c>
      <c r="F26" s="13">
        <v>-12.025142759265298</v>
      </c>
      <c r="G26" s="13">
        <v>-1.3950037446780519</v>
      </c>
      <c r="H26" s="13">
        <v>10.432473879704713</v>
      </c>
      <c r="I26" s="13">
        <v>19.300709057025607</v>
      </c>
      <c r="J26" s="13">
        <v>23.375086611265896</v>
      </c>
      <c r="K26" s="13">
        <v>21.212060397512428</v>
      </c>
      <c r="L26" s="13">
        <v>13.451213480132592</v>
      </c>
      <c r="M26" s="13">
        <v>2.3003555489607024</v>
      </c>
      <c r="N26" s="13">
        <v>-9.203745449402712</v>
      </c>
      <c r="O26" s="13">
        <v>-18.948685561383844</v>
      </c>
      <c r="P26" s="14">
        <v>-23.350758911998966</v>
      </c>
      <c r="S26" s="11"/>
      <c r="T26" s="56"/>
    </row>
    <row r="27" spans="4:20" ht="18.75">
      <c r="D27" s="225">
        <f t="shared" si="1"/>
        <v>18</v>
      </c>
      <c r="E27" s="13">
        <v>-20.566480318690243</v>
      </c>
      <c r="F27" s="13">
        <v>-11.673855451860131</v>
      </c>
      <c r="G27" s="13">
        <v>-0.99961974361282468</v>
      </c>
      <c r="H27" s="13">
        <v>10.783264308148285</v>
      </c>
      <c r="I27" s="13">
        <v>19.523959771273528</v>
      </c>
      <c r="J27" s="13">
        <v>23.401082259168579</v>
      </c>
      <c r="K27" s="13">
        <v>21.039996658418236</v>
      </c>
      <c r="L27" s="13">
        <v>13.130564904938096</v>
      </c>
      <c r="M27" s="13">
        <v>1.9137721155165426</v>
      </c>
      <c r="N27" s="13">
        <v>-9.5686152296290015</v>
      </c>
      <c r="O27" s="13">
        <v>-19.190770212768413</v>
      </c>
      <c r="P27" s="14">
        <v>-23.384332661186853</v>
      </c>
      <c r="S27" s="11"/>
      <c r="T27" s="56"/>
    </row>
    <row r="28" spans="4:20" ht="18.75">
      <c r="D28" s="225">
        <f t="shared" si="1"/>
        <v>19</v>
      </c>
      <c r="E28" s="13">
        <v>-20.360268525758862</v>
      </c>
      <c r="F28" s="13">
        <v>-11.319493888482489</v>
      </c>
      <c r="G28" s="13">
        <v>-0.60419972385396736</v>
      </c>
      <c r="H28" s="13">
        <v>11.131093950510133</v>
      </c>
      <c r="I28" s="13">
        <v>19.741678825540774</v>
      </c>
      <c r="J28" s="13">
        <v>23.420189562145673</v>
      </c>
      <c r="K28" s="13">
        <v>20.862001935276183</v>
      </c>
      <c r="L28" s="13">
        <v>12.806448735684798</v>
      </c>
      <c r="M28" s="13">
        <v>1.5265070830552101</v>
      </c>
      <c r="N28" s="13">
        <v>-9.9311834097997806</v>
      </c>
      <c r="O28" s="13">
        <v>-19.42712063061207</v>
      </c>
      <c r="P28" s="14">
        <v>-23.410086279758961</v>
      </c>
      <c r="S28" s="11"/>
      <c r="T28" s="56"/>
    </row>
    <row r="29" spans="4:20" ht="18.75">
      <c r="D29" s="225">
        <f t="shared" si="1"/>
        <v>20</v>
      </c>
      <c r="E29" s="13">
        <v>-20.147658917238264</v>
      </c>
      <c r="F29" s="13">
        <v>-10.962172040500068</v>
      </c>
      <c r="G29" s="13">
        <v>-0.20884518665711194</v>
      </c>
      <c r="H29" s="13">
        <v>11.475870734422994</v>
      </c>
      <c r="I29" s="13">
        <v>19.953793760674611</v>
      </c>
      <c r="J29" s="13">
        <v>23.432402405720595</v>
      </c>
      <c r="K29" s="13">
        <v>20.678139689348555</v>
      </c>
      <c r="L29" s="13">
        <v>12.478952250587492</v>
      </c>
      <c r="M29" s="13">
        <v>1.1386550407218929</v>
      </c>
      <c r="N29" s="13">
        <v>-10.291339883425323</v>
      </c>
      <c r="O29" s="13">
        <v>-19.657631077547197</v>
      </c>
      <c r="P29" s="14">
        <v>-23.4280031449969</v>
      </c>
      <c r="S29" s="11"/>
      <c r="T29" s="56"/>
    </row>
    <row r="30" spans="4:20" ht="18.75">
      <c r="D30" s="225">
        <f>D29+1</f>
        <v>21</v>
      </c>
      <c r="E30" s="13">
        <v>-19.928747024358856</v>
      </c>
      <c r="F30" s="13">
        <v>-10.602003173019375</v>
      </c>
      <c r="G30" s="13">
        <v>0.18634326710730073</v>
      </c>
      <c r="H30" s="13">
        <v>11.817502711118106</v>
      </c>
      <c r="I30" s="13">
        <v>20.160232948382461</v>
      </c>
      <c r="J30" s="13">
        <v>23.437716852107631</v>
      </c>
      <c r="K30" s="13">
        <v>20.488474839030847</v>
      </c>
      <c r="L30" s="13">
        <v>12.148163688374716</v>
      </c>
      <c r="M30" s="13">
        <v>0.75031164090024849</v>
      </c>
      <c r="N30" s="13">
        <v>-10.648973823038649</v>
      </c>
      <c r="O30" s="13">
        <v>-19.882198073739335</v>
      </c>
      <c r="P30" s="14">
        <v>-23.438072015827647</v>
      </c>
      <c r="S30" s="11"/>
      <c r="T30" s="56"/>
    </row>
    <row r="31" spans="4:20" ht="18.75">
      <c r="D31" s="225">
        <f t="shared" si="1"/>
        <v>22</v>
      </c>
      <c r="E31" s="13">
        <v>-19.703629735754024</v>
      </c>
      <c r="F31" s="13">
        <v>-10.239100096556667</v>
      </c>
      <c r="G31" s="13">
        <v>0.58126572339022653</v>
      </c>
      <c r="H31" s="13">
        <v>12.155897745719569</v>
      </c>
      <c r="I31" s="13">
        <v>20.360925477635956</v>
      </c>
      <c r="J31" s="13">
        <v>23.436131408764847</v>
      </c>
      <c r="K31" s="13">
        <v>20.293074088089647</v>
      </c>
      <c r="L31" s="13">
        <v>11.814172406544991</v>
      </c>
      <c r="M31" s="13">
        <v>0.36157334275323294</v>
      </c>
      <c r="N31" s="13">
        <v>-11.003974122214505</v>
      </c>
      <c r="O31" s="13">
        <v>-20.100720783645997</v>
      </c>
      <c r="P31" s="14">
        <v>-23.440287007677689</v>
      </c>
      <c r="S31" s="11"/>
      <c r="T31" s="56"/>
    </row>
    <row r="32" spans="4:20" ht="18.75">
      <c r="D32" s="225">
        <f t="shared" si="1"/>
        <v>23</v>
      </c>
      <c r="E32" s="13">
        <v>-19.472405272162941</v>
      </c>
      <c r="F32" s="13">
        <v>-9.8735754925405743</v>
      </c>
      <c r="G32" s="13">
        <v>0.97582264156919407</v>
      </c>
      <c r="H32" s="13">
        <v>12.490963288351798</v>
      </c>
      <c r="I32" s="13">
        <v>20.555801208814469</v>
      </c>
      <c r="J32" s="13">
        <v>23.427647414750311</v>
      </c>
      <c r="K32" s="13">
        <v>20.092006245279961</v>
      </c>
      <c r="L32" s="13">
        <v>11.477068869186734</v>
      </c>
      <c r="M32" s="13">
        <v>-2.7462968613569737E-2</v>
      </c>
      <c r="N32" s="13">
        <v>-11.356229850737762</v>
      </c>
      <c r="O32" s="13">
        <v>-20.313101226746731</v>
      </c>
      <c r="P32" s="14">
        <v>-23.434647354218669</v>
      </c>
      <c r="S32" s="11"/>
      <c r="T32" s="56"/>
    </row>
    <row r="33" spans="4:20" ht="18.75">
      <c r="D33" s="225">
        <f>D32+1</f>
        <v>24</v>
      </c>
      <c r="E33" s="13">
        <v>-19.235173320467769</v>
      </c>
      <c r="F33" s="13">
        <v>-9.5055422373724987</v>
      </c>
      <c r="G33" s="13">
        <v>1.369914504843273</v>
      </c>
      <c r="H33" s="13">
        <v>12.822606286315413</v>
      </c>
      <c r="I33" s="13">
        <v>20.74479100861824</v>
      </c>
      <c r="J33" s="13">
        <v>23.412269470303112</v>
      </c>
      <c r="K33" s="13">
        <v>19.885342451612321</v>
      </c>
      <c r="L33" s="13">
        <v>11.136944451079188</v>
      </c>
      <c r="M33" s="13">
        <v>-0.41670042376745864</v>
      </c>
      <c r="N33" s="13">
        <v>-11.705630642530377</v>
      </c>
      <c r="O33" s="13">
        <v>-20.519244281078894</v>
      </c>
      <c r="P33" s="14">
        <v>-23.42115699100513</v>
      </c>
      <c r="S33" s="11"/>
      <c r="T33" s="56"/>
    </row>
    <row r="34" spans="4:20" ht="18.75">
      <c r="D34" s="225">
        <f t="shared" si="1"/>
        <v>25</v>
      </c>
      <c r="E34" s="13">
        <v>-18.992035281532132</v>
      </c>
      <c r="F34" s="13">
        <v>-9.1351136520568623</v>
      </c>
      <c r="G34" s="13">
        <v>1.7634415135492647</v>
      </c>
      <c r="H34" s="13">
        <v>13.150733270335271</v>
      </c>
      <c r="I34" s="13">
        <v>20.927827142413474</v>
      </c>
      <c r="J34" s="13">
        <v>23.390005822771823</v>
      </c>
      <c r="K34" s="13">
        <v>19.673156248093235</v>
      </c>
      <c r="L34" s="13">
        <v>10.79389107933768</v>
      </c>
      <c r="M34" s="13">
        <v>-0.80604258665292672</v>
      </c>
      <c r="N34" s="13">
        <v>-12.052066943686146</v>
      </c>
      <c r="O34" s="13">
        <v>-20.719057491122925</v>
      </c>
      <c r="P34" s="14">
        <v>-23.399824028483259</v>
      </c>
      <c r="S34" s="11"/>
      <c r="T34" s="56"/>
    </row>
    <row r="35" spans="4:20" ht="18.75">
      <c r="D35" s="225">
        <f t="shared" si="1"/>
        <v>26</v>
      </c>
      <c r="E35" s="13">
        <v>-18.743094559945998</v>
      </c>
      <c r="F35" s="13">
        <v>-8.7624036094851867</v>
      </c>
      <c r="G35" s="13">
        <v>2.1563033856305474</v>
      </c>
      <c r="H35" s="13">
        <v>13.475250616848008</v>
      </c>
      <c r="I35" s="13">
        <v>21.104843766636101</v>
      </c>
      <c r="J35" s="13">
        <v>23.360868626163512</v>
      </c>
      <c r="K35" s="13">
        <v>19.455523449932269</v>
      </c>
      <c r="L35" s="13">
        <v>10.4480007683681</v>
      </c>
      <c r="M35" s="13">
        <v>-1.1953937735183335</v>
      </c>
      <c r="N35" s="13">
        <v>-12.395430073969365</v>
      </c>
      <c r="O35" s="13">
        <v>-20.912450721959654</v>
      </c>
      <c r="P35" s="14">
        <v>-23.370660202243901</v>
      </c>
      <c r="S35" s="11"/>
      <c r="T35" s="56"/>
    </row>
    <row r="36" spans="4:20" ht="18.75">
      <c r="D36" s="225">
        <f t="shared" si="1"/>
        <v>27</v>
      </c>
      <c r="E36" s="13">
        <v>-18.488456814432837</v>
      </c>
      <c r="F36" s="13">
        <v>-8.3875264683873514</v>
      </c>
      <c r="G36" s="13">
        <v>2.5483993184560236</v>
      </c>
      <c r="H36" s="13">
        <v>13.796064947246421</v>
      </c>
      <c r="I36" s="13">
        <v>21.27577744191624</v>
      </c>
      <c r="J36" s="13">
        <v>23.324874013074833</v>
      </c>
      <c r="K36" s="13">
        <v>19.232521822358091</v>
      </c>
      <c r="L36" s="13">
        <v>10.099365126723521</v>
      </c>
      <c r="M36" s="13">
        <v>-1.5846592080850159</v>
      </c>
      <c r="N36" s="13">
        <v>-12.735612088689169</v>
      </c>
      <c r="O36" s="13">
        <v>-21.099335738054059</v>
      </c>
      <c r="P36" s="14">
        <v>-23.333680392841863</v>
      </c>
      <c r="S36" s="11"/>
      <c r="T36" s="56"/>
    </row>
    <row r="37" spans="4:20" ht="18.75">
      <c r="D37" s="225">
        <f t="shared" si="1"/>
        <v>28</v>
      </c>
      <c r="E37" s="13">
        <v>-18.228230092148312</v>
      </c>
      <c r="F37" s="13">
        <v>-8.0105968258488858</v>
      </c>
      <c r="G37" s="13">
        <v>2.9396281253524434</v>
      </c>
      <c r="H37" s="13">
        <v>14.113083602317136</v>
      </c>
      <c r="I37" s="13">
        <v>21.440567580201691</v>
      </c>
      <c r="J37" s="13">
        <v>23.282041950021604</v>
      </c>
      <c r="K37" s="13">
        <v>19.004230599543465</v>
      </c>
      <c r="L37" s="13">
        <v>9.7480749179294364</v>
      </c>
      <c r="M37" s="13">
        <v>-1.9737449792561303</v>
      </c>
      <c r="N37" s="13">
        <v>-13.072505459996385</v>
      </c>
      <c r="O37" s="13">
        <v>-21.279625791866419</v>
      </c>
      <c r="P37" s="14">
        <v>-23.288902294090619</v>
      </c>
      <c r="S37" s="11"/>
      <c r="T37" s="56"/>
    </row>
    <row r="38" spans="4:20" ht="18.75">
      <c r="D38" s="225">
        <f t="shared" si="1"/>
        <v>29</v>
      </c>
      <c r="E38" s="13">
        <v>-17.962524791437207</v>
      </c>
      <c r="F38" s="13"/>
      <c r="G38" s="13">
        <v>3.3298885354422438</v>
      </c>
      <c r="H38" s="13">
        <v>14.426215109517008</v>
      </c>
      <c r="I38" s="13">
        <v>21.59915674665557</v>
      </c>
      <c r="J38" s="13">
        <v>23.232395887916582</v>
      </c>
      <c r="K38" s="13">
        <v>18.770729912558487</v>
      </c>
      <c r="L38" s="13">
        <v>9.3942197545243911</v>
      </c>
      <c r="M38" s="13">
        <v>-2.3625578018200062</v>
      </c>
      <c r="N38" s="13">
        <v>-13.406002638406074</v>
      </c>
      <c r="O38" s="13">
        <v>-21.453235313489287</v>
      </c>
      <c r="P38" s="14">
        <v>-23.236346281566469</v>
      </c>
      <c r="S38" s="11"/>
      <c r="T38" s="56"/>
    </row>
    <row r="39" spans="4:20" ht="18.75">
      <c r="D39" s="225">
        <f>D38+1</f>
        <v>30</v>
      </c>
      <c r="E39" s="13">
        <v>-17.691453428189291</v>
      </c>
      <c r="F39" s="13"/>
      <c r="G39" s="13">
        <v>3.7190796062689366</v>
      </c>
      <c r="H39" s="13">
        <v>14.735369561542575</v>
      </c>
      <c r="I39" s="13">
        <v>21.75149076431039</v>
      </c>
      <c r="J39" s="13">
        <v>23.175962256168333</v>
      </c>
      <c r="K39" s="13">
        <v>18.53210021386538</v>
      </c>
      <c r="L39" s="13">
        <v>9.0378879786627007</v>
      </c>
      <c r="M39" s="13">
        <v>-2.7510046169860578</v>
      </c>
      <c r="N39" s="13">
        <v>-13.735995566946158</v>
      </c>
      <c r="O39" s="13">
        <v>-21.620079768908674</v>
      </c>
      <c r="P39" s="14">
        <v>-23.176035495684086</v>
      </c>
      <c r="S39" s="11"/>
      <c r="T39" s="56"/>
    </row>
    <row r="40" spans="4:20" ht="19.5" thickBot="1">
      <c r="D40" s="226">
        <f t="shared" si="1"/>
        <v>31</v>
      </c>
      <c r="E40" s="15">
        <v>-17.415130219263304</v>
      </c>
      <c r="F40" s="15"/>
      <c r="G40" s="15">
        <v>4.107101178827584</v>
      </c>
      <c r="H40" s="15"/>
      <c r="I40" s="15">
        <v>21.897518602420636</v>
      </c>
      <c r="J40" s="15"/>
      <c r="K40" s="15">
        <v>18.288421787325735</v>
      </c>
      <c r="L40" s="15">
        <v>8.6791667510236366</v>
      </c>
      <c r="M40" s="15"/>
      <c r="N40" s="15">
        <v>-14.062375239615333</v>
      </c>
      <c r="O40" s="15"/>
      <c r="P40" s="16">
        <v>-23.107996114197491</v>
      </c>
      <c r="S40" s="11"/>
      <c r="T40" s="5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EQT_Click">
                <anchor moveWithCells="1">
                  <from>
                    <xdr:col>5</xdr:col>
                    <xdr:colOff>209550</xdr:colOff>
                    <xdr:row>4</xdr:row>
                    <xdr:rowOff>180975</xdr:rowOff>
                  </from>
                  <to>
                    <xdr:col>7</xdr:col>
                    <xdr:colOff>85725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altText="Iranian Calendar">
                <anchor moveWithCells="1">
                  <from>
                    <xdr:col>4</xdr:col>
                    <xdr:colOff>571500</xdr:colOff>
                    <xdr:row>2</xdr:row>
                    <xdr:rowOff>19050</xdr:rowOff>
                  </from>
                  <to>
                    <xdr:col>6</xdr:col>
                    <xdr:colOff>323850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</xdr:row>
                    <xdr:rowOff>95250</xdr:rowOff>
                  </from>
                  <to>
                    <xdr:col>6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List Box 8">
              <controlPr defaultSize="0" autoLine="0" autoPict="0">
                <anchor moveWithCells="1">
                  <from>
                    <xdr:col>2</xdr:col>
                    <xdr:colOff>190500</xdr:colOff>
                    <xdr:row>2</xdr:row>
                    <xdr:rowOff>9525</xdr:rowOff>
                  </from>
                  <to>
                    <xdr:col>4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List Box 9">
              <controlPr defaultSize="0" autoLine="0" autoPict="0">
                <anchor moveWithCells="1">
                  <from>
                    <xdr:col>7</xdr:col>
                    <xdr:colOff>457200</xdr:colOff>
                    <xdr:row>2</xdr:row>
                    <xdr:rowOff>19050</xdr:rowOff>
                  </from>
                  <to>
                    <xdr:col>9</xdr:col>
                    <xdr:colOff>390525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List Box 12">
              <controlPr defaultSize="0" autoLine="0" autoPict="0">
                <anchor moveWithCells="1">
                  <from>
                    <xdr:col>10</xdr:col>
                    <xdr:colOff>47625</xdr:colOff>
                    <xdr:row>2</xdr:row>
                    <xdr:rowOff>19050</xdr:rowOff>
                  </from>
                  <to>
                    <xdr:col>12</xdr:col>
                    <xdr:colOff>657225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0" name="Button 13">
              <controlPr defaultSize="0" print="0" autoFill="0" autoPict="0" macro="[0]!PolarGnom">
                <anchor moveWithCells="1" sizeWithCells="1">
                  <from>
                    <xdr:col>10</xdr:col>
                    <xdr:colOff>542925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9A1D9-D7BB-465F-8FFA-790CD8ABE083}">
  <sheetPr codeName="Sheet12"/>
  <dimension ref="A1:AC132"/>
  <sheetViews>
    <sheetView zoomScaleNormal="100" workbookViewId="0">
      <selection activeCell="E3" sqref="E3"/>
    </sheetView>
  </sheetViews>
  <sheetFormatPr defaultRowHeight="15"/>
  <cols>
    <col min="1" max="1" width="7.85546875" style="2" bestFit="1" customWidth="1"/>
    <col min="2" max="2" width="8.42578125" style="137" bestFit="1" customWidth="1"/>
    <col min="3" max="3" width="12" style="2" bestFit="1" customWidth="1"/>
    <col min="4" max="4" width="11.140625" style="2" bestFit="1" customWidth="1"/>
    <col min="5" max="5" width="9.5703125" style="2" bestFit="1" customWidth="1"/>
    <col min="6" max="6" width="8.42578125" style="137" bestFit="1" customWidth="1"/>
    <col min="7" max="7" width="9.28515625" style="2" bestFit="1" customWidth="1"/>
    <col min="8" max="8" width="12" style="2" bestFit="1" customWidth="1"/>
    <col min="9" max="9" width="6.42578125" style="2" bestFit="1" customWidth="1"/>
    <col min="10" max="10" width="8.42578125" style="137" bestFit="1" customWidth="1"/>
    <col min="11" max="11" width="9.28515625" style="2" bestFit="1" customWidth="1"/>
    <col min="12" max="12" width="12" style="2" bestFit="1" customWidth="1"/>
    <col min="13" max="13" width="6.42578125" style="2" bestFit="1" customWidth="1"/>
    <col min="14" max="14" width="8.42578125" style="137" bestFit="1" customWidth="1"/>
    <col min="15" max="15" width="9.28515625" style="2" bestFit="1" customWidth="1"/>
    <col min="16" max="16" width="12.5703125" style="2" bestFit="1" customWidth="1"/>
    <col min="17" max="65" width="10.7109375" customWidth="1"/>
  </cols>
  <sheetData>
    <row r="1" spans="1:29">
      <c r="B1" s="8" t="s">
        <v>70</v>
      </c>
      <c r="C1" s="10" t="str">
        <f>Enter!B2</f>
        <v>Tehran</v>
      </c>
      <c r="D1" s="8" t="s">
        <v>63</v>
      </c>
      <c r="E1" s="10">
        <f>Enter!I2</f>
        <v>2023</v>
      </c>
      <c r="F1" s="8" t="str">
        <f>IF([1]Enter!G6=1,"Iranian","Gregory")</f>
        <v>Gregory</v>
      </c>
    </row>
    <row r="2" spans="1:29">
      <c r="B2" s="8" t="s">
        <v>71</v>
      </c>
      <c r="C2" s="8" t="s">
        <v>72</v>
      </c>
      <c r="D2" s="8" t="s">
        <v>73</v>
      </c>
      <c r="E2" s="8" t="s">
        <v>74</v>
      </c>
      <c r="F2" s="2"/>
    </row>
    <row r="3" spans="1:29" s="2" customFormat="1">
      <c r="B3" s="10">
        <f>Enter!B3</f>
        <v>51.349758148193303</v>
      </c>
      <c r="C3" s="10">
        <f>Enter!B4</f>
        <v>35.702907562255803</v>
      </c>
      <c r="D3" s="10">
        <f>Enter!B5</f>
        <v>1368</v>
      </c>
      <c r="E3" s="10">
        <f>[1]Enter!B6</f>
        <v>3.5</v>
      </c>
      <c r="J3" s="137"/>
      <c r="N3" s="137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s="108" customFormat="1" ht="16.5" thickBot="1">
      <c r="A4" s="2"/>
      <c r="B4" s="261" t="s">
        <v>100</v>
      </c>
      <c r="C4" s="261"/>
      <c r="D4" s="2"/>
      <c r="E4" s="2"/>
      <c r="F4" s="261" t="s">
        <v>101</v>
      </c>
      <c r="G4" s="261"/>
      <c r="H4" s="2"/>
      <c r="I4" s="2"/>
      <c r="J4" s="261" t="s">
        <v>102</v>
      </c>
      <c r="K4" s="261"/>
      <c r="L4" s="2"/>
      <c r="M4" s="2"/>
      <c r="N4" s="261" t="s">
        <v>103</v>
      </c>
      <c r="O4" s="261"/>
      <c r="P4" s="2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s="94" customFormat="1" ht="18.75" customHeight="1">
      <c r="A5" s="120" t="s">
        <v>29</v>
      </c>
      <c r="B5" s="110" t="s">
        <v>0</v>
      </c>
      <c r="C5" s="110" t="s">
        <v>44</v>
      </c>
      <c r="D5" s="121" t="s">
        <v>104</v>
      </c>
      <c r="E5" s="120" t="s">
        <v>29</v>
      </c>
      <c r="F5" s="110" t="s">
        <v>0</v>
      </c>
      <c r="G5" s="110" t="s">
        <v>44</v>
      </c>
      <c r="H5" s="121" t="s">
        <v>104</v>
      </c>
      <c r="I5" s="120" t="s">
        <v>29</v>
      </c>
      <c r="J5" s="110" t="s">
        <v>0</v>
      </c>
      <c r="K5" s="110" t="s">
        <v>44</v>
      </c>
      <c r="L5" s="121" t="s">
        <v>104</v>
      </c>
      <c r="M5" s="120" t="s">
        <v>29</v>
      </c>
      <c r="N5" s="110" t="s">
        <v>0</v>
      </c>
      <c r="O5" s="110" t="s">
        <v>44</v>
      </c>
      <c r="P5" s="121" t="s">
        <v>104</v>
      </c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18" customHeight="1">
      <c r="A6" s="227">
        <v>3</v>
      </c>
      <c r="B6" s="2">
        <v>20</v>
      </c>
      <c r="C6" s="2">
        <v>19</v>
      </c>
      <c r="D6" s="17">
        <v>2.0850022002638013</v>
      </c>
      <c r="E6" s="227">
        <v>6</v>
      </c>
      <c r="F6" s="2">
        <v>21</v>
      </c>
      <c r="G6" s="2">
        <v>12</v>
      </c>
      <c r="H6" s="17">
        <v>42.500160241862588</v>
      </c>
      <c r="I6" s="227">
        <v>9</v>
      </c>
      <c r="J6" s="2">
        <v>23</v>
      </c>
      <c r="K6" s="2">
        <v>4</v>
      </c>
      <c r="L6" s="17">
        <v>32.870064085779234</v>
      </c>
      <c r="M6" s="2">
        <v>12</v>
      </c>
      <c r="N6" s="2">
        <v>22</v>
      </c>
      <c r="O6" s="2">
        <v>1</v>
      </c>
      <c r="P6" s="17">
        <v>16.270063137421804</v>
      </c>
    </row>
    <row r="7" spans="1:29" ht="21" customHeight="1" thickBot="1">
      <c r="A7" s="228" t="s">
        <v>105</v>
      </c>
      <c r="B7" s="24" t="s">
        <v>66</v>
      </c>
      <c r="C7" s="24" t="s">
        <v>73</v>
      </c>
      <c r="D7" s="25" t="s">
        <v>84</v>
      </c>
      <c r="E7" s="228" t="s">
        <v>105</v>
      </c>
      <c r="F7" s="24" t="s">
        <v>66</v>
      </c>
      <c r="G7" s="24" t="s">
        <v>73</v>
      </c>
      <c r="H7" s="25" t="s">
        <v>84</v>
      </c>
      <c r="I7" s="228" t="s">
        <v>105</v>
      </c>
      <c r="J7" s="24" t="s">
        <v>66</v>
      </c>
      <c r="K7" s="24" t="s">
        <v>73</v>
      </c>
      <c r="L7" s="25" t="s">
        <v>84</v>
      </c>
      <c r="M7" s="228" t="s">
        <v>105</v>
      </c>
      <c r="N7" s="24" t="s">
        <v>66</v>
      </c>
      <c r="O7" s="24" t="s">
        <v>73</v>
      </c>
      <c r="P7" s="25" t="s">
        <v>84</v>
      </c>
    </row>
    <row r="8" spans="1:29">
      <c r="A8" s="103">
        <v>0.25260416666666669</v>
      </c>
      <c r="B8" s="139">
        <v>89.796452041542878</v>
      </c>
      <c r="C8" s="131">
        <v>-0.85556931214321219</v>
      </c>
      <c r="D8" s="132">
        <v>-0.21415421427350942</v>
      </c>
      <c r="E8" s="133">
        <v>0.2117013888888889</v>
      </c>
      <c r="F8" s="139">
        <v>62.862343581364939</v>
      </c>
      <c r="G8" s="131">
        <v>-0.85791467340864602</v>
      </c>
      <c r="H8" s="132">
        <v>23.436206441227025</v>
      </c>
      <c r="I8" s="131">
        <v>0.24181712962962965</v>
      </c>
      <c r="J8" s="139">
        <v>89.571580222868974</v>
      </c>
      <c r="K8" s="131">
        <v>-0.86913723714323499</v>
      </c>
      <c r="L8" s="131">
        <v>-2.0931997012780566E-2</v>
      </c>
      <c r="M8" s="133">
        <v>0.28194444444444444</v>
      </c>
      <c r="N8" s="139">
        <v>116.17046332972097</v>
      </c>
      <c r="O8" s="131">
        <v>-0.20700578240373846</v>
      </c>
      <c r="P8" s="104">
        <v>-23.439207353432426</v>
      </c>
    </row>
    <row r="9" spans="1:29">
      <c r="A9" s="105">
        <v>0.25491898148148145</v>
      </c>
      <c r="B9" s="138">
        <v>90.179677609589376</v>
      </c>
      <c r="C9" s="134">
        <v>0.37417582905979724</v>
      </c>
      <c r="D9" s="135">
        <v>-0.21324054080992808</v>
      </c>
      <c r="E9" s="136">
        <v>0.25093749999999998</v>
      </c>
      <c r="F9" s="138">
        <v>68.967818679541622</v>
      </c>
      <c r="G9" s="134">
        <v>10.667149286856572</v>
      </c>
      <c r="H9" s="135">
        <v>23.436496092411847</v>
      </c>
      <c r="I9" s="134">
        <v>0.24443287037037034</v>
      </c>
      <c r="J9" s="138">
        <v>90.008351498713239</v>
      </c>
      <c r="K9" s="134">
        <v>0.44688580337342587</v>
      </c>
      <c r="L9" s="134">
        <v>-2.1953065901109126E-2</v>
      </c>
      <c r="M9" s="136">
        <v>0.29031250000000003</v>
      </c>
      <c r="N9" s="138">
        <v>117.56865831003508</v>
      </c>
      <c r="O9" s="134">
        <v>1.880996317653383</v>
      </c>
      <c r="P9" s="102">
        <v>-23.43923677551139</v>
      </c>
    </row>
    <row r="10" spans="1:29">
      <c r="A10" s="105">
        <v>0.29658564814814814</v>
      </c>
      <c r="B10" s="138">
        <v>97.21684206602994</v>
      </c>
      <c r="C10" s="134">
        <v>13.234590376334165</v>
      </c>
      <c r="D10" s="135">
        <v>-0.19677182030422791</v>
      </c>
      <c r="E10" s="136">
        <v>0.29260416666666667</v>
      </c>
      <c r="F10" s="138">
        <v>74.651124171948595</v>
      </c>
      <c r="G10" s="134">
        <v>23.261254869984466</v>
      </c>
      <c r="H10" s="135">
        <v>23.436791770495152</v>
      </c>
      <c r="I10" s="134">
        <v>0.286099537037037</v>
      </c>
      <c r="J10" s="138">
        <v>97.072014511179177</v>
      </c>
      <c r="K10" s="134">
        <v>13.306904486503104</v>
      </c>
      <c r="L10" s="134">
        <v>-3.8170936858360101E-2</v>
      </c>
      <c r="M10" s="136">
        <v>0.33197916666666666</v>
      </c>
      <c r="N10" s="138">
        <v>125.40581901073962</v>
      </c>
      <c r="O10" s="134">
        <v>12.996085806203711</v>
      </c>
      <c r="P10" s="102">
        <v>-23.439363328148549</v>
      </c>
    </row>
    <row r="11" spans="1:29">
      <c r="A11" s="105">
        <v>0.33825231481481483</v>
      </c>
      <c r="B11" s="138">
        <v>105.07994170494983</v>
      </c>
      <c r="C11" s="134">
        <v>26.262293557504918</v>
      </c>
      <c r="D11" s="135">
        <v>-0.18030295244540351</v>
      </c>
      <c r="E11" s="136">
        <v>0.33427083333333335</v>
      </c>
      <c r="F11" s="138">
        <v>79.924221174888984</v>
      </c>
      <c r="G11" s="134">
        <v>36.222099572456457</v>
      </c>
      <c r="H11" s="135">
        <v>23.437060517297702</v>
      </c>
      <c r="I11" s="134">
        <v>0.32776620370370368</v>
      </c>
      <c r="J11" s="138">
        <v>104.9582944625426</v>
      </c>
      <c r="K11" s="134">
        <v>26.325119423762661</v>
      </c>
      <c r="L11" s="134">
        <v>-5.4389455113055478E-2</v>
      </c>
      <c r="M11" s="136">
        <v>0.37364583333333329</v>
      </c>
      <c r="N11" s="138">
        <v>135.16312598323285</v>
      </c>
      <c r="O11" s="134">
        <v>23.129606489362676</v>
      </c>
      <c r="P11" s="102">
        <v>-23.439446379935362</v>
      </c>
    </row>
    <row r="12" spans="1:29">
      <c r="A12" s="105">
        <v>0.37991898148148145</v>
      </c>
      <c r="B12" s="138">
        <v>114.92839710822803</v>
      </c>
      <c r="C12" s="134">
        <v>38.769600195995856</v>
      </c>
      <c r="D12" s="135">
        <v>-0.16383387536076655</v>
      </c>
      <c r="E12" s="136">
        <v>0.37593750000000004</v>
      </c>
      <c r="F12" s="138">
        <v>85.282698312264145</v>
      </c>
      <c r="G12" s="134">
        <v>49.403650530539714</v>
      </c>
      <c r="H12" s="135">
        <v>23.43728838506901</v>
      </c>
      <c r="I12" s="134">
        <v>0.36943287037037037</v>
      </c>
      <c r="J12" s="138">
        <v>114.83082720353354</v>
      </c>
      <c r="K12" s="134">
        <v>38.823486785750006</v>
      </c>
      <c r="L12" s="134">
        <v>-7.0608537382007494E-2</v>
      </c>
      <c r="M12" s="136">
        <v>0.41531249999999997</v>
      </c>
      <c r="N12" s="138">
        <v>147.48764533505636</v>
      </c>
      <c r="O12" s="134">
        <v>31.458563950908946</v>
      </c>
      <c r="P12" s="102">
        <v>-23.439473564329916</v>
      </c>
    </row>
    <row r="13" spans="1:29">
      <c r="A13" s="105">
        <v>0.42158564814814814</v>
      </c>
      <c r="B13" s="138">
        <v>128.78019680216565</v>
      </c>
      <c r="C13" s="134">
        <v>50.107838283527919</v>
      </c>
      <c r="D13" s="135">
        <v>-0.14736458083386633</v>
      </c>
      <c r="E13" s="136">
        <v>0.41760416666666672</v>
      </c>
      <c r="F13" s="138">
        <v>91.713645494175495</v>
      </c>
      <c r="G13" s="134">
        <v>62.692034251849179</v>
      </c>
      <c r="H13" s="135">
        <v>23.437463395500632</v>
      </c>
      <c r="I13" s="134">
        <v>0.411099537037037</v>
      </c>
      <c r="J13" s="138">
        <v>128.71357153600755</v>
      </c>
      <c r="K13" s="134">
        <v>50.150721263311432</v>
      </c>
      <c r="L13" s="134">
        <v>-8.6828068261757305E-2</v>
      </c>
      <c r="M13" s="136">
        <v>0.45697916666666666</v>
      </c>
      <c r="N13" s="138">
        <v>162.6919679067272</v>
      </c>
      <c r="O13" s="134">
        <v>37.089028273930325</v>
      </c>
      <c r="P13" s="102">
        <v>-23.439435391719631</v>
      </c>
    </row>
    <row r="14" spans="1:29">
      <c r="A14" s="105">
        <v>0.46325231481481483</v>
      </c>
      <c r="B14" s="138">
        <v>149.95998696270149</v>
      </c>
      <c r="C14" s="134">
        <v>58.869809186605735</v>
      </c>
      <c r="D14" s="135">
        <v>-0.13089511237894497</v>
      </c>
      <c r="E14" s="136">
        <v>0.45927083333333335</v>
      </c>
      <c r="F14" s="138">
        <v>103.27083524113972</v>
      </c>
      <c r="G14" s="134">
        <v>75.884146593368584</v>
      </c>
      <c r="H14" s="135">
        <v>23.437576356658965</v>
      </c>
      <c r="I14" s="134">
        <v>0.45276620370370368</v>
      </c>
      <c r="J14" s="138">
        <v>149.93505292511011</v>
      </c>
      <c r="K14" s="134">
        <v>58.894490664168387</v>
      </c>
      <c r="L14" s="134">
        <v>-0.10304791053441623</v>
      </c>
      <c r="M14" s="136">
        <v>0.49864583333333329</v>
      </c>
      <c r="N14" s="138">
        <v>179.99999998864405</v>
      </c>
      <c r="O14" s="134">
        <v>39.105276590583131</v>
      </c>
      <c r="P14" s="102">
        <v>-23.439325896601002</v>
      </c>
    </row>
    <row r="15" spans="1:29">
      <c r="A15" s="105">
        <v>0.50491898148148151</v>
      </c>
      <c r="B15" s="138">
        <v>179.99999985611188</v>
      </c>
      <c r="C15" s="134">
        <v>62.418472157174421</v>
      </c>
      <c r="D15" s="135">
        <v>-0.11442555872522699</v>
      </c>
      <c r="E15" s="136">
        <v>0.50093750000000004</v>
      </c>
      <c r="F15" s="138">
        <v>180.00000115312599</v>
      </c>
      <c r="G15" s="134">
        <v>85.963004414631527</v>
      </c>
      <c r="H15" s="135">
        <v>23.437621490086705</v>
      </c>
      <c r="I15" s="134">
        <v>0.49443287037037037</v>
      </c>
      <c r="J15" s="138">
        <v>180.00000017014619</v>
      </c>
      <c r="K15" s="134">
        <v>62.413631583456464</v>
      </c>
      <c r="L15" s="134">
        <v>-0.11926791800222174</v>
      </c>
      <c r="M15" s="136">
        <v>0.54031249999999997</v>
      </c>
      <c r="N15" s="138">
        <v>197.30813731482155</v>
      </c>
      <c r="O15" s="134">
        <v>37.08930808508277</v>
      </c>
      <c r="P15" s="102">
        <v>-23.439143044494354</v>
      </c>
    </row>
    <row r="16" spans="1:29">
      <c r="A16" s="105">
        <v>0.54658564814814814</v>
      </c>
      <c r="B16" s="138">
        <v>210.06832825793163</v>
      </c>
      <c r="C16" s="134">
        <v>58.89930608528627</v>
      </c>
      <c r="D16" s="135">
        <v>-9.7956041835637608E-2</v>
      </c>
      <c r="E16" s="136">
        <v>0.54260416666666667</v>
      </c>
      <c r="F16" s="138">
        <v>256.72924423847564</v>
      </c>
      <c r="G16" s="134">
        <v>75.884153160076053</v>
      </c>
      <c r="H16" s="135">
        <v>23.437596825117591</v>
      </c>
      <c r="I16" s="134">
        <v>0.53609953703703705</v>
      </c>
      <c r="J16" s="138">
        <v>210.03706724797954</v>
      </c>
      <c r="K16" s="134">
        <v>58.865439951760749</v>
      </c>
      <c r="L16" s="134">
        <v>-0.13548795127444269</v>
      </c>
      <c r="M16" s="136">
        <v>0.5819791666666666</v>
      </c>
      <c r="N16" s="138">
        <v>212.51271025859006</v>
      </c>
      <c r="O16" s="134">
        <v>31.459063235145226</v>
      </c>
      <c r="P16" s="102">
        <v>-23.438888870709675</v>
      </c>
    </row>
    <row r="17" spans="1:16">
      <c r="A17" s="105">
        <v>0.58825231481481477</v>
      </c>
      <c r="B17" s="138">
        <v>231.29090008721573</v>
      </c>
      <c r="C17" s="134">
        <v>50.155371418012159</v>
      </c>
      <c r="D17" s="135">
        <v>-8.1486703894478901E-2</v>
      </c>
      <c r="E17" s="136">
        <v>0.58427083333333341</v>
      </c>
      <c r="F17" s="138">
        <v>268.28644128542084</v>
      </c>
      <c r="G17" s="134">
        <v>62.69204378629113</v>
      </c>
      <c r="H17" s="135">
        <v>23.437504333349715</v>
      </c>
      <c r="I17" s="134">
        <v>0.57776620370370368</v>
      </c>
      <c r="J17" s="138">
        <v>231.2164188744978</v>
      </c>
      <c r="K17" s="134">
        <v>50.103905865346832</v>
      </c>
      <c r="L17" s="134">
        <v>-0.15170789187530337</v>
      </c>
      <c r="M17" s="136">
        <v>0.62364583333333334</v>
      </c>
      <c r="N17" s="138">
        <v>224.83752310263409</v>
      </c>
      <c r="O17" s="134">
        <v>23.130247735810926</v>
      </c>
      <c r="P17" s="102">
        <v>-23.438569341463261</v>
      </c>
    </row>
    <row r="18" spans="1:16">
      <c r="A18" s="105">
        <v>0.62991898148148151</v>
      </c>
      <c r="B18" s="138">
        <v>245.17363332130046</v>
      </c>
      <c r="C18" s="134">
        <v>38.828191537689776</v>
      </c>
      <c r="D18" s="135">
        <v>-6.5017692902151841E-2</v>
      </c>
      <c r="E18" s="136">
        <v>0.62593750000000004</v>
      </c>
      <c r="F18" s="138">
        <v>274.71739344156765</v>
      </c>
      <c r="G18" s="134">
        <v>49.403664954911648</v>
      </c>
      <c r="H18" s="135">
        <v>23.437349794083609</v>
      </c>
      <c r="I18" s="134">
        <v>0.61943287037037031</v>
      </c>
      <c r="J18" s="138">
        <v>245.06869718204052</v>
      </c>
      <c r="K18" s="134">
        <v>38.765779893372908</v>
      </c>
      <c r="L18" s="134">
        <v>-0.16792765492438735</v>
      </c>
      <c r="M18" s="136">
        <v>0.66531249999999997</v>
      </c>
      <c r="N18" s="138">
        <v>234.59512524771094</v>
      </c>
      <c r="O18" s="134">
        <v>12.996803499575133</v>
      </c>
      <c r="P18" s="102">
        <v>-23.438193946828317</v>
      </c>
    </row>
    <row r="19" spans="1:16">
      <c r="A19" s="105">
        <v>0.67158564814814825</v>
      </c>
      <c r="B19" s="138">
        <v>255.04596359523813</v>
      </c>
      <c r="C19" s="134">
        <v>26.330098346674088</v>
      </c>
      <c r="D19" s="135">
        <v>-4.8549146660922103E-2</v>
      </c>
      <c r="E19" s="136">
        <v>0.66760416666666667</v>
      </c>
      <c r="F19" s="138">
        <v>280.07587675654054</v>
      </c>
      <c r="G19" s="134">
        <v>36.222121272763978</v>
      </c>
      <c r="H19" s="135">
        <v>23.437142399929233</v>
      </c>
      <c r="I19" s="134">
        <v>0.66109953703703705</v>
      </c>
      <c r="J19" s="138">
        <v>254.91771444242985</v>
      </c>
      <c r="K19" s="134">
        <v>26.258338963963844</v>
      </c>
      <c r="L19" s="134">
        <v>-0.18414720073994725</v>
      </c>
      <c r="M19" s="134">
        <v>0.70697916666666671</v>
      </c>
      <c r="N19" s="138">
        <v>242.43259339702846</v>
      </c>
      <c r="O19" s="134">
        <v>1.8816947016537635</v>
      </c>
      <c r="P19" s="138">
        <v>-23.437775053473096</v>
      </c>
    </row>
    <row r="20" spans="1:16">
      <c r="A20" s="105">
        <v>0.71325231481481488</v>
      </c>
      <c r="B20" s="138">
        <v>262.93208788486078</v>
      </c>
      <c r="C20" s="134">
        <v>13.312306150342243</v>
      </c>
      <c r="D20" s="135">
        <v>-3.2081179816762888E-2</v>
      </c>
      <c r="E20" s="136">
        <v>0.70927083333333341</v>
      </c>
      <c r="F20" s="138">
        <v>285.34898180586873</v>
      </c>
      <c r="G20" s="134">
        <v>23.26128676993795</v>
      </c>
      <c r="H20" s="135">
        <v>23.436894129640347</v>
      </c>
      <c r="I20" s="134">
        <v>0.70276620370370368</v>
      </c>
      <c r="J20" s="138">
        <v>262.78131573255337</v>
      </c>
      <c r="K20" s="134">
        <v>13.23036450154904</v>
      </c>
      <c r="L20" s="134">
        <v>-0.20036654101635154</v>
      </c>
      <c r="M20" s="134">
        <v>0.71560185185185177</v>
      </c>
      <c r="N20" s="138">
        <v>243.87225514337408</v>
      </c>
      <c r="O20" s="134">
        <v>-0.88114792398266073</v>
      </c>
      <c r="P20" s="138">
        <v>-23.437684225718289</v>
      </c>
    </row>
    <row r="21" spans="1:16">
      <c r="A21" s="105">
        <v>0.75491898148148151</v>
      </c>
      <c r="B21" s="138">
        <v>269.99567347796898</v>
      </c>
      <c r="C21" s="134">
        <v>0.45202243307207324</v>
      </c>
      <c r="D21" s="135">
        <v>-1.5613873565848198E-2</v>
      </c>
      <c r="E21" s="136">
        <v>0.75093750000000004</v>
      </c>
      <c r="F21" s="138">
        <v>291.03229747302527</v>
      </c>
      <c r="G21" s="134">
        <v>10.667194906393929</v>
      </c>
      <c r="H21" s="135">
        <v>23.436618931139662</v>
      </c>
      <c r="I21" s="134">
        <v>0.74443287037037031</v>
      </c>
      <c r="J21" s="138">
        <v>269.81895402650508</v>
      </c>
      <c r="K21" s="134">
        <v>0.3702414055482024</v>
      </c>
      <c r="L21" s="134">
        <v>-0.21658574046637746</v>
      </c>
      <c r="M21" s="134"/>
      <c r="N21" s="138"/>
      <c r="O21" s="134"/>
      <c r="P21" s="138"/>
    </row>
    <row r="22" spans="1:16">
      <c r="A22" s="105">
        <v>0.7575925925925926</v>
      </c>
      <c r="B22" s="138">
        <v>270.44180423107133</v>
      </c>
      <c r="C22" s="134">
        <v>-0.88104806961802584</v>
      </c>
      <c r="D22" s="135">
        <v>-1.4554880160123395E-2</v>
      </c>
      <c r="E22" s="136">
        <v>0.79025462962962967</v>
      </c>
      <c r="F22" s="138">
        <v>297.15157867689476</v>
      </c>
      <c r="G22" s="134">
        <v>-0.88114709880370834</v>
      </c>
      <c r="H22" s="135">
        <v>23.436348001375311</v>
      </c>
      <c r="I22" s="134">
        <v>0.74681712962962965</v>
      </c>
      <c r="J22" s="138">
        <v>270.21274682929845</v>
      </c>
      <c r="K22" s="134">
        <v>-0.88053062564234419</v>
      </c>
      <c r="L22" s="134">
        <v>-0.21751031584495298</v>
      </c>
      <c r="M22" s="134"/>
      <c r="N22" s="138"/>
      <c r="O22" s="134"/>
      <c r="P22" s="138"/>
    </row>
    <row r="23" spans="1:16">
      <c r="A23" s="101"/>
      <c r="B23" s="138"/>
      <c r="C23" s="134"/>
      <c r="D23" s="134"/>
      <c r="E23" s="136"/>
      <c r="F23" s="138"/>
      <c r="G23" s="134"/>
      <c r="H23" s="135"/>
      <c r="I23" s="134"/>
      <c r="J23" s="138"/>
      <c r="K23" s="134"/>
      <c r="L23" s="134"/>
      <c r="M23" s="134"/>
      <c r="N23" s="138"/>
      <c r="O23" s="134"/>
      <c r="P23" s="138"/>
    </row>
    <row r="24" spans="1:16">
      <c r="A24" s="101"/>
      <c r="B24" s="138"/>
      <c r="C24" s="134"/>
      <c r="D24" s="134"/>
      <c r="E24" s="136"/>
      <c r="F24" s="138"/>
      <c r="G24" s="134"/>
      <c r="H24" s="135"/>
      <c r="I24" s="136"/>
      <c r="J24" s="138"/>
      <c r="K24" s="134"/>
      <c r="L24" s="134"/>
      <c r="M24" s="134"/>
      <c r="N24" s="138"/>
      <c r="O24" s="134"/>
      <c r="P24" s="138"/>
    </row>
    <row r="25" spans="1:16">
      <c r="C25" s="19"/>
      <c r="D25" s="19"/>
      <c r="G25" s="19"/>
      <c r="H25" s="19"/>
      <c r="K25" s="18"/>
      <c r="L25" s="18"/>
      <c r="O25" s="18"/>
      <c r="P25" s="137"/>
    </row>
    <row r="26" spans="1:16">
      <c r="C26" s="19"/>
      <c r="D26" s="19"/>
      <c r="G26" s="19"/>
      <c r="H26" s="19"/>
      <c r="K26" s="18"/>
      <c r="L26" s="18"/>
      <c r="O26" s="18"/>
      <c r="P26" s="137"/>
    </row>
    <row r="27" spans="1:16">
      <c r="C27" s="19"/>
      <c r="D27" s="19"/>
      <c r="G27" s="19"/>
      <c r="H27" s="19"/>
      <c r="K27" s="18"/>
      <c r="L27" s="18"/>
      <c r="O27" s="18"/>
      <c r="P27" s="137"/>
    </row>
    <row r="28" spans="1:16">
      <c r="C28" s="19"/>
      <c r="D28" s="19"/>
      <c r="G28" s="19"/>
      <c r="H28" s="19"/>
      <c r="K28" s="18"/>
      <c r="L28" s="18"/>
      <c r="O28" s="18"/>
      <c r="P28" s="137"/>
    </row>
    <row r="29" spans="1:16">
      <c r="C29" s="19"/>
      <c r="D29" s="19"/>
      <c r="G29" s="19"/>
      <c r="H29" s="19"/>
      <c r="K29" s="18"/>
      <c r="L29" s="18"/>
      <c r="O29" s="18"/>
      <c r="P29" s="137"/>
    </row>
    <row r="30" spans="1:16">
      <c r="C30" s="19"/>
      <c r="D30" s="19"/>
      <c r="G30" s="19"/>
      <c r="H30" s="19"/>
      <c r="K30" s="18"/>
      <c r="L30" s="18"/>
      <c r="O30" s="18"/>
      <c r="P30" s="18"/>
    </row>
    <row r="31" spans="1:16">
      <c r="C31" s="19"/>
      <c r="D31" s="19"/>
      <c r="G31" s="19"/>
      <c r="H31" s="19"/>
      <c r="K31" s="18"/>
      <c r="L31" s="18"/>
      <c r="O31" s="18"/>
      <c r="P31" s="18"/>
    </row>
    <row r="32" spans="1:16">
      <c r="C32" s="19"/>
      <c r="D32" s="19"/>
      <c r="G32" s="19"/>
      <c r="H32" s="19"/>
      <c r="K32" s="18"/>
      <c r="L32" s="18"/>
      <c r="O32" s="18"/>
      <c r="P32" s="18"/>
    </row>
    <row r="33" spans="3:16">
      <c r="C33" s="19"/>
      <c r="D33" s="19"/>
      <c r="G33" s="19"/>
      <c r="H33" s="19"/>
      <c r="K33" s="18"/>
      <c r="L33" s="18"/>
      <c r="O33" s="18"/>
      <c r="P33" s="18"/>
    </row>
    <row r="34" spans="3:16">
      <c r="C34" s="19"/>
      <c r="D34" s="19"/>
      <c r="G34" s="19"/>
      <c r="H34" s="19"/>
      <c r="K34" s="18"/>
      <c r="L34" s="18"/>
      <c r="O34" s="18"/>
      <c r="P34" s="18"/>
    </row>
    <row r="35" spans="3:16">
      <c r="C35" s="19"/>
      <c r="D35" s="19"/>
      <c r="G35" s="19"/>
      <c r="H35" s="19"/>
      <c r="K35" s="18"/>
      <c r="L35" s="18"/>
      <c r="O35" s="18"/>
      <c r="P35" s="18"/>
    </row>
    <row r="36" spans="3:16">
      <c r="C36" s="19"/>
      <c r="D36" s="19"/>
      <c r="G36" s="19"/>
      <c r="H36" s="19"/>
      <c r="K36" s="18"/>
      <c r="L36" s="18"/>
      <c r="O36" s="18"/>
      <c r="P36" s="18"/>
    </row>
    <row r="37" spans="3:16">
      <c r="C37" s="19"/>
      <c r="D37" s="19"/>
      <c r="G37" s="19"/>
      <c r="H37" s="19"/>
      <c r="K37" s="18"/>
      <c r="L37" s="18"/>
      <c r="O37" s="18"/>
      <c r="P37" s="18"/>
    </row>
    <row r="38" spans="3:16">
      <c r="C38" s="19"/>
      <c r="D38" s="19"/>
      <c r="G38" s="19"/>
      <c r="H38" s="19"/>
      <c r="K38" s="18"/>
      <c r="L38" s="18"/>
      <c r="O38" s="18"/>
      <c r="P38" s="18"/>
    </row>
    <row r="39" spans="3:16">
      <c r="C39" s="19"/>
      <c r="D39" s="19"/>
      <c r="G39" s="19"/>
      <c r="H39" s="19"/>
      <c r="K39" s="18"/>
      <c r="L39" s="18"/>
      <c r="O39" s="18"/>
      <c r="P39" s="18"/>
    </row>
    <row r="40" spans="3:16">
      <c r="C40" s="19"/>
      <c r="D40" s="19"/>
      <c r="G40" s="19"/>
      <c r="H40" s="19"/>
      <c r="K40" s="18"/>
      <c r="L40" s="18"/>
      <c r="O40" s="18"/>
      <c r="P40" s="18"/>
    </row>
    <row r="41" spans="3:16">
      <c r="C41" s="19"/>
      <c r="D41" s="19"/>
      <c r="G41" s="19"/>
      <c r="H41" s="19"/>
      <c r="K41" s="18"/>
      <c r="L41" s="18"/>
      <c r="O41" s="18"/>
      <c r="P41" s="18"/>
    </row>
    <row r="42" spans="3:16">
      <c r="C42" s="19"/>
      <c r="D42" s="19"/>
      <c r="G42" s="19"/>
      <c r="H42" s="19"/>
      <c r="K42" s="18"/>
      <c r="L42" s="18"/>
      <c r="O42" s="18"/>
      <c r="P42" s="18"/>
    </row>
    <row r="43" spans="3:16">
      <c r="C43" s="19"/>
      <c r="D43" s="19"/>
      <c r="G43" s="19"/>
      <c r="H43" s="19"/>
      <c r="K43" s="18"/>
      <c r="L43" s="18"/>
      <c r="O43" s="18"/>
      <c r="P43" s="18"/>
    </row>
    <row r="44" spans="3:16">
      <c r="C44" s="19"/>
      <c r="D44" s="19"/>
      <c r="G44" s="19"/>
      <c r="H44" s="19"/>
      <c r="K44" s="18"/>
      <c r="L44" s="18"/>
      <c r="O44" s="18"/>
      <c r="P44" s="18"/>
    </row>
    <row r="45" spans="3:16">
      <c r="C45" s="19"/>
      <c r="D45" s="19"/>
      <c r="G45" s="19"/>
      <c r="H45" s="19"/>
      <c r="K45" s="18"/>
      <c r="L45" s="18"/>
      <c r="O45" s="18"/>
      <c r="P45" s="18"/>
    </row>
    <row r="46" spans="3:16">
      <c r="C46" s="19"/>
      <c r="D46" s="19"/>
      <c r="G46" s="19"/>
      <c r="H46" s="19"/>
      <c r="K46" s="18"/>
      <c r="L46" s="18"/>
      <c r="O46" s="18"/>
      <c r="P46" s="18"/>
    </row>
    <row r="47" spans="3:16">
      <c r="C47" s="19"/>
      <c r="D47" s="19"/>
      <c r="G47" s="19"/>
      <c r="H47" s="19"/>
      <c r="K47" s="18"/>
      <c r="L47" s="18"/>
      <c r="O47" s="18"/>
      <c r="P47" s="18"/>
    </row>
    <row r="48" spans="3:16">
      <c r="C48" s="19"/>
      <c r="D48" s="19"/>
      <c r="G48" s="19"/>
      <c r="H48" s="19"/>
      <c r="K48" s="18"/>
      <c r="L48" s="18"/>
      <c r="O48" s="18"/>
      <c r="P48" s="18"/>
    </row>
    <row r="49" spans="3:16">
      <c r="C49" s="19"/>
      <c r="D49" s="19"/>
      <c r="G49" s="19"/>
      <c r="H49" s="19"/>
      <c r="K49" s="18"/>
      <c r="L49" s="18"/>
      <c r="O49" s="18"/>
      <c r="P49" s="18"/>
    </row>
    <row r="50" spans="3:16">
      <c r="C50" s="19"/>
      <c r="D50" s="19"/>
      <c r="G50" s="19"/>
      <c r="H50" s="19"/>
      <c r="K50" s="18"/>
      <c r="L50" s="18"/>
      <c r="O50" s="18"/>
      <c r="P50" s="18"/>
    </row>
    <row r="51" spans="3:16">
      <c r="C51" s="19"/>
      <c r="D51" s="19"/>
      <c r="G51" s="19"/>
      <c r="H51" s="19"/>
      <c r="K51" s="18"/>
      <c r="L51" s="18"/>
      <c r="O51" s="18"/>
      <c r="P51" s="18"/>
    </row>
    <row r="52" spans="3:16">
      <c r="C52" s="19"/>
      <c r="D52" s="19"/>
      <c r="G52" s="19"/>
      <c r="H52" s="19"/>
      <c r="K52" s="18"/>
      <c r="L52" s="18"/>
      <c r="O52" s="18"/>
      <c r="P52" s="18"/>
    </row>
    <row r="53" spans="3:16">
      <c r="C53" s="19"/>
      <c r="D53" s="19"/>
      <c r="G53" s="19"/>
      <c r="H53" s="19"/>
      <c r="K53" s="18"/>
      <c r="L53" s="18"/>
      <c r="O53" s="18"/>
      <c r="P53" s="18"/>
    </row>
    <row r="54" spans="3:16">
      <c r="C54" s="19"/>
      <c r="D54" s="19"/>
      <c r="G54" s="19"/>
      <c r="H54" s="19"/>
      <c r="K54" s="18"/>
      <c r="L54" s="18"/>
      <c r="O54" s="18"/>
      <c r="P54" s="18"/>
    </row>
    <row r="55" spans="3:16">
      <c r="C55" s="19"/>
      <c r="D55" s="19"/>
      <c r="G55" s="19"/>
      <c r="H55" s="19"/>
      <c r="K55" s="18"/>
      <c r="L55" s="18"/>
      <c r="O55" s="18"/>
      <c r="P55" s="18"/>
    </row>
    <row r="56" spans="3:16">
      <c r="C56" s="19"/>
      <c r="D56" s="19"/>
      <c r="G56" s="19"/>
      <c r="H56" s="19"/>
      <c r="K56" s="18"/>
      <c r="L56" s="18"/>
      <c r="O56" s="18"/>
      <c r="P56" s="18"/>
    </row>
    <row r="57" spans="3:16">
      <c r="C57" s="19"/>
      <c r="D57" s="19"/>
      <c r="G57" s="19"/>
      <c r="H57" s="19"/>
      <c r="K57" s="18"/>
      <c r="L57" s="18"/>
      <c r="O57" s="18"/>
      <c r="P57" s="18"/>
    </row>
    <row r="58" spans="3:16">
      <c r="C58" s="19"/>
      <c r="D58" s="19"/>
      <c r="G58" s="19"/>
      <c r="H58" s="19"/>
      <c r="K58" s="18"/>
      <c r="L58" s="18"/>
      <c r="O58" s="18"/>
      <c r="P58" s="18"/>
    </row>
    <row r="59" spans="3:16">
      <c r="C59" s="19"/>
      <c r="D59" s="19"/>
      <c r="G59" s="19"/>
      <c r="H59" s="19"/>
      <c r="K59" s="18"/>
      <c r="L59" s="18"/>
      <c r="O59" s="18"/>
      <c r="P59" s="18"/>
    </row>
    <row r="60" spans="3:16">
      <c r="C60" s="19"/>
      <c r="D60" s="19"/>
      <c r="G60" s="19"/>
      <c r="H60" s="19"/>
      <c r="K60" s="18"/>
      <c r="L60" s="18"/>
      <c r="O60" s="18"/>
      <c r="P60" s="18"/>
    </row>
    <row r="61" spans="3:16">
      <c r="C61" s="19"/>
      <c r="D61" s="19"/>
      <c r="G61" s="19"/>
      <c r="H61" s="19"/>
      <c r="K61" s="18"/>
      <c r="L61" s="18"/>
      <c r="O61" s="18"/>
      <c r="P61" s="18"/>
    </row>
    <row r="62" spans="3:16">
      <c r="C62" s="19"/>
      <c r="D62" s="19"/>
      <c r="G62" s="19"/>
      <c r="H62" s="19"/>
      <c r="K62" s="18"/>
      <c r="L62" s="18"/>
      <c r="O62" s="18"/>
      <c r="P62" s="18"/>
    </row>
    <row r="63" spans="3:16">
      <c r="C63" s="19"/>
      <c r="D63" s="19"/>
      <c r="G63" s="19"/>
      <c r="H63" s="19"/>
      <c r="K63" s="18"/>
      <c r="L63" s="18"/>
      <c r="O63" s="18"/>
      <c r="P63" s="18"/>
    </row>
    <row r="64" spans="3:16">
      <c r="C64" s="19"/>
      <c r="D64" s="19"/>
      <c r="G64" s="19"/>
      <c r="H64" s="19"/>
      <c r="K64" s="18"/>
      <c r="L64" s="18"/>
      <c r="O64" s="18"/>
      <c r="P64" s="18"/>
    </row>
    <row r="65" spans="3:16">
      <c r="C65" s="19"/>
      <c r="D65" s="19"/>
      <c r="G65" s="19"/>
      <c r="H65" s="19"/>
      <c r="K65" s="18"/>
      <c r="L65" s="18"/>
      <c r="O65" s="18"/>
      <c r="P65" s="18"/>
    </row>
    <row r="66" spans="3:16">
      <c r="C66" s="19"/>
      <c r="D66" s="19"/>
      <c r="G66" s="19"/>
      <c r="H66" s="19"/>
      <c r="K66" s="18"/>
      <c r="L66" s="18"/>
      <c r="O66" s="18"/>
      <c r="P66" s="18"/>
    </row>
    <row r="67" spans="3:16">
      <c r="C67" s="19"/>
      <c r="D67" s="19"/>
      <c r="G67" s="19"/>
      <c r="H67" s="19"/>
      <c r="K67" s="18"/>
      <c r="L67" s="18"/>
      <c r="O67" s="18"/>
      <c r="P67" s="18"/>
    </row>
    <row r="68" spans="3:16">
      <c r="C68" s="19"/>
      <c r="D68" s="19"/>
      <c r="G68" s="19"/>
      <c r="H68" s="19"/>
      <c r="K68" s="18"/>
      <c r="L68" s="18"/>
      <c r="O68" s="18"/>
      <c r="P68" s="18"/>
    </row>
    <row r="69" spans="3:16">
      <c r="C69" s="19"/>
      <c r="D69" s="19"/>
      <c r="G69" s="19"/>
      <c r="H69" s="19"/>
      <c r="K69" s="18"/>
      <c r="L69" s="18"/>
      <c r="O69" s="18"/>
      <c r="P69" s="18"/>
    </row>
    <row r="70" spans="3:16">
      <c r="C70" s="19"/>
      <c r="D70" s="19"/>
      <c r="G70" s="19"/>
      <c r="H70" s="19"/>
      <c r="K70" s="18"/>
      <c r="L70" s="18"/>
      <c r="O70" s="18"/>
      <c r="P70" s="18"/>
    </row>
    <row r="71" spans="3:16">
      <c r="C71" s="19"/>
      <c r="D71" s="19"/>
      <c r="G71" s="19"/>
      <c r="H71" s="19"/>
      <c r="K71" s="18"/>
      <c r="L71" s="18"/>
      <c r="O71" s="18"/>
      <c r="P71" s="18"/>
    </row>
    <row r="72" spans="3:16">
      <c r="C72" s="19"/>
      <c r="D72" s="19"/>
      <c r="G72" s="19"/>
      <c r="H72" s="19"/>
      <c r="K72" s="18"/>
      <c r="L72" s="18"/>
      <c r="O72" s="18"/>
      <c r="P72" s="18"/>
    </row>
    <row r="73" spans="3:16">
      <c r="C73" s="19"/>
      <c r="D73" s="19"/>
      <c r="G73" s="19"/>
      <c r="H73" s="19"/>
      <c r="K73" s="18"/>
      <c r="L73" s="18"/>
      <c r="O73" s="18"/>
      <c r="P73" s="18"/>
    </row>
    <row r="74" spans="3:16">
      <c r="C74" s="19"/>
      <c r="D74" s="19"/>
      <c r="G74" s="19"/>
      <c r="H74" s="19"/>
      <c r="K74" s="18"/>
      <c r="L74" s="18"/>
      <c r="O74" s="18"/>
      <c r="P74" s="18"/>
    </row>
    <row r="75" spans="3:16">
      <c r="C75" s="19"/>
      <c r="D75" s="19"/>
      <c r="G75" s="19"/>
      <c r="H75" s="19"/>
      <c r="K75" s="18"/>
      <c r="L75" s="18"/>
      <c r="O75" s="18"/>
      <c r="P75" s="18"/>
    </row>
    <row r="76" spans="3:16">
      <c r="C76" s="19"/>
      <c r="D76" s="19"/>
      <c r="G76" s="19"/>
      <c r="H76" s="19"/>
      <c r="K76" s="18"/>
      <c r="L76" s="18"/>
      <c r="O76" s="18"/>
      <c r="P76" s="18"/>
    </row>
    <row r="77" spans="3:16">
      <c r="C77" s="19"/>
      <c r="D77" s="19"/>
      <c r="G77" s="19"/>
      <c r="H77" s="19"/>
      <c r="K77" s="18"/>
      <c r="L77" s="18"/>
      <c r="O77" s="18"/>
      <c r="P77" s="18"/>
    </row>
    <row r="78" spans="3:16">
      <c r="C78" s="19"/>
      <c r="D78" s="19"/>
      <c r="G78" s="19"/>
      <c r="H78" s="19"/>
      <c r="K78" s="18"/>
      <c r="L78" s="18"/>
      <c r="O78" s="18"/>
      <c r="P78" s="18"/>
    </row>
    <row r="79" spans="3:16">
      <c r="C79" s="19"/>
      <c r="D79" s="19"/>
      <c r="G79" s="19"/>
      <c r="H79" s="19"/>
      <c r="K79" s="18"/>
      <c r="L79" s="18"/>
      <c r="O79" s="18"/>
      <c r="P79" s="18"/>
    </row>
    <row r="80" spans="3:16">
      <c r="C80" s="19"/>
      <c r="D80" s="19"/>
      <c r="G80" s="19"/>
      <c r="H80" s="19"/>
      <c r="K80" s="18"/>
      <c r="L80" s="18"/>
      <c r="O80" s="18"/>
      <c r="P80" s="18"/>
    </row>
    <row r="81" spans="3:16">
      <c r="C81" s="19"/>
      <c r="D81" s="19"/>
      <c r="G81" s="19"/>
      <c r="H81" s="19"/>
      <c r="K81" s="18"/>
      <c r="L81" s="18"/>
      <c r="O81" s="18"/>
      <c r="P81" s="18"/>
    </row>
    <row r="82" spans="3:16">
      <c r="C82" s="19"/>
      <c r="D82" s="19"/>
      <c r="G82" s="19"/>
      <c r="H82" s="19"/>
      <c r="K82" s="18"/>
      <c r="L82" s="18"/>
      <c r="O82" s="18"/>
      <c r="P82" s="18"/>
    </row>
    <row r="83" spans="3:16">
      <c r="C83" s="19"/>
      <c r="D83" s="19"/>
      <c r="G83" s="19"/>
      <c r="H83" s="19"/>
      <c r="K83" s="18"/>
      <c r="L83" s="18"/>
      <c r="O83" s="18"/>
      <c r="P83" s="18"/>
    </row>
    <row r="84" spans="3:16">
      <c r="C84" s="19"/>
      <c r="D84" s="19"/>
      <c r="G84" s="19"/>
      <c r="H84" s="19"/>
      <c r="K84" s="18"/>
      <c r="L84" s="18"/>
      <c r="O84" s="18"/>
      <c r="P84" s="18"/>
    </row>
    <row r="85" spans="3:16">
      <c r="C85" s="19"/>
      <c r="D85" s="19"/>
      <c r="G85" s="19"/>
      <c r="H85" s="19"/>
      <c r="K85" s="18"/>
      <c r="L85" s="18"/>
      <c r="O85" s="18"/>
      <c r="P85" s="18"/>
    </row>
    <row r="86" spans="3:16">
      <c r="C86" s="19"/>
      <c r="D86" s="19"/>
      <c r="G86" s="19"/>
      <c r="H86" s="19"/>
      <c r="K86" s="18"/>
      <c r="L86" s="18"/>
      <c r="O86" s="18"/>
      <c r="P86" s="18"/>
    </row>
    <row r="87" spans="3:16">
      <c r="C87" s="19"/>
      <c r="D87" s="19"/>
      <c r="G87" s="19"/>
      <c r="H87" s="19"/>
      <c r="K87" s="18"/>
      <c r="L87" s="18"/>
      <c r="O87" s="18"/>
      <c r="P87" s="18"/>
    </row>
    <row r="88" spans="3:16">
      <c r="C88" s="19"/>
      <c r="D88" s="19"/>
      <c r="G88" s="19"/>
      <c r="H88" s="19"/>
      <c r="K88" s="18"/>
      <c r="L88" s="18"/>
      <c r="O88" s="18"/>
      <c r="P88" s="18"/>
    </row>
    <row r="89" spans="3:16">
      <c r="C89" s="19"/>
      <c r="D89" s="19"/>
      <c r="G89" s="19"/>
      <c r="H89" s="19"/>
      <c r="K89" s="18"/>
      <c r="L89" s="18"/>
      <c r="O89" s="18"/>
      <c r="P89" s="18"/>
    </row>
    <row r="90" spans="3:16">
      <c r="C90" s="19"/>
      <c r="D90" s="19"/>
      <c r="G90" s="19"/>
      <c r="H90" s="19"/>
      <c r="K90" s="18"/>
      <c r="L90" s="18"/>
      <c r="O90" s="18"/>
      <c r="P90" s="18"/>
    </row>
    <row r="91" spans="3:16">
      <c r="C91" s="19"/>
      <c r="D91" s="19"/>
      <c r="G91" s="19"/>
      <c r="H91" s="19"/>
      <c r="K91" s="18"/>
      <c r="L91" s="18"/>
      <c r="O91" s="18"/>
      <c r="P91" s="18"/>
    </row>
    <row r="92" spans="3:16">
      <c r="C92" s="19"/>
      <c r="D92" s="19"/>
      <c r="G92" s="19"/>
      <c r="H92" s="19"/>
      <c r="K92" s="18"/>
      <c r="L92" s="18"/>
      <c r="O92" s="18"/>
      <c r="P92" s="18"/>
    </row>
    <row r="93" spans="3:16">
      <c r="C93" s="19"/>
      <c r="D93" s="19"/>
      <c r="G93" s="19"/>
      <c r="H93" s="19"/>
      <c r="K93" s="18"/>
      <c r="L93" s="18"/>
      <c r="O93" s="18"/>
      <c r="P93" s="18"/>
    </row>
    <row r="94" spans="3:16">
      <c r="C94" s="19"/>
      <c r="D94" s="19"/>
      <c r="G94" s="19"/>
      <c r="H94" s="19"/>
      <c r="K94" s="18"/>
      <c r="L94" s="18"/>
      <c r="O94" s="18"/>
      <c r="P94" s="18"/>
    </row>
    <row r="95" spans="3:16">
      <c r="C95" s="19"/>
      <c r="D95" s="19"/>
      <c r="G95" s="19"/>
      <c r="H95" s="19"/>
      <c r="K95" s="18"/>
      <c r="L95" s="18"/>
      <c r="O95" s="18"/>
      <c r="P95" s="18"/>
    </row>
    <row r="96" spans="3:16">
      <c r="C96" s="19"/>
      <c r="D96" s="19"/>
      <c r="G96" s="19"/>
      <c r="H96" s="19"/>
      <c r="K96" s="18"/>
      <c r="L96" s="18"/>
      <c r="O96" s="18"/>
      <c r="P96" s="18"/>
    </row>
    <row r="97" spans="3:16">
      <c r="C97" s="19"/>
      <c r="D97" s="19"/>
      <c r="G97" s="19"/>
      <c r="H97" s="19"/>
      <c r="K97" s="18"/>
      <c r="L97" s="18"/>
      <c r="O97" s="18"/>
      <c r="P97" s="18"/>
    </row>
    <row r="98" spans="3:16">
      <c r="C98" s="19"/>
      <c r="D98" s="19"/>
      <c r="G98" s="19"/>
      <c r="H98" s="19"/>
      <c r="K98" s="18"/>
      <c r="L98" s="18"/>
      <c r="O98" s="18"/>
      <c r="P98" s="18"/>
    </row>
    <row r="99" spans="3:16">
      <c r="C99" s="19"/>
      <c r="D99" s="19"/>
      <c r="G99" s="19"/>
      <c r="H99" s="19"/>
      <c r="K99" s="18"/>
      <c r="L99" s="18"/>
      <c r="O99" s="18"/>
      <c r="P99" s="18"/>
    </row>
    <row r="100" spans="3:16">
      <c r="C100" s="19"/>
      <c r="D100" s="19"/>
      <c r="G100" s="19"/>
      <c r="H100" s="19"/>
      <c r="K100" s="18"/>
      <c r="L100" s="18"/>
      <c r="O100" s="18"/>
      <c r="P100" s="18"/>
    </row>
    <row r="101" spans="3:16">
      <c r="C101" s="19"/>
      <c r="D101" s="19"/>
      <c r="G101" s="19"/>
      <c r="H101" s="19"/>
      <c r="K101" s="18"/>
      <c r="L101" s="18"/>
      <c r="O101" s="18"/>
      <c r="P101" s="18"/>
    </row>
    <row r="102" spans="3:16">
      <c r="C102" s="19"/>
      <c r="D102" s="19"/>
      <c r="G102" s="19"/>
      <c r="H102" s="19"/>
      <c r="K102" s="18"/>
      <c r="L102" s="18"/>
      <c r="O102" s="18"/>
      <c r="P102" s="18"/>
    </row>
    <row r="103" spans="3:16">
      <c r="C103" s="19"/>
      <c r="D103" s="19"/>
      <c r="G103" s="19"/>
      <c r="H103" s="19"/>
      <c r="K103" s="18"/>
      <c r="L103" s="18"/>
      <c r="O103" s="18"/>
      <c r="P103" s="18"/>
    </row>
    <row r="104" spans="3:16">
      <c r="C104" s="19"/>
      <c r="D104" s="19"/>
      <c r="G104" s="19"/>
      <c r="H104" s="19"/>
      <c r="K104" s="18"/>
      <c r="L104" s="18"/>
      <c r="O104" s="18"/>
      <c r="P104" s="18"/>
    </row>
    <row r="105" spans="3:16">
      <c r="C105" s="19"/>
      <c r="D105" s="19"/>
      <c r="G105" s="19"/>
      <c r="H105" s="19"/>
      <c r="K105" s="18"/>
      <c r="L105" s="18"/>
      <c r="O105" s="18"/>
      <c r="P105" s="18"/>
    </row>
    <row r="106" spans="3:16">
      <c r="C106" s="19"/>
      <c r="D106" s="19"/>
      <c r="G106" s="19"/>
      <c r="H106" s="19"/>
      <c r="K106" s="18"/>
      <c r="L106" s="18"/>
      <c r="O106" s="18"/>
      <c r="P106" s="18"/>
    </row>
    <row r="107" spans="3:16">
      <c r="C107" s="19"/>
      <c r="D107" s="19"/>
      <c r="G107" s="19"/>
      <c r="H107" s="19"/>
      <c r="K107" s="18"/>
      <c r="L107" s="18"/>
      <c r="O107" s="18"/>
      <c r="P107" s="18"/>
    </row>
    <row r="108" spans="3:16">
      <c r="C108" s="19"/>
      <c r="D108" s="19"/>
      <c r="G108" s="19"/>
      <c r="H108" s="19"/>
      <c r="K108" s="18"/>
      <c r="L108" s="18"/>
      <c r="O108" s="18"/>
      <c r="P108" s="18"/>
    </row>
    <row r="109" spans="3:16">
      <c r="C109" s="19"/>
      <c r="D109" s="19"/>
      <c r="G109" s="19"/>
      <c r="H109" s="19"/>
      <c r="K109" s="18"/>
      <c r="L109" s="18"/>
      <c r="O109" s="18"/>
      <c r="P109" s="18"/>
    </row>
    <row r="110" spans="3:16">
      <c r="C110" s="19"/>
      <c r="D110" s="19"/>
      <c r="G110" s="19"/>
      <c r="H110" s="19"/>
      <c r="K110" s="18"/>
      <c r="L110" s="18"/>
      <c r="O110" s="18"/>
      <c r="P110" s="18"/>
    </row>
    <row r="111" spans="3:16">
      <c r="C111" s="19"/>
      <c r="D111" s="19"/>
      <c r="G111" s="19"/>
      <c r="H111" s="19"/>
      <c r="K111" s="18"/>
      <c r="L111" s="18"/>
      <c r="O111" s="18"/>
      <c r="P111" s="18"/>
    </row>
    <row r="112" spans="3:16">
      <c r="C112" s="19"/>
      <c r="D112" s="19"/>
      <c r="G112" s="19"/>
      <c r="H112" s="19"/>
      <c r="K112" s="18"/>
      <c r="L112" s="18"/>
      <c r="O112" s="18"/>
      <c r="P112" s="18"/>
    </row>
    <row r="113" spans="3:16">
      <c r="C113" s="19"/>
      <c r="D113" s="19"/>
      <c r="G113" s="19"/>
      <c r="H113" s="19"/>
      <c r="K113" s="18"/>
      <c r="L113" s="18"/>
      <c r="O113" s="18"/>
      <c r="P113" s="18"/>
    </row>
    <row r="114" spans="3:16">
      <c r="C114" s="19"/>
      <c r="D114" s="19"/>
      <c r="G114" s="19"/>
      <c r="H114" s="19"/>
      <c r="K114" s="18"/>
      <c r="L114" s="18"/>
      <c r="O114" s="18"/>
      <c r="P114" s="18"/>
    </row>
    <row r="115" spans="3:16">
      <c r="C115" s="19"/>
      <c r="D115" s="19"/>
      <c r="G115" s="19"/>
      <c r="H115" s="19"/>
      <c r="K115" s="18"/>
      <c r="L115" s="18"/>
      <c r="O115" s="18"/>
      <c r="P115" s="18"/>
    </row>
    <row r="116" spans="3:16">
      <c r="C116" s="19"/>
      <c r="D116" s="19"/>
      <c r="G116" s="19"/>
      <c r="H116" s="19"/>
      <c r="K116" s="18"/>
      <c r="L116" s="18"/>
      <c r="O116" s="18"/>
      <c r="P116" s="18"/>
    </row>
    <row r="117" spans="3:16">
      <c r="C117" s="19"/>
      <c r="D117" s="19"/>
      <c r="G117" s="19"/>
      <c r="H117" s="19"/>
      <c r="K117" s="18"/>
      <c r="L117" s="18"/>
      <c r="O117" s="18"/>
      <c r="P117" s="18"/>
    </row>
    <row r="118" spans="3:16">
      <c r="C118" s="19"/>
      <c r="D118" s="19"/>
      <c r="G118" s="19"/>
      <c r="H118" s="19"/>
      <c r="K118" s="18"/>
      <c r="L118" s="18"/>
      <c r="O118" s="18"/>
      <c r="P118" s="18"/>
    </row>
    <row r="119" spans="3:16">
      <c r="C119" s="19"/>
      <c r="D119" s="19"/>
      <c r="G119" s="19"/>
      <c r="H119" s="19"/>
      <c r="K119" s="18"/>
      <c r="L119" s="18"/>
      <c r="O119" s="18"/>
      <c r="P119" s="18"/>
    </row>
    <row r="120" spans="3:16">
      <c r="C120" s="19"/>
      <c r="D120" s="19"/>
      <c r="G120" s="19"/>
      <c r="H120" s="19"/>
      <c r="K120" s="18"/>
      <c r="L120" s="18"/>
      <c r="O120" s="18"/>
      <c r="P120" s="18"/>
    </row>
    <row r="121" spans="3:16">
      <c r="C121" s="19"/>
      <c r="D121" s="19"/>
      <c r="G121" s="19"/>
      <c r="H121" s="19"/>
      <c r="K121" s="18"/>
      <c r="L121" s="18"/>
      <c r="O121" s="18"/>
      <c r="P121" s="18"/>
    </row>
    <row r="122" spans="3:16">
      <c r="C122" s="19"/>
      <c r="D122" s="19"/>
      <c r="G122" s="19"/>
      <c r="H122" s="19"/>
      <c r="K122" s="18"/>
      <c r="L122" s="18"/>
      <c r="O122" s="18"/>
      <c r="P122" s="18"/>
    </row>
    <row r="123" spans="3:16">
      <c r="C123" s="19"/>
      <c r="D123" s="19"/>
      <c r="G123" s="19"/>
      <c r="H123" s="19"/>
      <c r="K123" s="18"/>
      <c r="L123" s="18"/>
      <c r="O123" s="18"/>
      <c r="P123" s="18"/>
    </row>
    <row r="124" spans="3:16">
      <c r="C124" s="19"/>
      <c r="D124" s="19"/>
      <c r="G124" s="19"/>
      <c r="H124" s="19"/>
      <c r="K124" s="18"/>
      <c r="L124" s="18"/>
      <c r="O124" s="18"/>
      <c r="P124" s="18"/>
    </row>
    <row r="125" spans="3:16">
      <c r="C125" s="19"/>
      <c r="D125" s="19"/>
      <c r="G125" s="19"/>
      <c r="H125" s="19"/>
      <c r="K125" s="18"/>
      <c r="L125" s="18"/>
      <c r="O125" s="18"/>
      <c r="P125" s="18"/>
    </row>
    <row r="126" spans="3:16">
      <c r="C126" s="19"/>
      <c r="D126" s="19"/>
      <c r="G126" s="19"/>
      <c r="H126" s="19"/>
      <c r="K126" s="18"/>
      <c r="L126" s="18"/>
      <c r="O126" s="18"/>
      <c r="P126" s="18"/>
    </row>
    <row r="127" spans="3:16">
      <c r="C127" s="19"/>
      <c r="D127" s="19"/>
      <c r="G127" s="19"/>
      <c r="H127" s="19"/>
      <c r="O127" s="18"/>
      <c r="P127" s="18"/>
    </row>
    <row r="128" spans="3:16">
      <c r="C128" s="19"/>
      <c r="D128" s="19"/>
      <c r="O128" s="18"/>
      <c r="P128" s="18"/>
    </row>
    <row r="129" spans="15:16">
      <c r="O129" s="18"/>
      <c r="P129" s="18"/>
    </row>
    <row r="130" spans="15:16">
      <c r="O130" s="18"/>
      <c r="P130" s="18"/>
    </row>
    <row r="131" spans="15:16">
      <c r="O131" s="18"/>
      <c r="P131" s="18"/>
    </row>
    <row r="132" spans="15:16">
      <c r="O132" s="18"/>
      <c r="P132" s="18"/>
    </row>
  </sheetData>
  <mergeCells count="4">
    <mergeCell ref="B4:C4"/>
    <mergeCell ref="N4:O4"/>
    <mergeCell ref="J4:K4"/>
    <mergeCell ref="F4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eqsol_Click">
                <anchor moveWithCells="1">
                  <from>
                    <xdr:col>6</xdr:col>
                    <xdr:colOff>209550</xdr:colOff>
                    <xdr:row>1</xdr:row>
                    <xdr:rowOff>0</xdr:rowOff>
                  </from>
                  <to>
                    <xdr:col>7</xdr:col>
                    <xdr:colOff>790575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37F7-DB26-458A-8E21-7A8575F66279}">
  <sheetPr codeName="Sheet15"/>
  <dimension ref="A1:V36"/>
  <sheetViews>
    <sheetView workbookViewId="0">
      <selection activeCell="I2" sqref="I2"/>
    </sheetView>
  </sheetViews>
  <sheetFormatPr defaultRowHeight="15"/>
  <cols>
    <col min="1" max="1" width="27.7109375" customWidth="1"/>
    <col min="4" max="4" width="7.140625" customWidth="1"/>
  </cols>
  <sheetData>
    <row r="1" spans="1:22" ht="18.75" customHeight="1">
      <c r="I1" s="229" t="s">
        <v>106</v>
      </c>
      <c r="J1" s="229" t="s">
        <v>107</v>
      </c>
    </row>
    <row r="2" spans="1:22" ht="18.75">
      <c r="A2" s="87" t="str" cm="1">
        <f t="array" ref="A2:A6">Enter!A2:A6</f>
        <v>Location</v>
      </c>
      <c r="B2" t="str">
        <f>Enter!B2</f>
        <v>Tehran</v>
      </c>
      <c r="I2" s="176">
        <v>2020</v>
      </c>
      <c r="J2" s="176">
        <v>2024</v>
      </c>
      <c r="K2">
        <f>J2-I2</f>
        <v>4</v>
      </c>
    </row>
    <row r="3" spans="1:22" ht="18.75">
      <c r="A3" s="87" t="str">
        <v>Longitude</v>
      </c>
      <c r="B3">
        <f>Enter!B3</f>
        <v>51.349758148193303</v>
      </c>
      <c r="I3" s="38" t="s">
        <v>43</v>
      </c>
      <c r="K3" s="7"/>
    </row>
    <row r="4" spans="1:22" ht="23.25" thickBot="1">
      <c r="A4" s="87" t="str">
        <v>Latitude</v>
      </c>
      <c r="B4">
        <f>Enter!B4</f>
        <v>35.702907562255803</v>
      </c>
      <c r="J4" s="69" t="s">
        <v>29</v>
      </c>
    </row>
    <row r="5" spans="1:22" ht="18.75">
      <c r="A5" s="87" t="str">
        <v>Elevation</v>
      </c>
      <c r="B5">
        <f>Enter!B5</f>
        <v>1368</v>
      </c>
      <c r="D5" s="234" t="s">
        <v>0</v>
      </c>
      <c r="E5" s="230">
        <v>1</v>
      </c>
      <c r="F5" s="230">
        <f>E5+1</f>
        <v>2</v>
      </c>
      <c r="G5" s="230">
        <f t="shared" ref="G5:P5" si="0">F5+1</f>
        <v>3</v>
      </c>
      <c r="H5" s="230">
        <f t="shared" si="0"/>
        <v>4</v>
      </c>
      <c r="I5" s="230">
        <f t="shared" si="0"/>
        <v>5</v>
      </c>
      <c r="J5" s="230">
        <f t="shared" si="0"/>
        <v>6</v>
      </c>
      <c r="K5" s="230">
        <f t="shared" si="0"/>
        <v>7</v>
      </c>
      <c r="L5" s="230">
        <f t="shared" si="0"/>
        <v>8</v>
      </c>
      <c r="M5" s="230">
        <f t="shared" si="0"/>
        <v>9</v>
      </c>
      <c r="N5" s="230">
        <f t="shared" si="0"/>
        <v>10</v>
      </c>
      <c r="O5" s="230">
        <f t="shared" si="0"/>
        <v>11</v>
      </c>
      <c r="P5" s="231">
        <f t="shared" si="0"/>
        <v>12</v>
      </c>
    </row>
    <row r="6" spans="1:22" ht="18.75">
      <c r="A6" s="87" t="str">
        <v>Time Zone</v>
      </c>
      <c r="B6">
        <f>Enter!B6</f>
        <v>3.5</v>
      </c>
      <c r="D6" s="232">
        <v>1</v>
      </c>
      <c r="E6" s="168">
        <v>-7.273581630941905</v>
      </c>
      <c r="F6" s="168">
        <v>1.2174603960997237</v>
      </c>
      <c r="G6" s="168">
        <v>3.3499061952340141</v>
      </c>
      <c r="H6" s="168">
        <v>-1.9510760610673572</v>
      </c>
      <c r="I6" s="168">
        <v>-6.5090124215981309</v>
      </c>
      <c r="J6" s="168">
        <v>-2.7342394919514081</v>
      </c>
      <c r="K6" s="168">
        <v>7.5069585115146635</v>
      </c>
      <c r="L6" s="168">
        <v>15.621516731574781</v>
      </c>
      <c r="M6" s="168">
        <v>13.980968919967896</v>
      </c>
      <c r="N6" s="168">
        <v>1.6191989139484217</v>
      </c>
      <c r="O6" s="168">
        <v>-11.129735321955931</v>
      </c>
      <c r="P6" s="169">
        <v>-13.759444350730572</v>
      </c>
      <c r="V6" s="13"/>
    </row>
    <row r="7" spans="1:22" ht="18.75">
      <c r="A7" s="87">
        <f>Enter!B7</f>
        <v>0</v>
      </c>
      <c r="B7">
        <f>Enter!C7</f>
        <v>-4.6009674072267899</v>
      </c>
      <c r="D7" s="232">
        <f>D6+1</f>
        <v>2</v>
      </c>
      <c r="E7" s="168">
        <v>-6.9758756330163294</v>
      </c>
      <c r="F7" s="168">
        <v>1.4170331155192142</v>
      </c>
      <c r="G7" s="168">
        <v>3.2716490837918544</v>
      </c>
      <c r="H7" s="168">
        <v>-2.1678514786337733</v>
      </c>
      <c r="I7" s="168">
        <v>-6.5341943918174454</v>
      </c>
      <c r="J7" s="168">
        <v>-2.4699578417443897</v>
      </c>
      <c r="K7" s="168">
        <v>7.8571584474921199</v>
      </c>
      <c r="L7" s="168">
        <v>15.757699314326363</v>
      </c>
      <c r="M7" s="168">
        <v>13.713183235691215</v>
      </c>
      <c r="N7" s="168">
        <v>1.1215965157530252</v>
      </c>
      <c r="O7" s="168">
        <v>-11.409107322194437</v>
      </c>
      <c r="P7" s="169">
        <v>-13.652335523324677</v>
      </c>
      <c r="V7" s="13"/>
    </row>
    <row r="8" spans="1:22" ht="18.75">
      <c r="A8" s="87" t="str" cm="1">
        <f t="array" ref="A8:A9">Enter!A8:A9</f>
        <v>Atmospheric Pressure</v>
      </c>
      <c r="B8">
        <f>Enter!B8</f>
        <v>859.37743101323645</v>
      </c>
      <c r="D8" s="232">
        <f t="shared" ref="D8:D36" si="1">D7+1</f>
        <v>3</v>
      </c>
      <c r="E8" s="168">
        <v>-6.6766374421532877</v>
      </c>
      <c r="F8" s="168">
        <v>1.609144547975345</v>
      </c>
      <c r="G8" s="168">
        <v>3.1847960159845812</v>
      </c>
      <c r="H8" s="168">
        <v>-2.3833857550480415</v>
      </c>
      <c r="I8" s="168">
        <v>-6.5495835314642132</v>
      </c>
      <c r="J8" s="168">
        <v>-2.1986035583374024</v>
      </c>
      <c r="K8" s="168">
        <v>8.2049836232052105</v>
      </c>
      <c r="L8" s="168">
        <v>15.882185864069896</v>
      </c>
      <c r="M8" s="168">
        <v>13.432342501919525</v>
      </c>
      <c r="N8" s="168">
        <v>0.62411244953454381</v>
      </c>
      <c r="O8" s="168">
        <v>-11.675706502440784</v>
      </c>
      <c r="P8" s="169">
        <v>-13.53445616508246</v>
      </c>
      <c r="V8" s="13"/>
    </row>
    <row r="9" spans="1:22" ht="18.75">
      <c r="A9" s="87" t="str">
        <v>Amospheric Temperature</v>
      </c>
      <c r="B9">
        <f>Enter!B9</f>
        <v>6.109913180187772</v>
      </c>
      <c r="D9" s="232">
        <f t="shared" si="1"/>
        <v>4</v>
      </c>
      <c r="E9" s="168">
        <v>-6.3762054028787833</v>
      </c>
      <c r="F9" s="168">
        <v>1.7935952437981928</v>
      </c>
      <c r="G9" s="168">
        <v>3.0895142012920784</v>
      </c>
      <c r="H9" s="168">
        <v>-2.5972852703170126</v>
      </c>
      <c r="I9" s="168">
        <v>-6.5550906815540797</v>
      </c>
      <c r="J9" s="168">
        <v>-1.9204154845347468</v>
      </c>
      <c r="K9" s="168">
        <v>8.5500926170773894</v>
      </c>
      <c r="L9" s="168">
        <v>15.994743808996848</v>
      </c>
      <c r="M9" s="168">
        <v>13.138658568631104</v>
      </c>
      <c r="N9" s="168">
        <v>0.12731773918561226</v>
      </c>
      <c r="O9" s="168">
        <v>-11.929366316527284</v>
      </c>
      <c r="P9" s="169">
        <v>-13.406060822382802</v>
      </c>
      <c r="V9" s="13"/>
    </row>
    <row r="10" spans="1:22" ht="15.75">
      <c r="D10" s="232">
        <f t="shared" si="1"/>
        <v>5</v>
      </c>
      <c r="E10" s="168">
        <v>-6.0749168258843422</v>
      </c>
      <c r="F10" s="168">
        <v>1.9701944412452508</v>
      </c>
      <c r="G10" s="168">
        <v>2.9859842281549618</v>
      </c>
      <c r="H10" s="168">
        <v>-2.8091591162526983</v>
      </c>
      <c r="I10" s="168">
        <v>-6.5506404133071952</v>
      </c>
      <c r="J10" s="168">
        <v>-1.6356390551127333</v>
      </c>
      <c r="K10" s="168">
        <v>8.8921438298957902</v>
      </c>
      <c r="L10" s="168">
        <v>16.095149195348203</v>
      </c>
      <c r="M10" s="168">
        <v>12.832362185316693</v>
      </c>
      <c r="N10" s="168">
        <v>-0.36821835093680649</v>
      </c>
      <c r="O10" s="168">
        <v>-12.169938922711127</v>
      </c>
      <c r="P10" s="169">
        <v>-13.267411383857199</v>
      </c>
      <c r="V10" s="13"/>
    </row>
    <row r="11" spans="1:22" ht="15.75">
      <c r="D11" s="232">
        <f t="shared" si="1"/>
        <v>6</v>
      </c>
      <c r="E11" s="168">
        <v>-5.7731077511369762</v>
      </c>
      <c r="F11" s="168">
        <v>2.1387603244369555</v>
      </c>
      <c r="G11" s="168">
        <v>2.8743997571272972</v>
      </c>
      <c r="H11" s="168">
        <v>-3.0186198774574167</v>
      </c>
      <c r="I11" s="168">
        <v>-6.5361708656343209</v>
      </c>
      <c r="J11" s="168">
        <v>-1.3445259642823202</v>
      </c>
      <c r="K11" s="168">
        <v>9.2307956560233606</v>
      </c>
      <c r="L11" s="168">
        <v>16.183187165739639</v>
      </c>
      <c r="M11" s="168">
        <v>12.513703137190628</v>
      </c>
      <c r="N11" s="168">
        <v>-0.86192925121153929</v>
      </c>
      <c r="O11" s="168">
        <v>-12.397294981307173</v>
      </c>
      <c r="P11" s="169">
        <v>-13.11877672407123</v>
      </c>
      <c r="V11" s="13"/>
    </row>
    <row r="12" spans="1:22" ht="15.75">
      <c r="D12" s="232">
        <f t="shared" si="1"/>
        <v>7</v>
      </c>
      <c r="E12" s="168">
        <v>-5.4711127028664777</v>
      </c>
      <c r="F12" s="168">
        <v>2.2991202328076064</v>
      </c>
      <c r="G12" s="168">
        <v>2.7549671928915762</v>
      </c>
      <c r="H12" s="168">
        <v>-3.2252843225129944</v>
      </c>
      <c r="I12" s="168">
        <v>-6.5116335176651985</v>
      </c>
      <c r="J12" s="168">
        <v>-1.0473338682930455</v>
      </c>
      <c r="K12" s="168">
        <v>9.5657066669334512</v>
      </c>
      <c r="L12" s="168">
        <v>16.258652488473466</v>
      </c>
      <c r="M12" s="168">
        <v>12.18295034129917</v>
      </c>
      <c r="N12" s="168">
        <v>-1.3532520614923755</v>
      </c>
      <c r="O12" s="168">
        <v>-12.611323487172312</v>
      </c>
      <c r="P12" s="169">
        <v>-12.960432382077846</v>
      </c>
      <c r="V12" s="13"/>
    </row>
    <row r="13" spans="1:22" ht="15.75">
      <c r="D13" s="232">
        <f t="shared" si="1"/>
        <v>8</v>
      </c>
      <c r="E13" s="168">
        <v>-5.1692644462465624</v>
      </c>
      <c r="F13" s="168">
        <v>2.4511108321608592</v>
      </c>
      <c r="G13" s="168">
        <v>2.6279053678977524</v>
      </c>
      <c r="H13" s="168">
        <v>-3.4287740006723881</v>
      </c>
      <c r="I13" s="168">
        <v>-6.4769929276646678</v>
      </c>
      <c r="J13" s="168">
        <v>-0.74432613106171064</v>
      </c>
      <c r="K13" s="168">
        <v>9.8965358168590107</v>
      </c>
      <c r="L13" s="168">
        <v>16.321350121797241</v>
      </c>
      <c r="M13" s="168">
        <v>11.840391866472435</v>
      </c>
      <c r="N13" s="168">
        <v>-1.8416285845225342</v>
      </c>
      <c r="O13" s="168">
        <v>-12.811931636931984</v>
      </c>
      <c r="P13" s="169">
        <v>-12.792660258085945</v>
      </c>
      <c r="V13" s="13"/>
    </row>
    <row r="14" spans="1:22" ht="15.75">
      <c r="D14" s="232">
        <f t="shared" si="1"/>
        <v>9</v>
      </c>
      <c r="E14" s="168">
        <v>-4.8678937559516582</v>
      </c>
      <c r="F14" s="168">
        <v>2.5945782660231687</v>
      </c>
      <c r="G14" s="168">
        <v>2.4934452629052268</v>
      </c>
      <c r="H14" s="168">
        <v>-3.6287157554599752</v>
      </c>
      <c r="I14" s="168">
        <v>-6.4322264718604742</v>
      </c>
      <c r="J14" s="168">
        <v>-0.43577161417972121</v>
      </c>
      <c r="K14" s="168">
        <v>10.222942675333679</v>
      </c>
      <c r="L14" s="168">
        <v>16.371095788870594</v>
      </c>
      <c r="M14" s="168">
        <v>11.486334847424239</v>
      </c>
      <c r="N14" s="168">
        <v>-2.3265064243774107</v>
      </c>
      <c r="O14" s="168">
        <v>-12.999044716452659</v>
      </c>
      <c r="P14" s="169">
        <v>-12.615748308338825</v>
      </c>
      <c r="V14" s="13"/>
    </row>
    <row r="15" spans="1:22" ht="15.75">
      <c r="D15" s="232">
        <f t="shared" si="1"/>
        <v>10</v>
      </c>
      <c r="E15" s="168">
        <v>-4.5673292031509485</v>
      </c>
      <c r="F15" s="168">
        <v>2.7293783111523648</v>
      </c>
      <c r="G15" s="168">
        <v>2.3518297772261234</v>
      </c>
      <c r="H15" s="168">
        <v>-3.8247421812616915</v>
      </c>
      <c r="I15" s="168">
        <v>-6.3773241123724258</v>
      </c>
      <c r="J15" s="168">
        <v>-0.12194450146122682</v>
      </c>
      <c r="K15" s="168">
        <v>10.544587687602753</v>
      </c>
      <c r="L15" s="168">
        <v>16.407716537473295</v>
      </c>
      <c r="M15" s="168">
        <v>11.121105270636567</v>
      </c>
      <c r="N15" s="168">
        <v>-2.8073401375020177</v>
      </c>
      <c r="O15" s="168">
        <v>-13.172605984876601</v>
      </c>
      <c r="P15" s="169">
        <v>-12.429990222962024</v>
      </c>
      <c r="V15" s="13"/>
    </row>
    <row r="16" spans="1:22" ht="15.75">
      <c r="D16" s="232">
        <f t="shared" si="1"/>
        <v>11</v>
      </c>
      <c r="E16" s="168">
        <v>-4.2678969630049632</v>
      </c>
      <c r="F16" s="168">
        <v>2.8553765616188351</v>
      </c>
      <c r="G16" s="168">
        <v>2.2033135457676125</v>
      </c>
      <c r="H16" s="168">
        <v>-4.0164920562501134</v>
      </c>
      <c r="I16" s="168">
        <v>-6.3122882135276033</v>
      </c>
      <c r="J16" s="168">
        <v>0.19687585669685026</v>
      </c>
      <c r="K16" s="168">
        <v>10.861132456872246</v>
      </c>
      <c r="L16" s="168">
        <v>16.43105126097883</v>
      </c>
      <c r="M16" s="168">
        <v>10.745047628245548</v>
      </c>
      <c r="N16" s="168">
        <v>-3.2835924125867009</v>
      </c>
      <c r="O16" s="168">
        <v>-13.332576526071653</v>
      </c>
      <c r="P16" s="169">
        <v>-12.235685076743602</v>
      </c>
      <c r="V16" s="13"/>
    </row>
    <row r="17" spans="4:22" ht="15.75">
      <c r="D17" s="232">
        <f t="shared" si="1"/>
        <v>12</v>
      </c>
      <c r="E17" s="168">
        <v>-3.9699206398337568</v>
      </c>
      <c r="F17" s="168">
        <v>2.9724486596559476</v>
      </c>
      <c r="G17" s="168">
        <v>2.0481627855962414</v>
      </c>
      <c r="H17" s="168">
        <v>-4.2036107869970243</v>
      </c>
      <c r="I17" s="168">
        <v>-6.2371334127371396</v>
      </c>
      <c r="J17" s="168">
        <v>0.52040509693234516</v>
      </c>
      <c r="K17" s="168">
        <v>11.172240038579403</v>
      </c>
      <c r="L17" s="168">
        <v>16.440951164302536</v>
      </c>
      <c r="M17" s="168">
        <v>10.358524450093544</v>
      </c>
      <c r="N17" s="168">
        <v>-3.7547352417860416</v>
      </c>
      <c r="O17" s="168">
        <v>-13.478935040064934</v>
      </c>
      <c r="P17" s="169">
        <v>-12.033136950547776</v>
      </c>
      <c r="V17" s="13"/>
    </row>
    <row r="18" spans="4:22" ht="15.75">
      <c r="D18" s="232">
        <f t="shared" si="1"/>
        <v>13</v>
      </c>
      <c r="E18" s="168">
        <v>-3.6737210998259626</v>
      </c>
      <c r="F18" s="168">
        <v>3.0804805831217363</v>
      </c>
      <c r="G18" s="168">
        <v>1.8866551423361784</v>
      </c>
      <c r="H18" s="168">
        <v>-4.3857508931763505</v>
      </c>
      <c r="I18" s="168">
        <v>-6.1518865377816336</v>
      </c>
      <c r="J18" s="168">
        <v>0.848354012172717</v>
      </c>
      <c r="K18" s="168">
        <v>11.477575233596859</v>
      </c>
      <c r="L18" s="168">
        <v>16.437280169347567</v>
      </c>
      <c r="M18" s="168">
        <v>9.9619157369997531</v>
      </c>
      <c r="N18" s="168">
        <v>-4.2202510434609728</v>
      </c>
      <c r="O18" s="168">
        <v>-13.611677554519403</v>
      </c>
      <c r="P18" s="169">
        <v>-11.822654530226682</v>
      </c>
      <c r="V18" s="13"/>
    </row>
    <row r="19" spans="4:22" ht="15.75">
      <c r="D19" s="232">
        <f t="shared" si="1"/>
        <v>14</v>
      </c>
      <c r="E19" s="168">
        <v>-3.3796162995274601</v>
      </c>
      <c r="F19" s="168">
        <v>3.1793689873503137</v>
      </c>
      <c r="G19" s="168">
        <v>1.7190795006504078</v>
      </c>
      <c r="H19" s="168">
        <v>-4.5625725508161334</v>
      </c>
      <c r="I19" s="168">
        <v>-6.0565865504883369</v>
      </c>
      <c r="J19" s="168">
        <v>1.1804287487743665</v>
      </c>
      <c r="K19" s="168">
        <v>11.776804869004829</v>
      </c>
      <c r="L19" s="168">
        <v>16.419915266362551</v>
      </c>
      <c r="M19" s="168">
        <v>9.5556183317157117</v>
      </c>
      <c r="N19" s="168">
        <v>-4.6796336996349579</v>
      </c>
      <c r="O19" s="168">
        <v>-13.730817047681834</v>
      </c>
      <c r="P19" s="169">
        <v>-11.604550695928669</v>
      </c>
      <c r="V19" s="13"/>
    </row>
    <row r="20" spans="4:22" ht="15.75">
      <c r="D20" s="232">
        <f t="shared" si="1"/>
        <v>15</v>
      </c>
      <c r="E20" s="168">
        <v>-3.0879210973164</v>
      </c>
      <c r="F20" s="168">
        <v>3.2690215863200565</v>
      </c>
      <c r="G20" s="168">
        <v>1.5457357245471832</v>
      </c>
      <c r="H20" s="168">
        <v>-4.7337441946942551</v>
      </c>
      <c r="I20" s="168">
        <v>-5.9512844889744354</v>
      </c>
      <c r="J20" s="168">
        <v>1.5163310361368367</v>
      </c>
      <c r="K20" s="168">
        <v>12.069598058040301</v>
      </c>
      <c r="L20" s="168">
        <v>16.38874682833297</v>
      </c>
      <c r="M20" s="168">
        <v>9.1400452604102274</v>
      </c>
      <c r="N20" s="168">
        <v>-5.1323894788138071</v>
      </c>
      <c r="O20" s="168">
        <v>-13.836382987849916</v>
      </c>
      <c r="P20" s="169">
        <v>-11.379142117669597</v>
      </c>
      <c r="V20" s="13"/>
    </row>
    <row r="21" spans="4:22" ht="15.75">
      <c r="D21" s="232">
        <f t="shared" si="1"/>
        <v>16</v>
      </c>
      <c r="E21" s="168">
        <v>-2.7989470367425433</v>
      </c>
      <c r="F21" s="168">
        <v>3.3493575494970713</v>
      </c>
      <c r="G21" s="168">
        <v>1.3669342998118761</v>
      </c>
      <c r="H21" s="168">
        <v>-4.8989431668043988</v>
      </c>
      <c r="I21" s="168">
        <v>-5.8360433795111977</v>
      </c>
      <c r="J21" s="168">
        <v>1.8557584465363077</v>
      </c>
      <c r="K21" s="168">
        <v>12.355626435586277</v>
      </c>
      <c r="L21" s="168">
        <v>16.343678912866089</v>
      </c>
      <c r="M21" s="168">
        <v>8.715625078366056</v>
      </c>
      <c r="N21" s="168">
        <v>-5.5780378318801649</v>
      </c>
      <c r="O21" s="168">
        <v>-13.928420807770715</v>
      </c>
      <c r="P21" s="169">
        <v>-11.146748874066903</v>
      </c>
      <c r="V21" s="13"/>
    </row>
    <row r="22" spans="4:22" ht="15.75">
      <c r="D22" s="232">
        <f t="shared" si="1"/>
        <v>17</v>
      </c>
      <c r="E22" s="168">
        <v>-2.513002097171674</v>
      </c>
      <c r="F22" s="168">
        <v>3.4203078844411117</v>
      </c>
      <c r="G22" s="168">
        <v>1.1829958655844957</v>
      </c>
      <c r="H22" s="168">
        <v>-5.0578563816846689</v>
      </c>
      <c r="I22" s="168">
        <v>-5.7109380927581599</v>
      </c>
      <c r="J22" s="168">
        <v>2.1984046751257176</v>
      </c>
      <c r="K22" s="168">
        <v>12.634564374437547</v>
      </c>
      <c r="L22" s="168">
        <v>16.284629578007056</v>
      </c>
      <c r="M22" s="168">
        <v>8.2828012416086629</v>
      </c>
      <c r="N22" s="168">
        <v>-6.0161120634037957</v>
      </c>
      <c r="O22" s="168">
        <v>-14.006991340788478</v>
      </c>
      <c r="P22" s="169">
        <v>-10.907694106317949</v>
      </c>
      <c r="V22" s="13"/>
    </row>
    <row r="23" spans="4:22" ht="15.75">
      <c r="D23" s="232">
        <f t="shared" si="1"/>
        <v>18</v>
      </c>
      <c r="E23" s="168">
        <v>-2.2303904120563613</v>
      </c>
      <c r="F23" s="168">
        <v>3.4818157763175703</v>
      </c>
      <c r="G23" s="168">
        <v>0.99425063643538825</v>
      </c>
      <c r="H23" s="168">
        <v>-5.2101809736130393</v>
      </c>
      <c r="I23" s="168">
        <v>-5.5760551288156393</v>
      </c>
      <c r="J23" s="168">
        <v>2.5439598250049142</v>
      </c>
      <c r="K23" s="168">
        <v>12.906089191503233</v>
      </c>
      <c r="L23" s="168">
        <v>16.211531235461933</v>
      </c>
      <c r="M23" s="168">
        <v>7.8420315108657181</v>
      </c>
      <c r="N23" s="168">
        <v>-6.4461598964793625</v>
      </c>
      <c r="O23" s="168">
        <v>-14.072170250780506</v>
      </c>
      <c r="P23" s="169">
        <v>-10.662303714221034</v>
      </c>
      <c r="V23" s="13"/>
    </row>
    <row r="24" spans="4:22" ht="15.75">
      <c r="D24" s="232">
        <f t="shared" si="1"/>
        <v>19</v>
      </c>
      <c r="E24" s="168">
        <v>-1.9514119639667229</v>
      </c>
      <c r="F24" s="168">
        <v>3.533836860529548</v>
      </c>
      <c r="G24" s="168">
        <v>0.80103773403270284</v>
      </c>
      <c r="H24" s="168">
        <v>-5.3556248870814738</v>
      </c>
      <c r="I24" s="168">
        <v>-5.4314923285621912</v>
      </c>
      <c r="J24" s="168">
        <v>2.8921106824351912</v>
      </c>
      <c r="K24" s="168">
        <v>13.169881358304432</v>
      </c>
      <c r="L24" s="168">
        <v>16.124331055319903</v>
      </c>
      <c r="M24" s="168">
        <v>7.3937873793425819</v>
      </c>
      <c r="N24" s="168">
        <v>-6.8677439620513594</v>
      </c>
      <c r="O24" s="168">
        <v>-14.124047485733996</v>
      </c>
      <c r="P24" s="169">
        <v>-10.410906092478337</v>
      </c>
      <c r="V24" s="13"/>
    </row>
    <row r="25" spans="4:22" ht="15.75">
      <c r="D25" s="232">
        <f t="shared" si="1"/>
        <v>20</v>
      </c>
      <c r="E25" s="168">
        <v>-1.6763622691460074</v>
      </c>
      <c r="F25" s="168">
        <v>3.5763394165951339</v>
      </c>
      <c r="G25" s="168">
        <v>0.60370445867255196</v>
      </c>
      <c r="H25" s="168">
        <v>-5.4939073788798067</v>
      </c>
      <c r="I25" s="168">
        <v>-5.2773585215365015</v>
      </c>
      <c r="J25" s="168">
        <v>3.242540967082745</v>
      </c>
      <c r="K25" s="168">
        <v>13.425624732309521</v>
      </c>
      <c r="L25" s="168">
        <v>16.022991425603447</v>
      </c>
      <c r="M25" s="168">
        <v>6.9385535013996869</v>
      </c>
      <c r="N25" s="168">
        <v>-7.2804422462269489</v>
      </c>
      <c r="O25" s="168">
        <v>-14.162726777753596</v>
      </c>
      <c r="P25" s="169">
        <v>-10.153831900879338</v>
      </c>
      <c r="V25" s="13"/>
    </row>
    <row r="26" spans="4:22" ht="15.75">
      <c r="D26" s="232">
        <f>D25+1</f>
        <v>21</v>
      </c>
      <c r="E26" s="168">
        <v>-1.4055320688115898</v>
      </c>
      <c r="F26" s="168">
        <v>3.609304483232846</v>
      </c>
      <c r="G26" s="168">
        <v>0.40260553920665465</v>
      </c>
      <c r="H26" s="168">
        <v>-5.6247594114621249</v>
      </c>
      <c r="I26" s="168">
        <v>-5.113773131610059</v>
      </c>
      <c r="J26" s="168">
        <v>3.5949315502116468</v>
      </c>
      <c r="K26" s="168">
        <v>13.673006820106533</v>
      </c>
      <c r="L26" s="168">
        <v>15.907490455351796</v>
      </c>
      <c r="M26" s="168">
        <v>6.4768270915045081</v>
      </c>
      <c r="N26" s="168">
        <v>-7.6838485304466122</v>
      </c>
      <c r="O26" s="168">
        <v>-14.188325201290002</v>
      </c>
      <c r="P26" s="169">
        <v>-9.8914138542677534</v>
      </c>
      <c r="V26" s="13"/>
    </row>
    <row r="27" spans="4:22" ht="15.75">
      <c r="D27" s="232">
        <f t="shared" si="1"/>
        <v>22</v>
      </c>
      <c r="E27" s="168">
        <v>-1.139207041239342</v>
      </c>
      <c r="F27" s="168">
        <v>3.632725908712473</v>
      </c>
      <c r="G27" s="168">
        <v>0.19810239901521962</v>
      </c>
      <c r="H27" s="168">
        <v>-5.7479239325666285</v>
      </c>
      <c r="I27" s="168">
        <v>-4.9408657691289886</v>
      </c>
      <c r="J27" s="168">
        <v>3.948960637566111</v>
      </c>
      <c r="K27" s="168">
        <v>13.911719082975299</v>
      </c>
      <c r="L27" s="168">
        <v>15.777822499631984</v>
      </c>
      <c r="M27" s="168">
        <v>6.0091172574540899</v>
      </c>
      <c r="N27" s="168">
        <v>-8.0775728497680923</v>
      </c>
      <c r="O27" s="168">
        <v>-14.200972788361616</v>
      </c>
      <c r="P27" s="169">
        <v>-9.6239865186878468</v>
      </c>
      <c r="V27" s="13"/>
    </row>
    <row r="28" spans="4:22" ht="15.75">
      <c r="D28" s="232">
        <f t="shared" si="1"/>
        <v>23</v>
      </c>
      <c r="E28" s="168">
        <v>-0.8776675474402964</v>
      </c>
      <c r="F28" s="168">
        <v>3.6466103606433427</v>
      </c>
      <c r="G28" s="168">
        <v>-9.4375313106695655E-3</v>
      </c>
      <c r="H28" s="168">
        <v>-5.8631560531872253</v>
      </c>
      <c r="I28" s="168">
        <v>-4.7587758385842616</v>
      </c>
      <c r="J28" s="168">
        <v>4.3043039226202673</v>
      </c>
      <c r="K28" s="168">
        <v>14.141457282966803</v>
      </c>
      <c r="L28" s="168">
        <v>15.633998676406417</v>
      </c>
      <c r="M28" s="168">
        <v>5.5359442383947073</v>
      </c>
      <c r="N28" s="168">
        <v>-8.4612419796218141</v>
      </c>
      <c r="O28" s="168">
        <v>-14.200812188017204</v>
      </c>
      <c r="P28" s="169">
        <v>-9.351886100317607</v>
      </c>
      <c r="V28" s="13"/>
    </row>
    <row r="29" spans="4:22" ht="15.75">
      <c r="D29" s="232">
        <f>D28+1</f>
        <v>24</v>
      </c>
      <c r="E29" s="168">
        <v>-0.62118841296831184</v>
      </c>
      <c r="F29" s="168">
        <v>3.6509773249872359</v>
      </c>
      <c r="G29" s="168">
        <v>-0.21964143640917538</v>
      </c>
      <c r="H29" s="168">
        <v>-5.9702231487029893</v>
      </c>
      <c r="I29" s="168">
        <v>-4.5676521872420057</v>
      </c>
      <c r="J29" s="168">
        <v>4.6606347206745209</v>
      </c>
      <c r="K29" s="168">
        <v>14.361921864621516</v>
      </c>
      <c r="L29" s="168">
        <v>15.47604734336783</v>
      </c>
      <c r="M29" s="168">
        <v>5.0578385288539707</v>
      </c>
      <c r="N29" s="168">
        <v>-8.834499949846121</v>
      </c>
      <c r="O29" s="168">
        <v>-14.187998348221939</v>
      </c>
      <c r="P29" s="169">
        <v>-9.0754502173202365</v>
      </c>
      <c r="V29" s="13"/>
    </row>
    <row r="30" spans="4:22" ht="15.75">
      <c r="D30" s="232">
        <f t="shared" si="1"/>
        <v>25</v>
      </c>
      <c r="E30" s="168">
        <v>-0.37003874281750215</v>
      </c>
      <c r="F30" s="168">
        <v>3.6458591236407805</v>
      </c>
      <c r="G30" s="168">
        <v>-0.43213167174254608</v>
      </c>
      <c r="H30" s="168">
        <v>-6.0689049181260604</v>
      </c>
      <c r="I30" s="168">
        <v>-4.3676528104769066</v>
      </c>
      <c r="J30" s="168">
        <v>5.017624096804977</v>
      </c>
      <c r="K30" s="168">
        <v>14.572818357370741</v>
      </c>
      <c r="L30" s="168">
        <v>15.304014506355822</v>
      </c>
      <c r="M30" s="168">
        <v>4.5753398830228251</v>
      </c>
      <c r="N30" s="168">
        <v>-9.1970085657305312</v>
      </c>
      <c r="O30" s="168">
        <v>-14.162698194817182</v>
      </c>
      <c r="P30" s="169">
        <v>-8.7950176527542769</v>
      </c>
      <c r="V30" s="13"/>
    </row>
    <row r="31" spans="4:22" ht="15.75">
      <c r="D31" s="232">
        <f t="shared" si="1"/>
        <v>26</v>
      </c>
      <c r="E31" s="168">
        <v>-0.12448175724415256</v>
      </c>
      <c r="F31" s="168">
        <v>3.6313009733473267</v>
      </c>
      <c r="G31" s="168">
        <v>-0.64652626677569125</v>
      </c>
      <c r="H31" s="168">
        <v>-6.1589934379967035</v>
      </c>
      <c r="I31" s="168">
        <v>-4.1589446182962195</v>
      </c>
      <c r="J31" s="168">
        <v>5.3749410014718286</v>
      </c>
      <c r="K31" s="168">
        <v>14.77385778292269</v>
      </c>
      <c r="L31" s="168">
        <v>15.11796414115924</v>
      </c>
      <c r="M31" s="168">
        <v>4.0889962118201506</v>
      </c>
      <c r="N31" s="168">
        <v>-9.5484479077035864</v>
      </c>
      <c r="O31" s="168">
        <v>-14.12509028361043</v>
      </c>
      <c r="P31" s="169">
        <v>-8.5109280890573196</v>
      </c>
      <c r="V31" s="13"/>
    </row>
    <row r="32" spans="4:22" ht="15.75">
      <c r="D32" s="232">
        <f t="shared" si="1"/>
        <v>27</v>
      </c>
      <c r="E32" s="168">
        <v>0.11522536912562516</v>
      </c>
      <c r="F32" s="168">
        <v>3.6073610972832908</v>
      </c>
      <c r="G32" s="168">
        <v>-0.86243940259793417</v>
      </c>
      <c r="H32" s="168">
        <v>-6.2402932427435003</v>
      </c>
      <c r="I32" s="168">
        <v>-3.9417032545551534</v>
      </c>
      <c r="J32" s="168">
        <v>5.7322524239722128</v>
      </c>
      <c r="K32" s="168">
        <v>14.964757050555454</v>
      </c>
      <c r="L32" s="168">
        <v>14.917978422249055</v>
      </c>
      <c r="M32" s="168">
        <v>3.5993623994858011</v>
      </c>
      <c r="N32" s="168">
        <v>-9.8885167751871652</v>
      </c>
      <c r="O32" s="168">
        <v>-14.07536440811854</v>
      </c>
      <c r="P32" s="169">
        <v>-8.2235218339593423</v>
      </c>
      <c r="V32" s="13"/>
    </row>
    <row r="33" spans="4:22" ht="15.75">
      <c r="D33" s="232">
        <f t="shared" si="1"/>
        <v>28</v>
      </c>
      <c r="E33" s="168">
        <v>0.34883168286305982</v>
      </c>
      <c r="F33" s="168">
        <v>3.5741108865346178</v>
      </c>
      <c r="G33" s="168">
        <v>-1.0794818986941703</v>
      </c>
      <c r="H33" s="168">
        <v>-6.3126214523972859</v>
      </c>
      <c r="I33" s="168">
        <v>-3.7161129515920814</v>
      </c>
      <c r="J33" s="168">
        <v>6.0892235685359974</v>
      </c>
      <c r="K33" s="168">
        <v>15.14523932771618</v>
      </c>
      <c r="L33" s="168">
        <v>14.704157866550634</v>
      </c>
      <c r="M33" s="168">
        <v>3.1069990759649277</v>
      </c>
      <c r="N33" s="168">
        <v>-10.216933042577747</v>
      </c>
      <c r="O33" s="168">
        <v>-14.013721155525417</v>
      </c>
      <c r="P33" s="169">
        <v>-7.9331395464690058</v>
      </c>
      <c r="V33" s="13"/>
    </row>
    <row r="34" spans="4:22" ht="15.75">
      <c r="D34" s="232">
        <f t="shared" si="1"/>
        <v>29</v>
      </c>
      <c r="E34" s="168">
        <v>0.57609266058853548</v>
      </c>
      <c r="F34" s="168">
        <v>3.5316350948894217</v>
      </c>
      <c r="G34" s="168">
        <v>-1.2972617435315048</v>
      </c>
      <c r="H34" s="168">
        <v>-6.3758079536989856</v>
      </c>
      <c r="I34" s="168">
        <v>-3.4823663953007205</v>
      </c>
      <c r="J34" s="168">
        <v>6.4455180536001704</v>
      </c>
      <c r="K34" s="168">
        <v>15.315034380296643</v>
      </c>
      <c r="L34" s="168">
        <v>14.476621412825491</v>
      </c>
      <c r="M34" s="168">
        <v>2.6124713848900418</v>
      </c>
      <c r="N34" s="168">
        <v>-10.533433900794268</v>
      </c>
      <c r="O34" s="168">
        <v>-13.940371414300859</v>
      </c>
      <c r="P34" s="169">
        <v>-7.6401219743260071</v>
      </c>
      <c r="V34" s="13"/>
    </row>
    <row r="35" spans="4:22" ht="15.75">
      <c r="D35" s="232">
        <f>D34+1</f>
        <v>30</v>
      </c>
      <c r="E35" s="168">
        <v>0.79677046068663504</v>
      </c>
      <c r="F35" s="168">
        <v>3.4800320392421398</v>
      </c>
      <c r="G35" s="168">
        <v>-1.5153846975916863</v>
      </c>
      <c r="H35" s="168">
        <v>-6.4296956254185726</v>
      </c>
      <c r="I35" s="168">
        <v>-3.2406645766106372</v>
      </c>
      <c r="J35" s="168">
        <v>6.8007981270054527</v>
      </c>
      <c r="K35" s="168">
        <v>15.473878885865537</v>
      </c>
      <c r="L35" s="168">
        <v>14.235506463501665</v>
      </c>
      <c r="M35" s="168">
        <v>2.1163477856484905</v>
      </c>
      <c r="N35" s="168">
        <v>-10.837775975173557</v>
      </c>
      <c r="O35" s="168">
        <v>-13.855535847253952</v>
      </c>
      <c r="P35" s="169">
        <v>-7.4337699592885134</v>
      </c>
      <c r="V35" s="13"/>
    </row>
    <row r="36" spans="4:22" ht="16.5" thickBot="1">
      <c r="D36" s="233">
        <f t="shared" si="1"/>
        <v>31</v>
      </c>
      <c r="E36" s="170">
        <v>1.0106342211433965</v>
      </c>
      <c r="F36" s="170">
        <v>3.4194137723450622</v>
      </c>
      <c r="G36" s="170">
        <v>-1.7334549830526473</v>
      </c>
      <c r="H36" s="170">
        <v>-6.4741405845093141</v>
      </c>
      <c r="I36" s="170">
        <v>-2.9912166078934255</v>
      </c>
      <c r="J36" s="170">
        <v>7.1547248889454069</v>
      </c>
      <c r="K36" s="170">
        <v>0</v>
      </c>
      <c r="L36" s="170">
        <v>0</v>
      </c>
      <c r="M36" s="170">
        <v>0</v>
      </c>
      <c r="N36" s="170">
        <v>0</v>
      </c>
      <c r="O36" s="170">
        <v>0</v>
      </c>
      <c r="P36" s="171">
        <v>0</v>
      </c>
      <c r="V36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Average_Click">
                <anchor mov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93C6-26AF-4D87-BF29-465C9EFAFCD5}">
  <sheetPr codeName="Sheet3"/>
  <dimension ref="A2:Y181"/>
  <sheetViews>
    <sheetView zoomScaleNormal="100" workbookViewId="0">
      <selection activeCell="D18" sqref="D18"/>
    </sheetView>
  </sheetViews>
  <sheetFormatPr defaultRowHeight="15"/>
  <cols>
    <col min="1" max="1" width="3.85546875" customWidth="1"/>
    <col min="2" max="2" width="27" customWidth="1"/>
    <col min="3" max="3" width="7.42578125" style="2" customWidth="1"/>
    <col min="4" max="15" width="7.42578125" customWidth="1"/>
    <col min="16" max="17" width="6" customWidth="1"/>
    <col min="18" max="18" width="7.140625" customWidth="1"/>
    <col min="19" max="19" width="7.5703125" customWidth="1"/>
    <col min="20" max="20" width="8.42578125" customWidth="1"/>
  </cols>
  <sheetData>
    <row r="2" spans="2:15">
      <c r="B2" t="s">
        <v>70</v>
      </c>
      <c r="C2" s="2" t="str" cm="1">
        <f t="array" ref="C2:C6">Enter!B2:B6</f>
        <v>Tehran</v>
      </c>
      <c r="E2" t="s">
        <v>30</v>
      </c>
      <c r="F2" t="s">
        <v>31</v>
      </c>
      <c r="G2" t="s">
        <v>32</v>
      </c>
    </row>
    <row r="3" spans="2:15">
      <c r="B3" t="s">
        <v>71</v>
      </c>
      <c r="C3" s="2">
        <v>51.349758148193303</v>
      </c>
      <c r="D3" s="60" t="s">
        <v>13</v>
      </c>
      <c r="E3">
        <f>RADIANS(C3)</f>
        <v>0.89622234978875948</v>
      </c>
    </row>
    <row r="4" spans="2:15">
      <c r="B4" t="s">
        <v>72</v>
      </c>
      <c r="C4" s="2">
        <v>35.702907562255803</v>
      </c>
      <c r="D4" s="2" t="s">
        <v>12</v>
      </c>
      <c r="E4">
        <f>RADIANS(C4)</f>
        <v>0.62313328949654612</v>
      </c>
      <c r="F4">
        <f>SIN(E4)</f>
        <v>0.58358242102950053</v>
      </c>
      <c r="G4">
        <f>COS(E4)</f>
        <v>0.81205391315192044</v>
      </c>
    </row>
    <row r="5" spans="2:15">
      <c r="B5" t="s">
        <v>108</v>
      </c>
      <c r="C5" s="2">
        <v>1368</v>
      </c>
      <c r="D5" s="2"/>
    </row>
    <row r="6" spans="2:15">
      <c r="B6" t="s">
        <v>74</v>
      </c>
      <c r="C6" s="2">
        <v>3.5</v>
      </c>
    </row>
    <row r="7" spans="2:15">
      <c r="B7" s="5" t="s">
        <v>109</v>
      </c>
      <c r="C7" s="2">
        <f>D7*4</f>
        <v>-4.6009674072267899</v>
      </c>
      <c r="D7" s="2">
        <f>C3-C6*15</f>
        <v>-1.1502418518066975</v>
      </c>
      <c r="E7">
        <f>RADIANS(C7)</f>
        <v>-8.0302030033054236E-2</v>
      </c>
    </row>
    <row r="8" spans="2:15">
      <c r="B8" s="61" t="s">
        <v>9</v>
      </c>
      <c r="C8" s="2">
        <f>90-C4</f>
        <v>54.297092437744197</v>
      </c>
      <c r="E8">
        <f>RADIANS(C8)</f>
        <v>0.94766303729835044</v>
      </c>
    </row>
    <row r="10" spans="2:15">
      <c r="C10"/>
    </row>
    <row r="11" spans="2:15" ht="19.5">
      <c r="C11" s="57"/>
      <c r="F11" s="245" t="s">
        <v>127</v>
      </c>
      <c r="G11" s="2"/>
    </row>
    <row r="12" spans="2:15" s="86" customFormat="1" ht="15.75" thickBot="1">
      <c r="C12" s="38" t="s">
        <v>118</v>
      </c>
      <c r="D12" s="7" t="s">
        <v>40</v>
      </c>
      <c r="E12" s="6"/>
      <c r="F12" s="240" t="s">
        <v>119</v>
      </c>
      <c r="G12" s="8" t="s">
        <v>12</v>
      </c>
      <c r="H12" s="6"/>
      <c r="I12" s="240" t="s">
        <v>120</v>
      </c>
      <c r="J12" s="8">
        <v>0</v>
      </c>
      <c r="K12" s="6"/>
      <c r="L12" s="240" t="s">
        <v>121</v>
      </c>
      <c r="M12" s="6">
        <v>-90</v>
      </c>
    </row>
    <row r="13" spans="2:15">
      <c r="B13" s="235" t="s">
        <v>110</v>
      </c>
      <c r="C13" s="120">
        <v>6</v>
      </c>
      <c r="D13" s="110">
        <f t="shared" ref="D13:O13" si="0">C13+1</f>
        <v>7</v>
      </c>
      <c r="E13" s="110">
        <f t="shared" si="0"/>
        <v>8</v>
      </c>
      <c r="F13" s="110">
        <f t="shared" si="0"/>
        <v>9</v>
      </c>
      <c r="G13" s="110">
        <f t="shared" si="0"/>
        <v>10</v>
      </c>
      <c r="H13" s="110">
        <f t="shared" si="0"/>
        <v>11</v>
      </c>
      <c r="I13" s="110">
        <f t="shared" si="0"/>
        <v>12</v>
      </c>
      <c r="J13" s="110">
        <f t="shared" si="0"/>
        <v>13</v>
      </c>
      <c r="K13" s="110">
        <f t="shared" si="0"/>
        <v>14</v>
      </c>
      <c r="L13" s="110">
        <f t="shared" si="0"/>
        <v>15</v>
      </c>
      <c r="M13" s="110">
        <f t="shared" si="0"/>
        <v>16</v>
      </c>
      <c r="N13" s="110">
        <f t="shared" si="0"/>
        <v>17</v>
      </c>
      <c r="O13" s="121">
        <f t="shared" si="0"/>
        <v>18</v>
      </c>
    </row>
    <row r="14" spans="2:15">
      <c r="B14" s="236" t="s">
        <v>111</v>
      </c>
      <c r="C14" s="122">
        <f>(C13-$I$13)*15</f>
        <v>-90</v>
      </c>
      <c r="D14" s="111">
        <f t="shared" ref="D14:N14" si="1">(D13-$I$13)*15</f>
        <v>-75</v>
      </c>
      <c r="E14" s="111">
        <f t="shared" si="1"/>
        <v>-60</v>
      </c>
      <c r="F14" s="111">
        <f t="shared" si="1"/>
        <v>-45</v>
      </c>
      <c r="G14" s="111">
        <f t="shared" si="1"/>
        <v>-30</v>
      </c>
      <c r="H14" s="111">
        <f t="shared" si="1"/>
        <v>-15</v>
      </c>
      <c r="I14" s="111">
        <f t="shared" si="1"/>
        <v>0</v>
      </c>
      <c r="J14" s="111">
        <f t="shared" si="1"/>
        <v>15</v>
      </c>
      <c r="K14" s="111">
        <f t="shared" si="1"/>
        <v>30</v>
      </c>
      <c r="L14" s="111">
        <f t="shared" si="1"/>
        <v>45</v>
      </c>
      <c r="M14" s="111">
        <f t="shared" si="1"/>
        <v>60</v>
      </c>
      <c r="N14" s="111">
        <f t="shared" si="1"/>
        <v>75</v>
      </c>
      <c r="O14" s="123">
        <f>(O13-I13)*15</f>
        <v>90</v>
      </c>
    </row>
    <row r="15" spans="2:15" ht="15.75" thickBot="1">
      <c r="B15" s="237" t="s">
        <v>112</v>
      </c>
      <c r="C15" s="124">
        <f>RADIANS(C14)</f>
        <v>-1.5707963267948966</v>
      </c>
      <c r="D15" s="106">
        <f t="shared" ref="D15:J15" si="2">RADIANS(D14)</f>
        <v>-1.3089969389957472</v>
      </c>
      <c r="E15" s="106">
        <f t="shared" si="2"/>
        <v>-1.0471975511965976</v>
      </c>
      <c r="F15" s="106">
        <f t="shared" si="2"/>
        <v>-0.78539816339744828</v>
      </c>
      <c r="G15" s="106">
        <f t="shared" si="2"/>
        <v>-0.52359877559829882</v>
      </c>
      <c r="H15" s="106">
        <f t="shared" si="2"/>
        <v>-0.26179938779914941</v>
      </c>
      <c r="I15" s="106">
        <f t="shared" si="2"/>
        <v>0</v>
      </c>
      <c r="J15" s="106">
        <f t="shared" si="2"/>
        <v>0.26179938779914941</v>
      </c>
      <c r="K15" s="106">
        <f>RADIANS(K14)</f>
        <v>0.52359877559829882</v>
      </c>
      <c r="L15" s="106">
        <f>RADIANS(L14)</f>
        <v>0.78539816339744828</v>
      </c>
      <c r="M15" s="106">
        <f>RADIANS(M14)</f>
        <v>1.0471975511965976</v>
      </c>
      <c r="N15" s="106">
        <f>RADIANS(N14)</f>
        <v>1.3089969389957472</v>
      </c>
      <c r="O15" s="107">
        <f>RADIANS(O14)</f>
        <v>1.5707963267948966</v>
      </c>
    </row>
    <row r="16" spans="2:15">
      <c r="B16" s="236" t="s">
        <v>113</v>
      </c>
      <c r="C16" s="125">
        <f t="shared" ref="C16:H16" si="3">C14+$D$7</f>
        <v>-91.150241851806697</v>
      </c>
      <c r="D16" s="101">
        <f t="shared" si="3"/>
        <v>-76.150241851806697</v>
      </c>
      <c r="E16" s="101">
        <f t="shared" si="3"/>
        <v>-61.150241851806697</v>
      </c>
      <c r="F16" s="101">
        <f t="shared" si="3"/>
        <v>-46.150241851806697</v>
      </c>
      <c r="G16" s="101">
        <f t="shared" si="3"/>
        <v>-31.150241851806697</v>
      </c>
      <c r="H16" s="101">
        <f t="shared" si="3"/>
        <v>-16.150241851806697</v>
      </c>
      <c r="I16" s="101">
        <f>I14+$D$7</f>
        <v>-1.1502418518066975</v>
      </c>
      <c r="J16" s="101">
        <f t="shared" ref="J16:O16" si="4">J14+$D$7</f>
        <v>13.849758148193303</v>
      </c>
      <c r="K16" s="101">
        <f t="shared" si="4"/>
        <v>28.849758148193303</v>
      </c>
      <c r="L16" s="101">
        <f t="shared" si="4"/>
        <v>43.849758148193303</v>
      </c>
      <c r="M16" s="101">
        <f t="shared" si="4"/>
        <v>58.849758148193303</v>
      </c>
      <c r="N16" s="101">
        <f t="shared" si="4"/>
        <v>73.849758148193303</v>
      </c>
      <c r="O16" s="102">
        <f t="shared" si="4"/>
        <v>88.849758148193303</v>
      </c>
    </row>
    <row r="17" spans="2:15" s="86" customFormat="1" ht="15.75" thickBot="1">
      <c r="B17" s="237" t="s">
        <v>114</v>
      </c>
      <c r="C17" s="126">
        <f>RADIANS(C16)</f>
        <v>-1.5908718343031603</v>
      </c>
      <c r="D17" s="127">
        <f t="shared" ref="D17:O17" si="5">RADIANS(D16)</f>
        <v>-1.3290724465040107</v>
      </c>
      <c r="E17" s="127">
        <f t="shared" si="5"/>
        <v>-1.0672730587048613</v>
      </c>
      <c r="F17" s="127">
        <f t="shared" si="5"/>
        <v>-0.80547367090571187</v>
      </c>
      <c r="G17" s="127">
        <f t="shared" si="5"/>
        <v>-0.54367428310656241</v>
      </c>
      <c r="H17" s="127">
        <f t="shared" si="5"/>
        <v>-0.281874895307413</v>
      </c>
      <c r="I17" s="127">
        <f t="shared" si="5"/>
        <v>-2.0075507508263559E-2</v>
      </c>
      <c r="J17" s="127">
        <f t="shared" si="5"/>
        <v>0.24172388029088587</v>
      </c>
      <c r="K17" s="127">
        <f t="shared" si="5"/>
        <v>0.50352326809003534</v>
      </c>
      <c r="L17" s="127">
        <f t="shared" si="5"/>
        <v>0.76532265588918469</v>
      </c>
      <c r="M17" s="127">
        <f t="shared" si="5"/>
        <v>1.0271220436883342</v>
      </c>
      <c r="N17" s="127">
        <f t="shared" si="5"/>
        <v>1.2889214314874835</v>
      </c>
      <c r="O17" s="128">
        <f t="shared" si="5"/>
        <v>1.5507208192866331</v>
      </c>
    </row>
    <row r="18" spans="2:15" ht="15.75" thickBot="1">
      <c r="B18" s="238" t="s">
        <v>117</v>
      </c>
      <c r="C18" s="129" t="s">
        <v>38</v>
      </c>
      <c r="D18" s="112">
        <f>(C4)</f>
        <v>35.702907562255803</v>
      </c>
      <c r="E18" s="113">
        <f>SIN($E$4-RADIANS(D18))</f>
        <v>0</v>
      </c>
      <c r="F18" s="113"/>
      <c r="G18" s="113"/>
      <c r="H18" s="114" t="s">
        <v>39</v>
      </c>
      <c r="I18" s="113"/>
      <c r="J18" s="113"/>
      <c r="K18" s="113"/>
      <c r="L18" s="113"/>
      <c r="M18" s="113"/>
      <c r="N18" s="113"/>
      <c r="O18" s="130"/>
    </row>
    <row r="19" spans="2:15">
      <c r="B19" s="236" t="s">
        <v>115</v>
      </c>
      <c r="C19" s="144">
        <f>DEGREES(ATAN($E$18*TAN(C15)))</f>
        <v>0</v>
      </c>
      <c r="D19" s="145">
        <f>DEGREES(ATAN($E$18*TAN(D15)))</f>
        <v>0</v>
      </c>
      <c r="E19" s="145">
        <f t="shared" ref="E19:O19" si="6">DEGREES(ATAN($E$18*TAN(E15)))</f>
        <v>0</v>
      </c>
      <c r="F19" s="145">
        <f t="shared" si="6"/>
        <v>0</v>
      </c>
      <c r="G19" s="145">
        <f t="shared" si="6"/>
        <v>0</v>
      </c>
      <c r="H19" s="145">
        <f t="shared" si="6"/>
        <v>0</v>
      </c>
      <c r="I19" s="145">
        <f t="shared" si="6"/>
        <v>0</v>
      </c>
      <c r="J19" s="145">
        <f t="shared" si="6"/>
        <v>0</v>
      </c>
      <c r="K19" s="145">
        <f t="shared" si="6"/>
        <v>0</v>
      </c>
      <c r="L19" s="145">
        <f t="shared" si="6"/>
        <v>0</v>
      </c>
      <c r="M19" s="145">
        <f t="shared" si="6"/>
        <v>0</v>
      </c>
      <c r="N19" s="145">
        <f t="shared" si="6"/>
        <v>0</v>
      </c>
      <c r="O19" s="146">
        <f t="shared" si="6"/>
        <v>0</v>
      </c>
    </row>
    <row r="20" spans="2:15" ht="15.75" thickBot="1">
      <c r="B20" s="239" t="s">
        <v>116</v>
      </c>
      <c r="C20" s="147">
        <f>DEGREES(ATAN($E$18*TAN(C17)))</f>
        <v>0</v>
      </c>
      <c r="D20" s="148">
        <f>DEGREES(ATAN($E$18*TAN(D17)))</f>
        <v>0</v>
      </c>
      <c r="E20" s="148">
        <f t="shared" ref="E20:O20" si="7">DEGREES(ATAN($E$18*TAN(E17)))</f>
        <v>0</v>
      </c>
      <c r="F20" s="148">
        <f t="shared" si="7"/>
        <v>0</v>
      </c>
      <c r="G20" s="148">
        <f t="shared" si="7"/>
        <v>0</v>
      </c>
      <c r="H20" s="148">
        <f t="shared" si="7"/>
        <v>0</v>
      </c>
      <c r="I20" s="148">
        <f t="shared" si="7"/>
        <v>0</v>
      </c>
      <c r="J20" s="148">
        <f t="shared" si="7"/>
        <v>0</v>
      </c>
      <c r="K20" s="148">
        <f t="shared" si="7"/>
        <v>0</v>
      </c>
      <c r="L20" s="148">
        <f t="shared" si="7"/>
        <v>0</v>
      </c>
      <c r="M20" s="148">
        <f t="shared" si="7"/>
        <v>0</v>
      </c>
      <c r="N20" s="148">
        <f t="shared" si="7"/>
        <v>0</v>
      </c>
      <c r="O20" s="149">
        <f t="shared" si="7"/>
        <v>0</v>
      </c>
    </row>
    <row r="22" spans="2:15" ht="15.75" thickBot="1">
      <c r="C22"/>
      <c r="H22" s="6" t="s">
        <v>90</v>
      </c>
    </row>
    <row r="23" spans="2:15">
      <c r="B23" s="70" t="s">
        <v>14</v>
      </c>
      <c r="C23" s="71">
        <f>$C$4</f>
        <v>35.702907562255803</v>
      </c>
      <c r="D23" s="3">
        <f>SIN(RADIANS(C23))</f>
        <v>0.58358242102950053</v>
      </c>
      <c r="E23" s="3"/>
      <c r="F23" s="3" t="s">
        <v>15</v>
      </c>
      <c r="G23" s="3"/>
      <c r="H23" s="3"/>
      <c r="I23" s="3"/>
      <c r="J23" s="3"/>
      <c r="K23" s="3"/>
      <c r="L23" s="3"/>
      <c r="M23" s="3"/>
      <c r="N23" s="3"/>
      <c r="O23" s="20"/>
    </row>
    <row r="24" spans="2:15">
      <c r="C24" s="78">
        <f>DEGREES(ATAN($D$23*TAN(C15)))</f>
        <v>-90</v>
      </c>
      <c r="D24" s="79">
        <f t="shared" ref="D24:O24" si="8">DEGREES(ATAN($D$23*TAN(D15)))</f>
        <v>-65.337995690437864</v>
      </c>
      <c r="E24" s="79">
        <f t="shared" si="8"/>
        <v>-45.307573876349473</v>
      </c>
      <c r="F24" s="79">
        <f t="shared" si="8"/>
        <v>-30.267084304554384</v>
      </c>
      <c r="G24" s="79">
        <f t="shared" si="8"/>
        <v>-18.62029024179812</v>
      </c>
      <c r="H24" s="79">
        <f t="shared" si="8"/>
        <v>-8.8873951836294633</v>
      </c>
      <c r="I24" s="79">
        <f t="shared" si="8"/>
        <v>0</v>
      </c>
      <c r="J24" s="79">
        <f t="shared" si="8"/>
        <v>8.8873951836294633</v>
      </c>
      <c r="K24" s="79">
        <f t="shared" si="8"/>
        <v>18.62029024179812</v>
      </c>
      <c r="L24" s="79">
        <f t="shared" si="8"/>
        <v>30.267084304554384</v>
      </c>
      <c r="M24" s="79">
        <f t="shared" si="8"/>
        <v>45.307573876349473</v>
      </c>
      <c r="N24" s="79">
        <f t="shared" si="8"/>
        <v>65.337995690437864</v>
      </c>
      <c r="O24" s="80">
        <f t="shared" si="8"/>
        <v>90</v>
      </c>
    </row>
    <row r="25" spans="2:15" ht="15.75" thickBot="1">
      <c r="C25" s="81">
        <f>DEGREES(ATAN($D$23*TAN(C17)))</f>
        <v>88.029510877595897</v>
      </c>
      <c r="D25" s="76">
        <f t="shared" ref="D25:O25" si="9">DEGREES(ATAN($D$23*TAN(D17)))</f>
        <v>-67.097523423960283</v>
      </c>
      <c r="E25" s="76">
        <f t="shared" si="9"/>
        <v>-46.650854451459736</v>
      </c>
      <c r="F25" s="76">
        <f t="shared" si="9"/>
        <v>-31.27856187843739</v>
      </c>
      <c r="G25" s="76">
        <f t="shared" si="9"/>
        <v>-19.429669586640752</v>
      </c>
      <c r="H25" s="76">
        <f t="shared" si="9"/>
        <v>-9.5921780608302054</v>
      </c>
      <c r="I25" s="76">
        <f t="shared" si="9"/>
        <v>-0.67132039590841286</v>
      </c>
      <c r="J25" s="76">
        <f t="shared" si="9"/>
        <v>8.1874763356718994</v>
      </c>
      <c r="K25" s="76">
        <f t="shared" si="9"/>
        <v>17.821946324610579</v>
      </c>
      <c r="L25" s="76">
        <f t="shared" si="9"/>
        <v>29.275387171895833</v>
      </c>
      <c r="M25" s="76">
        <f t="shared" si="9"/>
        <v>43.994415154908602</v>
      </c>
      <c r="N25" s="76">
        <f t="shared" si="9"/>
        <v>63.608466808682529</v>
      </c>
      <c r="O25" s="77">
        <f t="shared" si="9"/>
        <v>88.029510877595897</v>
      </c>
    </row>
    <row r="26" spans="2:15" ht="15.75" thickBot="1">
      <c r="H26" s="6" t="s">
        <v>93</v>
      </c>
    </row>
    <row r="27" spans="2:15">
      <c r="B27" s="70" t="s">
        <v>14</v>
      </c>
      <c r="C27" s="71">
        <f>$C$4</f>
        <v>35.702907562255803</v>
      </c>
      <c r="D27" s="3">
        <f>COS(RADIANS(C27))</f>
        <v>0.81205391315192044</v>
      </c>
      <c r="E27" s="3"/>
      <c r="F27" s="3" t="s">
        <v>16</v>
      </c>
      <c r="G27" s="3"/>
      <c r="H27" s="3"/>
      <c r="I27" s="3"/>
      <c r="J27" s="3"/>
      <c r="K27" s="3"/>
      <c r="L27" s="3"/>
      <c r="M27" s="3"/>
      <c r="N27" s="3"/>
      <c r="O27" s="20"/>
    </row>
    <row r="28" spans="2:15">
      <c r="C28" s="117">
        <f>DEGREES(ATAN($D$27*TAN(C15)))</f>
        <v>-90</v>
      </c>
      <c r="D28" s="118">
        <f t="shared" ref="D28:O28" si="10">DEGREES(ATAN($D$27*TAN(D15)))</f>
        <v>-71.738929756163074</v>
      </c>
      <c r="E28" s="118">
        <f t="shared" si="10"/>
        <v>-54.588113340902808</v>
      </c>
      <c r="F28" s="118">
        <f t="shared" si="10"/>
        <v>-39.078460049935764</v>
      </c>
      <c r="G28" s="118">
        <f t="shared" si="10"/>
        <v>-25.119041070135889</v>
      </c>
      <c r="H28" s="118">
        <f t="shared" si="10"/>
        <v>-12.275599665693823</v>
      </c>
      <c r="I28" s="118">
        <f t="shared" si="10"/>
        <v>0</v>
      </c>
      <c r="J28" s="118">
        <f t="shared" si="10"/>
        <v>12.275599665693823</v>
      </c>
      <c r="K28" s="118">
        <f t="shared" si="10"/>
        <v>25.119041070135889</v>
      </c>
      <c r="L28" s="118">
        <f t="shared" si="10"/>
        <v>39.078460049935764</v>
      </c>
      <c r="M28" s="118">
        <f t="shared" si="10"/>
        <v>54.588113340902808</v>
      </c>
      <c r="N28" s="118">
        <f t="shared" si="10"/>
        <v>71.738929756163074</v>
      </c>
      <c r="O28" s="119">
        <f t="shared" si="10"/>
        <v>90</v>
      </c>
    </row>
    <row r="29" spans="2:15" ht="15.75" thickBot="1">
      <c r="C29" s="116">
        <f>DEGREES(ATAN($D$27*TAN(C17)))-180</f>
        <v>-91.416361701550542</v>
      </c>
      <c r="D29" s="100">
        <f t="shared" ref="D29:O29" si="11">DEGREES(ATAN($D$27*TAN(D17)))</f>
        <v>-73.111385394599253</v>
      </c>
      <c r="E29" s="100">
        <f t="shared" si="11"/>
        <v>-55.847575857014199</v>
      </c>
      <c r="F29" s="100">
        <f t="shared" si="11"/>
        <v>-40.208880391197255</v>
      </c>
      <c r="G29" s="100">
        <f t="shared" si="11"/>
        <v>-26.143372133713928</v>
      </c>
      <c r="H29" s="100">
        <f t="shared" si="11"/>
        <v>-13.233179566470964</v>
      </c>
      <c r="I29" s="100">
        <f t="shared" si="11"/>
        <v>-0.93410113254834204</v>
      </c>
      <c r="J29" s="100">
        <f t="shared" si="11"/>
        <v>11.321363696788485</v>
      </c>
      <c r="K29" s="100">
        <f t="shared" si="11"/>
        <v>24.101317726774269</v>
      </c>
      <c r="L29" s="100">
        <f t="shared" si="11"/>
        <v>37.957315322530228</v>
      </c>
      <c r="M29" s="100">
        <f t="shared" si="11"/>
        <v>53.33862496817288</v>
      </c>
      <c r="N29" s="100">
        <f t="shared" si="11"/>
        <v>70.373332241107079</v>
      </c>
      <c r="O29" s="109">
        <f t="shared" si="11"/>
        <v>88.583638298449472</v>
      </c>
    </row>
    <row r="32" spans="2:15" ht="20.25" thickBot="1">
      <c r="C32" s="23"/>
      <c r="D32" s="23"/>
      <c r="E32" s="23"/>
      <c r="F32" s="140" t="s">
        <v>122</v>
      </c>
      <c r="G32" s="4" t="s">
        <v>19</v>
      </c>
      <c r="O32" s="2"/>
    </row>
    <row r="33" spans="2:25">
      <c r="B33" s="235" t="s">
        <v>110</v>
      </c>
      <c r="C33" s="36">
        <v>6</v>
      </c>
      <c r="D33" s="36">
        <f t="shared" ref="D33:O33" si="12">C33+1</f>
        <v>7</v>
      </c>
      <c r="E33" s="36">
        <f t="shared" si="12"/>
        <v>8</v>
      </c>
      <c r="F33" s="36">
        <f t="shared" si="12"/>
        <v>9</v>
      </c>
      <c r="G33" s="36">
        <f t="shared" si="12"/>
        <v>10</v>
      </c>
      <c r="H33" s="36">
        <f t="shared" si="12"/>
        <v>11</v>
      </c>
      <c r="I33" s="36">
        <f t="shared" si="12"/>
        <v>12</v>
      </c>
      <c r="J33" s="36">
        <f t="shared" si="12"/>
        <v>13</v>
      </c>
      <c r="K33" s="36">
        <f t="shared" si="12"/>
        <v>14</v>
      </c>
      <c r="L33" s="36">
        <f t="shared" si="12"/>
        <v>15</v>
      </c>
      <c r="M33" s="36">
        <f t="shared" si="12"/>
        <v>16</v>
      </c>
      <c r="N33" s="36">
        <f t="shared" si="12"/>
        <v>17</v>
      </c>
      <c r="O33" s="26">
        <f t="shared" si="12"/>
        <v>18</v>
      </c>
    </row>
    <row r="34" spans="2:25">
      <c r="B34" s="241" t="s">
        <v>111</v>
      </c>
      <c r="C34" s="27">
        <f>(C33-$I$33)*15</f>
        <v>-90</v>
      </c>
      <c r="D34" s="27">
        <f t="shared" ref="D34:N34" si="13">(D33-$I$33)*15</f>
        <v>-75</v>
      </c>
      <c r="E34" s="27">
        <f t="shared" si="13"/>
        <v>-60</v>
      </c>
      <c r="F34" s="27">
        <f t="shared" si="13"/>
        <v>-45</v>
      </c>
      <c r="G34" s="27">
        <f t="shared" si="13"/>
        <v>-30</v>
      </c>
      <c r="H34" s="27">
        <f t="shared" si="13"/>
        <v>-15</v>
      </c>
      <c r="I34" s="27">
        <f t="shared" si="13"/>
        <v>0</v>
      </c>
      <c r="J34" s="27">
        <f t="shared" si="13"/>
        <v>15</v>
      </c>
      <c r="K34" s="27">
        <f t="shared" si="13"/>
        <v>30</v>
      </c>
      <c r="L34" s="27">
        <f t="shared" si="13"/>
        <v>45</v>
      </c>
      <c r="M34" s="27">
        <f t="shared" si="13"/>
        <v>60</v>
      </c>
      <c r="N34" s="27">
        <f t="shared" si="13"/>
        <v>75</v>
      </c>
      <c r="O34" s="63">
        <f>(O33-I33)*15</f>
        <v>90</v>
      </c>
    </row>
    <row r="35" spans="2:25" ht="15.75" thickBot="1">
      <c r="B35" s="237" t="s">
        <v>112</v>
      </c>
      <c r="C35" s="24">
        <f>RADIANS(C34)</f>
        <v>-1.5707963267948966</v>
      </c>
      <c r="D35" s="24">
        <f t="shared" ref="D35:J35" si="14">RADIANS(D34)</f>
        <v>-1.3089969389957472</v>
      </c>
      <c r="E35" s="24">
        <f t="shared" si="14"/>
        <v>-1.0471975511965976</v>
      </c>
      <c r="F35" s="24">
        <f t="shared" si="14"/>
        <v>-0.78539816339744828</v>
      </c>
      <c r="G35" s="24">
        <f t="shared" si="14"/>
        <v>-0.52359877559829882</v>
      </c>
      <c r="H35" s="24">
        <f t="shared" si="14"/>
        <v>-0.26179938779914941</v>
      </c>
      <c r="I35" s="24">
        <f t="shared" si="14"/>
        <v>0</v>
      </c>
      <c r="J35" s="24">
        <f t="shared" si="14"/>
        <v>0.26179938779914941</v>
      </c>
      <c r="K35" s="24">
        <f>RADIANS(K34)</f>
        <v>0.52359877559829882</v>
      </c>
      <c r="L35" s="24">
        <f>RADIANS(L34)</f>
        <v>0.78539816339744828</v>
      </c>
      <c r="M35" s="24">
        <f>RADIANS(M34)</f>
        <v>1.0471975511965976</v>
      </c>
      <c r="N35" s="24">
        <f>RADIANS(N34)</f>
        <v>1.3089969389957472</v>
      </c>
      <c r="O35" s="25">
        <f>RADIANS(O34)</f>
        <v>1.5707963267948966</v>
      </c>
    </row>
    <row r="36" spans="2:25">
      <c r="B36" s="235" t="s">
        <v>113</v>
      </c>
      <c r="C36">
        <f t="shared" ref="C36:H36" si="15">C34+$D$7</f>
        <v>-91.150241851806697</v>
      </c>
      <c r="D36">
        <f t="shared" si="15"/>
        <v>-76.150241851806697</v>
      </c>
      <c r="E36">
        <f t="shared" si="15"/>
        <v>-61.150241851806697</v>
      </c>
      <c r="F36">
        <f t="shared" si="15"/>
        <v>-46.150241851806697</v>
      </c>
      <c r="G36">
        <f t="shared" si="15"/>
        <v>-31.150241851806697</v>
      </c>
      <c r="H36">
        <f t="shared" si="15"/>
        <v>-16.150241851806697</v>
      </c>
      <c r="I36">
        <f>I34+$D$7</f>
        <v>-1.1502418518066975</v>
      </c>
      <c r="J36">
        <f t="shared" ref="J36:O36" si="16">J34+$D$7</f>
        <v>13.849758148193303</v>
      </c>
      <c r="K36">
        <f t="shared" si="16"/>
        <v>28.849758148193303</v>
      </c>
      <c r="L36">
        <f t="shared" si="16"/>
        <v>43.849758148193303</v>
      </c>
      <c r="M36">
        <f t="shared" si="16"/>
        <v>58.849758148193303</v>
      </c>
      <c r="N36">
        <f t="shared" si="16"/>
        <v>73.849758148193303</v>
      </c>
      <c r="O36" s="43">
        <f t="shared" si="16"/>
        <v>88.849758148193303</v>
      </c>
    </row>
    <row r="37" spans="2:25" ht="15.75" thickBot="1">
      <c r="B37" s="237" t="s">
        <v>114</v>
      </c>
      <c r="C37" s="48">
        <f>RADIANS(C36)</f>
        <v>-1.5908718343031603</v>
      </c>
      <c r="D37" s="4">
        <f t="shared" ref="D37:O37" si="17">RADIANS(D36)</f>
        <v>-1.3290724465040107</v>
      </c>
      <c r="E37" s="4">
        <f t="shared" si="17"/>
        <v>-1.0672730587048613</v>
      </c>
      <c r="F37" s="4">
        <f t="shared" si="17"/>
        <v>-0.80547367090571187</v>
      </c>
      <c r="G37" s="4">
        <f t="shared" si="17"/>
        <v>-0.54367428310656241</v>
      </c>
      <c r="H37" s="4">
        <f t="shared" si="17"/>
        <v>-0.281874895307413</v>
      </c>
      <c r="I37" s="4">
        <f t="shared" si="17"/>
        <v>-2.0075507508263559E-2</v>
      </c>
      <c r="J37" s="4">
        <f t="shared" si="17"/>
        <v>0.24172388029088587</v>
      </c>
      <c r="K37" s="4">
        <f t="shared" si="17"/>
        <v>0.50352326809003534</v>
      </c>
      <c r="L37" s="4">
        <f t="shared" si="17"/>
        <v>0.76532265588918469</v>
      </c>
      <c r="M37" s="4">
        <f t="shared" si="17"/>
        <v>1.0271220436883342</v>
      </c>
      <c r="N37" s="4">
        <f t="shared" si="17"/>
        <v>1.2889214314874835</v>
      </c>
      <c r="O37" s="21">
        <f t="shared" si="17"/>
        <v>1.5507208192866331</v>
      </c>
    </row>
    <row r="38" spans="2:25" ht="16.5" thickBot="1">
      <c r="B38" s="242" t="s">
        <v>126</v>
      </c>
      <c r="C38" s="115" t="s">
        <v>13</v>
      </c>
      <c r="D38" s="86">
        <v>0</v>
      </c>
      <c r="E38" s="94"/>
      <c r="F38" s="94"/>
      <c r="G38" s="94"/>
      <c r="H38" s="86">
        <f>SIN(RADIANS(J38))</f>
        <v>0.58358242102950053</v>
      </c>
      <c r="I38" s="86">
        <f>COS(RADIANS(J38))</f>
        <v>0.81205391315192044</v>
      </c>
      <c r="J38" s="91">
        <f>C4</f>
        <v>35.702907562255803</v>
      </c>
      <c r="K38" s="86"/>
      <c r="L38" s="94"/>
      <c r="M38" s="94"/>
      <c r="N38" s="140" t="s">
        <v>123</v>
      </c>
      <c r="O38" s="143"/>
    </row>
    <row r="39" spans="2:25">
      <c r="B39" s="243" t="s">
        <v>124</v>
      </c>
      <c r="C39" s="99" t="s">
        <v>17</v>
      </c>
      <c r="G39" s="262">
        <f>DEGREES(ATAN(TAN($E$4)*$H$38))</f>
        <v>22.752758710332845</v>
      </c>
      <c r="H39" s="262"/>
      <c r="M39" s="142" t="s">
        <v>18</v>
      </c>
      <c r="N39" s="262">
        <f>DEGREES(ASIN($F$4*I38))</f>
        <v>28.287778562940414</v>
      </c>
      <c r="O39" s="263"/>
    </row>
    <row r="40" spans="2:25">
      <c r="B40" s="243" t="s">
        <v>115</v>
      </c>
      <c r="C40" s="161">
        <f>DEGREES(ATAN($F$4/($I$38*_xlfn.COT(C35)+$G$4*$H$38)))</f>
        <v>50.921539950064236</v>
      </c>
      <c r="D40" s="161">
        <f t="shared" ref="D40:O40" si="18">DEGREES(ATAN($F$4/($I$38*_xlfn.COT(D35)+$G$4*$H$38)))</f>
        <v>66.288770755866267</v>
      </c>
      <c r="E40" s="161">
        <f t="shared" si="18"/>
        <v>89.503141831791041</v>
      </c>
      <c r="F40" s="161">
        <f t="shared" si="18"/>
        <v>-59.910095992631405</v>
      </c>
      <c r="G40" s="161">
        <f t="shared" si="18"/>
        <v>-32.036121694003505</v>
      </c>
      <c r="H40" s="161">
        <f t="shared" si="18"/>
        <v>-12.857704731393287</v>
      </c>
      <c r="I40" s="161" t="e">
        <f t="shared" si="18"/>
        <v>#DIV/0!</v>
      </c>
      <c r="J40" s="161">
        <f t="shared" si="18"/>
        <v>9.4542827153637052</v>
      </c>
      <c r="K40" s="161">
        <f t="shared" si="18"/>
        <v>17.241573433393743</v>
      </c>
      <c r="L40" s="161">
        <f t="shared" si="18"/>
        <v>24.409151438547045</v>
      </c>
      <c r="M40" s="161">
        <f t="shared" si="18"/>
        <v>31.75866764388476</v>
      </c>
      <c r="N40" s="161">
        <f t="shared" si="18"/>
        <v>40.162682616144117</v>
      </c>
      <c r="O40" s="141">
        <f t="shared" si="18"/>
        <v>50.921539950064229</v>
      </c>
    </row>
    <row r="41" spans="2:25" ht="15.75" thickBot="1">
      <c r="B41" s="244" t="s">
        <v>116</v>
      </c>
      <c r="C41" s="162">
        <f>DEGREES(ATAN($F$4/($I$38*_xlfn.COT(C37)+$G$4*$H$38)))</f>
        <v>49.969985955394634</v>
      </c>
      <c r="D41" s="162">
        <f t="shared" ref="D41:N41" si="19">DEGREES(ATAN($F$4/($I$38*_xlfn.COT(D37)+$G$4*$H$38)))</f>
        <v>64.874007591056852</v>
      </c>
      <c r="E41" s="162">
        <f t="shared" si="19"/>
        <v>87.395018077922501</v>
      </c>
      <c r="F41" s="162">
        <f t="shared" si="19"/>
        <v>-62.315504455858637</v>
      </c>
      <c r="G41" s="162">
        <f t="shared" si="19"/>
        <v>-33.865534577737442</v>
      </c>
      <c r="H41" s="162">
        <f t="shared" si="19"/>
        <v>-14.059582513716881</v>
      </c>
      <c r="I41" s="162">
        <f t="shared" si="19"/>
        <v>-0.83647467693901145</v>
      </c>
      <c r="J41" s="162">
        <f t="shared" si="19"/>
        <v>8.8047641754045767</v>
      </c>
      <c r="K41" s="162">
        <f t="shared" si="19"/>
        <v>16.677284035028524</v>
      </c>
      <c r="L41" s="162">
        <f t="shared" si="19"/>
        <v>23.862940440664804</v>
      </c>
      <c r="M41" s="162">
        <f t="shared" si="19"/>
        <v>31.170379214514881</v>
      </c>
      <c r="N41" s="162">
        <f t="shared" si="19"/>
        <v>39.455662485877838</v>
      </c>
      <c r="O41" s="163">
        <f>DEGREES(ATAN($F$4/($I$38*_xlfn.COT(O37)+$G$4*$H$38)))</f>
        <v>49.969985955394648</v>
      </c>
    </row>
    <row r="42" spans="2:25" ht="15.75" thickBot="1">
      <c r="B42" s="244" t="s">
        <v>125</v>
      </c>
      <c r="C42" s="74">
        <f>IF(ABS($J$38) = 90,_xlfn.COT(C37),0)</f>
        <v>0</v>
      </c>
      <c r="D42" s="24">
        <f t="shared" ref="D42:O42" si="20">IF(ABS($J$38) = 90,_xlfn.COT(D37),0)</f>
        <v>0</v>
      </c>
      <c r="E42" s="24">
        <f t="shared" si="20"/>
        <v>0</v>
      </c>
      <c r="F42" s="24">
        <f t="shared" si="20"/>
        <v>0</v>
      </c>
      <c r="G42" s="24">
        <f t="shared" si="20"/>
        <v>0</v>
      </c>
      <c r="H42" s="24">
        <f t="shared" si="20"/>
        <v>0</v>
      </c>
      <c r="I42" s="24">
        <f t="shared" si="20"/>
        <v>0</v>
      </c>
      <c r="J42" s="24">
        <f t="shared" si="20"/>
        <v>0</v>
      </c>
      <c r="K42" s="24">
        <f t="shared" si="20"/>
        <v>0</v>
      </c>
      <c r="L42" s="24">
        <f t="shared" si="20"/>
        <v>0</v>
      </c>
      <c r="M42" s="24">
        <f t="shared" si="20"/>
        <v>0</v>
      </c>
      <c r="N42" s="24">
        <f t="shared" si="20"/>
        <v>0</v>
      </c>
      <c r="O42" s="25">
        <f t="shared" si="20"/>
        <v>0</v>
      </c>
    </row>
    <row r="43" spans="2:25"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Y43" s="172"/>
    </row>
    <row r="44" spans="2:25">
      <c r="C44"/>
    </row>
    <row r="45" spans="2:25" ht="15.75" thickBot="1">
      <c r="F45" s="140" t="s">
        <v>128</v>
      </c>
      <c r="H45" t="s">
        <v>20</v>
      </c>
      <c r="Y45" s="172"/>
    </row>
    <row r="46" spans="2:25">
      <c r="B46" s="235" t="s">
        <v>110</v>
      </c>
      <c r="C46" s="36">
        <v>6</v>
      </c>
      <c r="D46" s="36">
        <f t="shared" ref="D46" si="21">C46+1</f>
        <v>7</v>
      </c>
      <c r="E46" s="36">
        <f t="shared" ref="E46" si="22">D46+1</f>
        <v>8</v>
      </c>
      <c r="F46" s="36">
        <f t="shared" ref="F46" si="23">E46+1</f>
        <v>9</v>
      </c>
      <c r="G46" s="36">
        <f t="shared" ref="G46" si="24">F46+1</f>
        <v>10</v>
      </c>
      <c r="H46" s="36">
        <f t="shared" ref="H46" si="25">G46+1</f>
        <v>11</v>
      </c>
      <c r="I46" s="36">
        <f t="shared" ref="I46" si="26">H46+1</f>
        <v>12</v>
      </c>
      <c r="J46" s="36">
        <f t="shared" ref="J46:O46" si="27">I46+1</f>
        <v>13</v>
      </c>
      <c r="K46" s="36">
        <f t="shared" si="27"/>
        <v>14</v>
      </c>
      <c r="L46" s="36">
        <f t="shared" si="27"/>
        <v>15</v>
      </c>
      <c r="M46" s="36">
        <f t="shared" si="27"/>
        <v>16</v>
      </c>
      <c r="N46" s="36">
        <f t="shared" si="27"/>
        <v>17</v>
      </c>
      <c r="O46" s="26">
        <f t="shared" si="27"/>
        <v>18</v>
      </c>
      <c r="Y46" s="172"/>
    </row>
    <row r="47" spans="2:25">
      <c r="B47" s="241" t="s">
        <v>111</v>
      </c>
      <c r="C47" s="27">
        <f t="shared" ref="C47:N47" si="28">(C46-$I$46)*15</f>
        <v>-90</v>
      </c>
      <c r="D47" s="27">
        <f t="shared" si="28"/>
        <v>-75</v>
      </c>
      <c r="E47" s="27">
        <f t="shared" si="28"/>
        <v>-60</v>
      </c>
      <c r="F47" s="27">
        <f t="shared" si="28"/>
        <v>-45</v>
      </c>
      <c r="G47" s="27">
        <f t="shared" si="28"/>
        <v>-30</v>
      </c>
      <c r="H47" s="27">
        <f t="shared" si="28"/>
        <v>-15</v>
      </c>
      <c r="I47" s="27">
        <f t="shared" si="28"/>
        <v>0</v>
      </c>
      <c r="J47" s="27">
        <f t="shared" si="28"/>
        <v>15</v>
      </c>
      <c r="K47" s="27">
        <f t="shared" si="28"/>
        <v>30</v>
      </c>
      <c r="L47" s="27">
        <f t="shared" si="28"/>
        <v>45</v>
      </c>
      <c r="M47" s="27">
        <f t="shared" si="28"/>
        <v>60</v>
      </c>
      <c r="N47" s="27">
        <f t="shared" si="28"/>
        <v>75</v>
      </c>
      <c r="O47" s="63">
        <f>(O46-I46)*15</f>
        <v>90</v>
      </c>
      <c r="Y47" s="172"/>
    </row>
    <row r="48" spans="2:25" ht="15.75" thickBot="1">
      <c r="B48" s="237" t="s">
        <v>112</v>
      </c>
      <c r="C48" s="24">
        <f>RADIANS(C47)</f>
        <v>-1.5707963267948966</v>
      </c>
      <c r="D48" s="24">
        <f t="shared" ref="D48:J48" si="29">RADIANS(D47)</f>
        <v>-1.3089969389957472</v>
      </c>
      <c r="E48" s="24">
        <f t="shared" si="29"/>
        <v>-1.0471975511965976</v>
      </c>
      <c r="F48" s="24">
        <f t="shared" si="29"/>
        <v>-0.78539816339744828</v>
      </c>
      <c r="G48" s="24">
        <f t="shared" si="29"/>
        <v>-0.52359877559829882</v>
      </c>
      <c r="H48" s="24">
        <f t="shared" si="29"/>
        <v>-0.26179938779914941</v>
      </c>
      <c r="I48" s="24">
        <f t="shared" si="29"/>
        <v>0</v>
      </c>
      <c r="J48" s="24">
        <f t="shared" si="29"/>
        <v>0.26179938779914941</v>
      </c>
      <c r="K48" s="24">
        <f>RADIANS(K47)</f>
        <v>0.52359877559829882</v>
      </c>
      <c r="L48" s="24">
        <f>RADIANS(L47)</f>
        <v>0.78539816339744828</v>
      </c>
      <c r="M48" s="24">
        <f>RADIANS(M47)</f>
        <v>1.0471975511965976</v>
      </c>
      <c r="N48" s="24">
        <f>RADIANS(N47)</f>
        <v>1.3089969389957472</v>
      </c>
      <c r="O48" s="25">
        <f>RADIANS(O47)</f>
        <v>1.5707963267948966</v>
      </c>
      <c r="Y48" s="172"/>
    </row>
    <row r="49" spans="2:15">
      <c r="B49" s="235" t="s">
        <v>113</v>
      </c>
      <c r="C49">
        <f>C47+$D$7</f>
        <v>-91.150241851806697</v>
      </c>
      <c r="D49">
        <f t="shared" ref="D49:H49" si="30">D47+$D$7</f>
        <v>-76.150241851806697</v>
      </c>
      <c r="E49">
        <f t="shared" si="30"/>
        <v>-61.150241851806697</v>
      </c>
      <c r="F49">
        <f t="shared" si="30"/>
        <v>-46.150241851806697</v>
      </c>
      <c r="G49">
        <f t="shared" si="30"/>
        <v>-31.150241851806697</v>
      </c>
      <c r="H49">
        <f t="shared" si="30"/>
        <v>-16.150241851806697</v>
      </c>
      <c r="I49">
        <f>I47+$D$7</f>
        <v>-1.1502418518066975</v>
      </c>
      <c r="J49">
        <f t="shared" ref="J49:O49" si="31">J47+$D$7</f>
        <v>13.849758148193303</v>
      </c>
      <c r="K49">
        <f t="shared" si="31"/>
        <v>28.849758148193303</v>
      </c>
      <c r="L49">
        <f t="shared" si="31"/>
        <v>43.849758148193303</v>
      </c>
      <c r="M49">
        <f t="shared" si="31"/>
        <v>58.849758148193303</v>
      </c>
      <c r="N49">
        <f t="shared" si="31"/>
        <v>73.849758148193303</v>
      </c>
      <c r="O49" s="43">
        <f t="shared" si="31"/>
        <v>88.849758148193303</v>
      </c>
    </row>
    <row r="50" spans="2:15" ht="15.75" thickBot="1">
      <c r="B50" s="237" t="s">
        <v>114</v>
      </c>
      <c r="C50" s="48">
        <f>RADIANS(C49)</f>
        <v>-1.5908718343031603</v>
      </c>
      <c r="D50" s="4">
        <f t="shared" ref="D50:O50" si="32">RADIANS(D49)</f>
        <v>-1.3290724465040107</v>
      </c>
      <c r="E50" s="4">
        <f t="shared" si="32"/>
        <v>-1.0672730587048613</v>
      </c>
      <c r="F50" s="4">
        <f t="shared" si="32"/>
        <v>-0.80547367090571187</v>
      </c>
      <c r="G50" s="4">
        <f t="shared" si="32"/>
        <v>-0.54367428310656241</v>
      </c>
      <c r="H50" s="4">
        <f t="shared" si="32"/>
        <v>-0.281874895307413</v>
      </c>
      <c r="I50" s="4">
        <f t="shared" si="32"/>
        <v>-2.0075507508263559E-2</v>
      </c>
      <c r="J50" s="4">
        <f t="shared" si="32"/>
        <v>0.24172388029088587</v>
      </c>
      <c r="K50" s="4">
        <f t="shared" si="32"/>
        <v>0.50352326809003534</v>
      </c>
      <c r="L50" s="4">
        <f t="shared" si="32"/>
        <v>0.76532265588918469</v>
      </c>
      <c r="M50" s="4">
        <f t="shared" si="32"/>
        <v>1.0271220436883342</v>
      </c>
      <c r="N50" s="4">
        <f t="shared" si="32"/>
        <v>1.2889214314874835</v>
      </c>
      <c r="O50" s="21">
        <f t="shared" si="32"/>
        <v>1.5507208192866331</v>
      </c>
    </row>
    <row r="51" spans="2:15" ht="16.5" thickBot="1">
      <c r="B51" s="242" t="s">
        <v>126</v>
      </c>
      <c r="C51" s="115" t="s">
        <v>13</v>
      </c>
      <c r="D51" s="86">
        <v>-90</v>
      </c>
      <c r="E51" s="94"/>
      <c r="F51" s="94"/>
      <c r="G51" s="94"/>
      <c r="H51" s="86">
        <f>SIN(RADIANS(J51))</f>
        <v>-0.74733787939822405</v>
      </c>
      <c r="I51" s="86">
        <f>COS(RADIANS(J51))</f>
        <v>-0.6644441993249437</v>
      </c>
      <c r="J51" s="73">
        <v>-131.6397</v>
      </c>
      <c r="K51" s="245" t="s">
        <v>129</v>
      </c>
      <c r="O51" s="43"/>
    </row>
    <row r="52" spans="2:15">
      <c r="B52" s="243" t="s">
        <v>124</v>
      </c>
      <c r="C52" s="99" t="s">
        <v>42</v>
      </c>
      <c r="D52" s="86"/>
      <c r="E52" s="86"/>
      <c r="F52" s="86"/>
      <c r="G52" s="262">
        <f>DEGREES(ATAN(H51*_xlfn.COT($E$4)))</f>
        <v>-46.121082623825714</v>
      </c>
      <c r="H52" s="262"/>
      <c r="I52" s="86"/>
      <c r="K52" s="86"/>
      <c r="M52" s="142" t="s">
        <v>41</v>
      </c>
      <c r="N52" s="262">
        <f>DEGREES(ASIN($G$4*I51))</f>
        <v>-32.653998220487729</v>
      </c>
      <c r="O52" s="263"/>
    </row>
    <row r="53" spans="2:15" ht="20.25" customHeight="1">
      <c r="B53" s="243" t="s">
        <v>115</v>
      </c>
      <c r="C53" s="150">
        <f>DEGREES(ATAN($G$4/($I$51*_xlfn.COT(C48)+$F$4*$H$51)))</f>
        <v>-61.760899476566621</v>
      </c>
      <c r="D53" s="151">
        <f t="shared" ref="D53:N53" si="33">DEGREES(ATAN($G$4/($I$51*_xlfn.COT(D48)+$F$4*$H$51)))</f>
        <v>-72.368126621283238</v>
      </c>
      <c r="E53" s="151">
        <f t="shared" si="33"/>
        <v>-86.299786351343613</v>
      </c>
      <c r="F53" s="151">
        <f t="shared" si="33"/>
        <v>74.296541595381029</v>
      </c>
      <c r="G53" s="151">
        <f t="shared" si="33"/>
        <v>48.647832395438833</v>
      </c>
      <c r="H53" s="151">
        <f t="shared" si="33"/>
        <v>21.671051695591988</v>
      </c>
      <c r="I53" s="151" t="e">
        <f t="shared" si="33"/>
        <v>#DIV/0!</v>
      </c>
      <c r="J53" s="151">
        <f t="shared" si="33"/>
        <v>-15.562216293980894</v>
      </c>
      <c r="K53" s="151">
        <f t="shared" si="33"/>
        <v>-27.098654867051543</v>
      </c>
      <c r="L53" s="151">
        <f t="shared" si="33"/>
        <v>-36.421519964549788</v>
      </c>
      <c r="M53" s="151">
        <f t="shared" si="33"/>
        <v>-44.729767559788485</v>
      </c>
      <c r="N53" s="151">
        <f t="shared" si="33"/>
        <v>-52.899147903580449</v>
      </c>
      <c r="O53" s="152">
        <f>DEGREES(ATAN($G$4/($I$51*_xlfn.COT(O35)+$F$4*$H$51)))-180</f>
        <v>-241.76089947656664</v>
      </c>
    </row>
    <row r="54" spans="2:15" ht="15.75" thickBot="1">
      <c r="B54" s="244" t="s">
        <v>116</v>
      </c>
      <c r="C54" s="75">
        <f>DEGREES(ATAN($G$4/($I$51*_xlfn.COT(C50)+$F$4*$H$51)))</f>
        <v>-61.035350262422256</v>
      </c>
      <c r="D54" s="76">
        <f t="shared" ref="D54:N54" si="34">DEGREES(ATAN($G$4/($I$51*_xlfn.COT(D50)+$F$4*$H$51)))</f>
        <v>-71.461385872688439</v>
      </c>
      <c r="E54" s="76">
        <f t="shared" si="34"/>
        <v>-85.066200011119491</v>
      </c>
      <c r="F54" s="76">
        <f t="shared" si="34"/>
        <v>76.0208166977649</v>
      </c>
      <c r="G54" s="76">
        <f t="shared" si="34"/>
        <v>50.763880077020232</v>
      </c>
      <c r="H54" s="76">
        <f t="shared" si="34"/>
        <v>23.604339028700689</v>
      </c>
      <c r="I54" s="76">
        <f t="shared" si="34"/>
        <v>1.4244461412843779</v>
      </c>
      <c r="J54" s="76">
        <f t="shared" si="34"/>
        <v>-14.539114743298416</v>
      </c>
      <c r="K54" s="76">
        <f t="shared" si="34"/>
        <v>-26.311027490938852</v>
      </c>
      <c r="L54" s="76">
        <f t="shared" si="34"/>
        <v>-35.755015079326199</v>
      </c>
      <c r="M54" s="76">
        <f t="shared" si="34"/>
        <v>-44.107789626429707</v>
      </c>
      <c r="N54" s="76">
        <f t="shared" si="34"/>
        <v>-52.259386521702872</v>
      </c>
      <c r="O54" s="77">
        <f>DEGREES(ATAN($G$4/($I$38*_xlfn.COT(O50)+$F$4*$H$38)))</f>
        <v>66.275969907246719</v>
      </c>
    </row>
    <row r="55" spans="2:15" ht="15.75" thickBot="1">
      <c r="B55" s="244" t="s">
        <v>125</v>
      </c>
      <c r="C55" s="153">
        <f>IF(ABS($J$51) = 90,_xlfn.COT(C50),0)</f>
        <v>0</v>
      </c>
      <c r="D55" s="154">
        <f t="shared" ref="D55:O55" si="35">IF(ABS($J$51) = 90,_xlfn.COT(D50),0)</f>
        <v>0</v>
      </c>
      <c r="E55" s="154">
        <f t="shared" si="35"/>
        <v>0</v>
      </c>
      <c r="F55" s="154">
        <f t="shared" si="35"/>
        <v>0</v>
      </c>
      <c r="G55" s="154">
        <f t="shared" si="35"/>
        <v>0</v>
      </c>
      <c r="H55" s="154">
        <f t="shared" si="35"/>
        <v>0</v>
      </c>
      <c r="I55" s="154">
        <f t="shared" si="35"/>
        <v>0</v>
      </c>
      <c r="J55" s="154">
        <f t="shared" si="35"/>
        <v>0</v>
      </c>
      <c r="K55" s="154">
        <f t="shared" si="35"/>
        <v>0</v>
      </c>
      <c r="L55" s="154">
        <f t="shared" si="35"/>
        <v>0</v>
      </c>
      <c r="M55" s="154">
        <f t="shared" si="35"/>
        <v>0</v>
      </c>
      <c r="N55" s="154">
        <f t="shared" si="35"/>
        <v>0</v>
      </c>
      <c r="O55" s="155">
        <f t="shared" si="35"/>
        <v>0</v>
      </c>
    </row>
    <row r="57" spans="2:15">
      <c r="C57"/>
    </row>
    <row r="58" spans="2:15">
      <c r="B58" s="11" t="s">
        <v>35</v>
      </c>
      <c r="G58" s="2"/>
    </row>
    <row r="59" spans="2:15">
      <c r="B59" s="64" t="s">
        <v>33</v>
      </c>
      <c r="F59" s="2"/>
      <c r="I59" s="11" t="s">
        <v>34</v>
      </c>
    </row>
    <row r="60" spans="2:15" ht="15.75" thickBot="1">
      <c r="C60" s="6" t="s">
        <v>131</v>
      </c>
    </row>
    <row r="61" spans="2:15">
      <c r="B61" s="235" t="s">
        <v>110</v>
      </c>
      <c r="C61" s="36">
        <v>6</v>
      </c>
      <c r="D61" s="36">
        <f>C61+1</f>
        <v>7</v>
      </c>
      <c r="E61" s="36">
        <v>8</v>
      </c>
      <c r="F61" s="36">
        <f t="shared" ref="F61:O61" si="36">E61+1</f>
        <v>9</v>
      </c>
      <c r="G61" s="36">
        <f t="shared" si="36"/>
        <v>10</v>
      </c>
      <c r="H61" s="36">
        <f t="shared" si="36"/>
        <v>11</v>
      </c>
      <c r="I61" s="36">
        <f t="shared" si="36"/>
        <v>12</v>
      </c>
      <c r="J61" s="36">
        <f t="shared" si="36"/>
        <v>13</v>
      </c>
      <c r="K61" s="36">
        <f t="shared" si="36"/>
        <v>14</v>
      </c>
      <c r="L61" s="36">
        <f t="shared" si="36"/>
        <v>15</v>
      </c>
      <c r="M61" s="36">
        <f t="shared" si="36"/>
        <v>16</v>
      </c>
      <c r="N61" s="36">
        <f t="shared" si="36"/>
        <v>17</v>
      </c>
      <c r="O61" s="26">
        <f t="shared" si="36"/>
        <v>18</v>
      </c>
    </row>
    <row r="62" spans="2:15">
      <c r="B62" s="241" t="s">
        <v>111</v>
      </c>
      <c r="C62" s="22">
        <f t="shared" ref="C62:N62" si="37">(C61-$I$61)*15</f>
        <v>-90</v>
      </c>
      <c r="D62" s="22">
        <f t="shared" si="37"/>
        <v>-75</v>
      </c>
      <c r="E62" s="22">
        <f t="shared" si="37"/>
        <v>-60</v>
      </c>
      <c r="F62" s="22">
        <f t="shared" si="37"/>
        <v>-45</v>
      </c>
      <c r="G62" s="22">
        <f t="shared" si="37"/>
        <v>-30</v>
      </c>
      <c r="H62" s="22">
        <f t="shared" si="37"/>
        <v>-15</v>
      </c>
      <c r="I62" s="22">
        <f t="shared" si="37"/>
        <v>0</v>
      </c>
      <c r="J62" s="22">
        <f t="shared" si="37"/>
        <v>15</v>
      </c>
      <c r="K62" s="22">
        <f t="shared" si="37"/>
        <v>30</v>
      </c>
      <c r="L62" s="22">
        <f t="shared" si="37"/>
        <v>45</v>
      </c>
      <c r="M62" s="22">
        <f t="shared" si="37"/>
        <v>60</v>
      </c>
      <c r="N62" s="22">
        <f t="shared" si="37"/>
        <v>75</v>
      </c>
      <c r="O62" s="63">
        <f>(O61-I61)*15</f>
        <v>90</v>
      </c>
    </row>
    <row r="63" spans="2:15" ht="15.75" thickBot="1">
      <c r="B63" s="237" t="s">
        <v>112</v>
      </c>
      <c r="C63" s="2">
        <f>RADIANS(C62)</f>
        <v>-1.5707963267948966</v>
      </c>
      <c r="D63" s="2">
        <f t="shared" ref="D63:J63" si="38">RADIANS(D62)</f>
        <v>-1.3089969389957472</v>
      </c>
      <c r="E63" s="2">
        <f t="shared" si="38"/>
        <v>-1.0471975511965976</v>
      </c>
      <c r="F63" s="2">
        <f t="shared" si="38"/>
        <v>-0.78539816339744828</v>
      </c>
      <c r="G63" s="2">
        <f t="shared" si="38"/>
        <v>-0.52359877559829882</v>
      </c>
      <c r="H63" s="2">
        <f t="shared" si="38"/>
        <v>-0.26179938779914941</v>
      </c>
      <c r="I63" s="2">
        <f t="shared" si="38"/>
        <v>0</v>
      </c>
      <c r="J63" s="2">
        <f t="shared" si="38"/>
        <v>0.26179938779914941</v>
      </c>
      <c r="K63" s="2">
        <f>RADIANS(K62)</f>
        <v>0.52359877559829882</v>
      </c>
      <c r="L63" s="2">
        <f>RADIANS(L62)</f>
        <v>0.78539816339744828</v>
      </c>
      <c r="M63" s="2">
        <f>RADIANS(M62)</f>
        <v>1.0471975511965976</v>
      </c>
      <c r="N63" s="2">
        <f>RADIANS(N62)</f>
        <v>1.3089969389957472</v>
      </c>
      <c r="O63" s="17">
        <f>RADIANS(O62)</f>
        <v>1.5707963267948966</v>
      </c>
    </row>
    <row r="64" spans="2:15">
      <c r="B64" s="235" t="s">
        <v>113</v>
      </c>
      <c r="C64" s="66">
        <f t="shared" ref="C64:H64" si="39">C62+$D$7</f>
        <v>-91.150241851806697</v>
      </c>
      <c r="D64" s="66">
        <f t="shared" si="39"/>
        <v>-76.150241851806697</v>
      </c>
      <c r="E64" s="66">
        <f t="shared" si="39"/>
        <v>-61.150241851806697</v>
      </c>
      <c r="F64" s="66">
        <f t="shared" si="39"/>
        <v>-46.150241851806697</v>
      </c>
      <c r="G64" s="66">
        <f t="shared" si="39"/>
        <v>-31.150241851806697</v>
      </c>
      <c r="H64" s="66">
        <f t="shared" si="39"/>
        <v>-16.150241851806697</v>
      </c>
      <c r="I64" s="66">
        <f>I62+$D$7</f>
        <v>-1.1502418518066975</v>
      </c>
      <c r="J64" s="66">
        <f t="shared" ref="J64:O64" si="40">J62+$D$7</f>
        <v>13.849758148193303</v>
      </c>
      <c r="K64" s="66">
        <f t="shared" si="40"/>
        <v>28.849758148193303</v>
      </c>
      <c r="L64" s="66">
        <f t="shared" si="40"/>
        <v>43.849758148193303</v>
      </c>
      <c r="M64" s="66">
        <f t="shared" si="40"/>
        <v>58.849758148193303</v>
      </c>
      <c r="N64" s="66">
        <f t="shared" si="40"/>
        <v>73.849758148193303</v>
      </c>
      <c r="O64" s="67">
        <f t="shared" si="40"/>
        <v>88.849758148193303</v>
      </c>
    </row>
    <row r="65" spans="2:17" ht="15.75" thickBot="1">
      <c r="B65" s="237" t="s">
        <v>114</v>
      </c>
      <c r="C65" s="4">
        <f>RADIANS(C64)</f>
        <v>-1.5908718343031603</v>
      </c>
      <c r="D65">
        <f t="shared" ref="D65:O65" si="41">RADIANS(D64)</f>
        <v>-1.3290724465040107</v>
      </c>
      <c r="E65">
        <f t="shared" si="41"/>
        <v>-1.0672730587048613</v>
      </c>
      <c r="F65" s="68">
        <f t="shared" si="41"/>
        <v>-0.80547367090571187</v>
      </c>
      <c r="G65">
        <f t="shared" si="41"/>
        <v>-0.54367428310656241</v>
      </c>
      <c r="H65">
        <f t="shared" si="41"/>
        <v>-0.281874895307413</v>
      </c>
      <c r="I65">
        <f t="shared" si="41"/>
        <v>-2.0075507508263559E-2</v>
      </c>
      <c r="J65">
        <f t="shared" si="41"/>
        <v>0.24172388029088587</v>
      </c>
      <c r="K65">
        <f t="shared" si="41"/>
        <v>0.50352326809003534</v>
      </c>
      <c r="L65">
        <f t="shared" si="41"/>
        <v>0.76532265588918469</v>
      </c>
      <c r="M65">
        <f t="shared" si="41"/>
        <v>1.0271220436883342</v>
      </c>
      <c r="N65">
        <f t="shared" si="41"/>
        <v>1.2889214314874835</v>
      </c>
      <c r="O65" s="21">
        <f t="shared" si="41"/>
        <v>1.5507208192866331</v>
      </c>
    </row>
    <row r="66" spans="2:17" ht="15.75" thickBot="1">
      <c r="B66" s="242" t="s">
        <v>126</v>
      </c>
      <c r="C66" s="62" t="s">
        <v>7</v>
      </c>
      <c r="D66" s="72">
        <v>-45</v>
      </c>
      <c r="E66" s="98">
        <f>SIN(RADIANS(D66))</f>
        <v>-0.70710678118654746</v>
      </c>
      <c r="F66" s="86">
        <f>COS(RADIANS(D66))</f>
        <v>0.70710678118654757</v>
      </c>
      <c r="G66" s="62"/>
      <c r="H66" s="36" t="s">
        <v>130</v>
      </c>
      <c r="I66" s="62" t="s">
        <v>8</v>
      </c>
      <c r="J66" s="72">
        <f>(C4-90)</f>
        <v>-54.297092437744197</v>
      </c>
      <c r="K66" s="62">
        <f>SIN(RADIANS(J66))</f>
        <v>-0.81205391315192044</v>
      </c>
      <c r="L66" s="3">
        <f>COS(RADIANS(J66))</f>
        <v>0.58358242102950064</v>
      </c>
      <c r="M66" s="3"/>
      <c r="N66" s="3"/>
      <c r="O66" s="20"/>
    </row>
    <row r="67" spans="2:17" ht="15.75" thickBot="1">
      <c r="B67" s="243" t="s">
        <v>124</v>
      </c>
      <c r="C67" s="60" t="s">
        <v>10</v>
      </c>
      <c r="D67" s="261">
        <f>DEGREES(ATAN($G$4*$E$66/ABS($L$66*$F$4-$K$66*$F$66*$G$4)))</f>
        <v>-35.437983863652285</v>
      </c>
      <c r="E67" s="261"/>
      <c r="F67" s="2"/>
      <c r="H67" s="8" t="s">
        <v>130</v>
      </c>
      <c r="I67" s="60" t="s">
        <v>11</v>
      </c>
      <c r="J67" s="261">
        <f>DEGREES(ASIN($F$4* $K$66 + $L$66* $G$4 *$F$66))</f>
        <v>-7.9785412500034223</v>
      </c>
      <c r="K67" s="261"/>
      <c r="O67" s="43"/>
    </row>
    <row r="68" spans="2:17">
      <c r="B68" s="243" t="s">
        <v>115</v>
      </c>
      <c r="C68" s="156">
        <f>DEGREES(ATAN(($K$66 *$F$66* $F$4 + $L$66 *$G$4 - _xlfn.COT(C63)* $K$66*$E$66)/(_xlfn.COT(C63)*$F$66 + $F$4*$E$66)))</f>
        <v>-18.591073277645759</v>
      </c>
      <c r="D68" s="158">
        <f t="shared" ref="D68:O68" si="42">DEGREES(ATAN(($K$66 *$F$66* $F$4 + $L$66 *$G$4 - _xlfn.COT(D63)* $K$66*$E$66)/(_xlfn.COT(D63)*$F$66 + $F$4*$E$66)))</f>
        <v>-25.921972275524311</v>
      </c>
      <c r="E68" s="158">
        <f t="shared" si="42"/>
        <v>-29.809776580144923</v>
      </c>
      <c r="F68" s="158">
        <f t="shared" si="42"/>
        <v>-32.487043047880732</v>
      </c>
      <c r="G68" s="158">
        <f t="shared" si="42"/>
        <v>-34.68986614000481</v>
      </c>
      <c r="H68" s="158">
        <f t="shared" si="42"/>
        <v>-36.786516477840905</v>
      </c>
      <c r="I68" s="158" t="e">
        <f t="shared" si="42"/>
        <v>#DIV/0!</v>
      </c>
      <c r="J68" s="158">
        <f t="shared" si="42"/>
        <v>-41.994339539676972</v>
      </c>
      <c r="K68" s="158">
        <f t="shared" si="42"/>
        <v>-46.499751970258671</v>
      </c>
      <c r="L68" s="158">
        <f t="shared" si="42"/>
        <v>-55.930756984859684</v>
      </c>
      <c r="M68" s="158">
        <f t="shared" si="42"/>
        <v>88.690067164039263</v>
      </c>
      <c r="N68" s="158">
        <f t="shared" si="42"/>
        <v>3.8594351934170907</v>
      </c>
      <c r="O68" s="157">
        <f t="shared" si="42"/>
        <v>-18.591073277645759</v>
      </c>
    </row>
    <row r="69" spans="2:17" ht="15.75" thickBot="1">
      <c r="B69" s="244" t="s">
        <v>116</v>
      </c>
      <c r="C69" s="81">
        <f>DEGREES(ATAN(($K$66 *$F$66* $F$4 + $L$66 *$G$4 - _xlfn.COT(C65)* $K$66*$E$66)/(_xlfn.COT(C65)*$F$66 + $F$4*$E$66)))</f>
        <v>-17.714232719905073</v>
      </c>
      <c r="D69" s="76">
        <f t="shared" ref="D69:O69" si="43">DEGREES(ATAN(($K$66 *$F$66* $F$4 + $L$66 *$G$4 - _xlfn.COT(D65)* $K$66*$E$66)/(_xlfn.COT(D65)*$F$66 + $F$4*$E$66)))</f>
        <v>-25.531097125254206</v>
      </c>
      <c r="E69" s="76">
        <f t="shared" si="43"/>
        <v>-29.568580006579005</v>
      </c>
      <c r="F69" s="76">
        <f t="shared" si="43"/>
        <v>-32.30449222511259</v>
      </c>
      <c r="G69" s="76">
        <f t="shared" si="43"/>
        <v>-34.528504425608773</v>
      </c>
      <c r="H69" s="76">
        <f t="shared" si="43"/>
        <v>-36.622883591110075</v>
      </c>
      <c r="I69" s="76">
        <f t="shared" si="43"/>
        <v>-38.887726889494687</v>
      </c>
      <c r="J69" s="76">
        <f t="shared" si="43"/>
        <v>-41.732900344304745</v>
      </c>
      <c r="K69" s="76">
        <f t="shared" si="43"/>
        <v>-46.052794751590213</v>
      </c>
      <c r="L69" s="76">
        <f t="shared" si="43"/>
        <v>-54.826371241205514</v>
      </c>
      <c r="M69" s="76">
        <f t="shared" si="43"/>
        <v>-85.950318846504075</v>
      </c>
      <c r="N69" s="76">
        <f t="shared" si="43"/>
        <v>7.5301691782676201</v>
      </c>
      <c r="O69" s="77">
        <f t="shared" si="43"/>
        <v>-17.714232719905077</v>
      </c>
    </row>
    <row r="70" spans="2:17">
      <c r="C70" s="159"/>
      <c r="D70" s="159"/>
    </row>
    <row r="71" spans="2:17" ht="15.75" thickBot="1">
      <c r="B71" s="7" t="s">
        <v>132</v>
      </c>
      <c r="C71" s="159"/>
      <c r="F71" s="176">
        <v>1.65</v>
      </c>
    </row>
    <row r="72" spans="2:17" ht="15.75" thickBot="1">
      <c r="B72" s="65" t="s">
        <v>0</v>
      </c>
      <c r="C72" s="188" t="s">
        <v>46</v>
      </c>
      <c r="D72" s="174" t="s">
        <v>47</v>
      </c>
      <c r="E72" s="174" t="s">
        <v>48</v>
      </c>
      <c r="F72" s="182" t="s">
        <v>49</v>
      </c>
      <c r="G72" s="174" t="s">
        <v>50</v>
      </c>
      <c r="H72" s="174" t="s">
        <v>51</v>
      </c>
      <c r="I72" s="188" t="s">
        <v>52</v>
      </c>
      <c r="J72" s="191" t="s">
        <v>58</v>
      </c>
      <c r="K72" s="192" t="s">
        <v>53</v>
      </c>
      <c r="L72" s="185" t="s">
        <v>54</v>
      </c>
      <c r="M72" s="174" t="s">
        <v>55</v>
      </c>
      <c r="N72" s="175" t="s">
        <v>56</v>
      </c>
    </row>
    <row r="73" spans="2:17">
      <c r="B73" s="177" t="s">
        <v>37</v>
      </c>
      <c r="C73" s="189">
        <v>0.28170150180276854</v>
      </c>
      <c r="D73" s="178">
        <v>11.898965640373532</v>
      </c>
      <c r="E73" s="178">
        <v>20.407698698501797</v>
      </c>
      <c r="F73" s="183">
        <v>23.434056865079317</v>
      </c>
      <c r="G73" s="178">
        <v>20.042443791636288</v>
      </c>
      <c r="H73" s="178">
        <v>11.39552312772271</v>
      </c>
      <c r="I73" s="189">
        <v>-0.12089899723055911</v>
      </c>
      <c r="J73" s="178">
        <v>-11.440359231639574</v>
      </c>
      <c r="K73" s="193">
        <v>-20.152225831388552</v>
      </c>
      <c r="L73" s="186">
        <v>-23.439518779389406</v>
      </c>
      <c r="M73" s="178">
        <v>-19.928763823687323</v>
      </c>
      <c r="N73" s="179">
        <v>-10.962198698613246</v>
      </c>
    </row>
    <row r="74" spans="2:17" ht="19.5">
      <c r="B74" s="213" t="s">
        <v>57</v>
      </c>
      <c r="C74" s="214">
        <f t="shared" ref="C74:N74" si="44">$F$71*TAN(RADIANS($C$4-C73))/$F$4</f>
        <v>2.0108784640349824</v>
      </c>
      <c r="D74" s="215">
        <f t="shared" si="44"/>
        <v>1.2472485295007598</v>
      </c>
      <c r="E74" s="215">
        <f t="shared" si="44"/>
        <v>0.77322518184221944</v>
      </c>
      <c r="F74" s="216">
        <f t="shared" si="44"/>
        <v>0.61485507107262338</v>
      </c>
      <c r="G74" s="215">
        <f t="shared" si="44"/>
        <v>0.79263148609393363</v>
      </c>
      <c r="H74" s="215">
        <f t="shared" si="44"/>
        <v>1.2770425648661523</v>
      </c>
      <c r="I74" s="214">
        <f t="shared" si="44"/>
        <v>2.0409457060054472</v>
      </c>
      <c r="J74" s="215">
        <f t="shared" si="44"/>
        <v>3.0472175201297249</v>
      </c>
      <c r="K74" s="217">
        <f t="shared" si="44"/>
        <v>4.1689635534603884</v>
      </c>
      <c r="L74" s="218">
        <f t="shared" si="44"/>
        <v>4.7321296399126256</v>
      </c>
      <c r="M74" s="215">
        <f t="shared" si="44"/>
        <v>4.134161549068935</v>
      </c>
      <c r="N74" s="219">
        <f t="shared" si="44"/>
        <v>2.9966673850853889</v>
      </c>
    </row>
    <row r="75" spans="2:17" ht="21.75" thickBot="1">
      <c r="B75" s="97" t="s">
        <v>62</v>
      </c>
      <c r="C75" s="190">
        <f t="shared" ref="C75:N75" si="45">$F$71*TAN(RADIANS($C$4-C73))</f>
        <v>1.1735133224376184</v>
      </c>
      <c r="D75" s="180">
        <f t="shared" si="45"/>
        <v>0.72787231647153783</v>
      </c>
      <c r="E75" s="180">
        <f t="shared" si="45"/>
        <v>0.45124062362045819</v>
      </c>
      <c r="F75" s="184">
        <f t="shared" si="45"/>
        <v>0.35881861095882717</v>
      </c>
      <c r="G75" s="180">
        <f t="shared" si="45"/>
        <v>0.4625658016389087</v>
      </c>
      <c r="H75" s="180">
        <f t="shared" si="45"/>
        <v>0.74525959176231216</v>
      </c>
      <c r="I75" s="190">
        <f t="shared" si="45"/>
        <v>1.191060036300422</v>
      </c>
      <c r="J75" s="180">
        <f t="shared" si="45"/>
        <v>1.7783025778008157</v>
      </c>
      <c r="K75" s="180">
        <f t="shared" si="45"/>
        <v>2.432933843712163</v>
      </c>
      <c r="L75" s="187">
        <f t="shared" si="45"/>
        <v>2.7615876718856684</v>
      </c>
      <c r="M75" s="180">
        <f t="shared" si="45"/>
        <v>2.4126240057327193</v>
      </c>
      <c r="N75" s="181">
        <f t="shared" si="45"/>
        <v>1.7488024076082738</v>
      </c>
    </row>
    <row r="76" spans="2:17" ht="15.75" thickBot="1">
      <c r="B76" s="88" t="s">
        <v>36</v>
      </c>
      <c r="C76" s="194">
        <v>1.1000000000000001</v>
      </c>
      <c r="D76" s="245" t="s">
        <v>133</v>
      </c>
      <c r="I76" s="7" t="s">
        <v>134</v>
      </c>
    </row>
    <row r="77" spans="2:17">
      <c r="B77" s="235" t="s">
        <v>110</v>
      </c>
      <c r="C77" s="90">
        <v>5</v>
      </c>
      <c r="D77" s="36">
        <v>6</v>
      </c>
      <c r="E77" s="36">
        <f>D77+1</f>
        <v>7</v>
      </c>
      <c r="F77" s="36">
        <v>8</v>
      </c>
      <c r="G77" s="36">
        <f t="shared" ref="G77:P77" si="46">F77+1</f>
        <v>9</v>
      </c>
      <c r="H77" s="36">
        <f t="shared" si="46"/>
        <v>10</v>
      </c>
      <c r="I77" s="36">
        <f t="shared" si="46"/>
        <v>11</v>
      </c>
      <c r="J77" s="36">
        <f t="shared" si="46"/>
        <v>12</v>
      </c>
      <c r="K77" s="36">
        <f t="shared" si="46"/>
        <v>13</v>
      </c>
      <c r="L77" s="36">
        <f t="shared" si="46"/>
        <v>14</v>
      </c>
      <c r="M77" s="36">
        <f t="shared" si="46"/>
        <v>15</v>
      </c>
      <c r="N77" s="36">
        <f t="shared" si="46"/>
        <v>16</v>
      </c>
      <c r="O77" s="36">
        <f t="shared" si="46"/>
        <v>17</v>
      </c>
      <c r="P77" s="36">
        <f t="shared" si="46"/>
        <v>18</v>
      </c>
      <c r="Q77" s="26"/>
    </row>
    <row r="78" spans="2:17">
      <c r="B78" s="241" t="s">
        <v>111</v>
      </c>
      <c r="C78" s="2">
        <f t="shared" ref="C78:P78" si="47">(C77-$J$77)*15</f>
        <v>-105</v>
      </c>
      <c r="D78" s="2">
        <f t="shared" si="47"/>
        <v>-90</v>
      </c>
      <c r="E78" s="2">
        <f t="shared" si="47"/>
        <v>-75</v>
      </c>
      <c r="F78" s="2">
        <f t="shared" si="47"/>
        <v>-60</v>
      </c>
      <c r="G78" s="2">
        <f t="shared" si="47"/>
        <v>-45</v>
      </c>
      <c r="H78" s="2">
        <f t="shared" si="47"/>
        <v>-30</v>
      </c>
      <c r="I78" s="2">
        <f t="shared" si="47"/>
        <v>-15</v>
      </c>
      <c r="J78" s="2">
        <f t="shared" si="47"/>
        <v>0</v>
      </c>
      <c r="K78" s="2">
        <f t="shared" si="47"/>
        <v>15</v>
      </c>
      <c r="L78" s="2">
        <f t="shared" si="47"/>
        <v>30</v>
      </c>
      <c r="M78" s="2">
        <f t="shared" si="47"/>
        <v>45</v>
      </c>
      <c r="N78" s="2">
        <f t="shared" si="47"/>
        <v>60</v>
      </c>
      <c r="O78" s="2">
        <f t="shared" si="47"/>
        <v>75</v>
      </c>
      <c r="P78" s="2">
        <f t="shared" si="47"/>
        <v>90</v>
      </c>
      <c r="Q78" s="17"/>
    </row>
    <row r="79" spans="2:17" ht="15.75" thickBot="1">
      <c r="B79" s="237" t="s">
        <v>112</v>
      </c>
      <c r="C79" s="24">
        <f>RADIANS(C78)</f>
        <v>-1.8325957145940461</v>
      </c>
      <c r="D79" s="24">
        <f>RADIANS(D78)</f>
        <v>-1.5707963267948966</v>
      </c>
      <c r="E79" s="24">
        <f t="shared" ref="E79:K79" si="48">RADIANS(E78)</f>
        <v>-1.3089969389957472</v>
      </c>
      <c r="F79" s="24">
        <f t="shared" si="48"/>
        <v>-1.0471975511965976</v>
      </c>
      <c r="G79" s="24">
        <f t="shared" si="48"/>
        <v>-0.78539816339744828</v>
      </c>
      <c r="H79" s="24">
        <f t="shared" si="48"/>
        <v>-0.52359877559829882</v>
      </c>
      <c r="I79" s="24">
        <f t="shared" si="48"/>
        <v>-0.26179938779914941</v>
      </c>
      <c r="J79" s="24">
        <f t="shared" si="48"/>
        <v>0</v>
      </c>
      <c r="K79" s="24">
        <f t="shared" si="48"/>
        <v>0.26179938779914941</v>
      </c>
      <c r="L79" s="24">
        <f t="shared" ref="L79:P79" si="49">RADIANS(L78)</f>
        <v>0.52359877559829882</v>
      </c>
      <c r="M79" s="24">
        <f t="shared" si="49"/>
        <v>0.78539816339744828</v>
      </c>
      <c r="N79" s="24">
        <f t="shared" si="49"/>
        <v>1.0471975511965976</v>
      </c>
      <c r="O79" s="24">
        <f t="shared" si="49"/>
        <v>1.3089969389957472</v>
      </c>
      <c r="P79" s="24">
        <f t="shared" si="49"/>
        <v>1.5707963267948966</v>
      </c>
      <c r="Q79" s="25"/>
    </row>
    <row r="80" spans="2:17">
      <c r="B80" s="235" t="s">
        <v>113</v>
      </c>
      <c r="C80" s="195">
        <f t="shared" ref="C80:H80" si="50">C78+$D$7</f>
        <v>-106.1502418518067</v>
      </c>
      <c r="D80" s="98">
        <f t="shared" si="50"/>
        <v>-91.150241851806697</v>
      </c>
      <c r="E80" s="98">
        <f t="shared" si="50"/>
        <v>-76.150241851806697</v>
      </c>
      <c r="F80" s="98">
        <f t="shared" si="50"/>
        <v>-61.150241851806697</v>
      </c>
      <c r="G80" s="98">
        <f t="shared" si="50"/>
        <v>-46.150241851806697</v>
      </c>
      <c r="H80" s="98">
        <f t="shared" si="50"/>
        <v>-31.150241851806697</v>
      </c>
      <c r="I80" s="98">
        <f>I78+$D$7</f>
        <v>-16.150241851806697</v>
      </c>
      <c r="J80" s="98">
        <f t="shared" ref="J80:O80" si="51">J78+$D$7</f>
        <v>-1.1502418518066975</v>
      </c>
      <c r="K80" s="98">
        <f t="shared" si="51"/>
        <v>13.849758148193303</v>
      </c>
      <c r="L80" s="98">
        <f t="shared" si="51"/>
        <v>28.849758148193303</v>
      </c>
      <c r="M80" s="98">
        <f t="shared" si="51"/>
        <v>43.849758148193303</v>
      </c>
      <c r="N80" s="98">
        <f t="shared" si="51"/>
        <v>58.849758148193303</v>
      </c>
      <c r="O80" s="98">
        <f t="shared" si="51"/>
        <v>73.849758148193303</v>
      </c>
      <c r="P80" s="98">
        <f t="shared" ref="P80" si="52">P78+$D$7</f>
        <v>88.849758148193303</v>
      </c>
      <c r="Q80" s="196"/>
    </row>
    <row r="81" spans="2:17" ht="15.75" thickBot="1">
      <c r="B81" s="237" t="s">
        <v>114</v>
      </c>
      <c r="C81" s="197">
        <f>RADIANS(C80)</f>
        <v>-1.8526712221023096</v>
      </c>
      <c r="D81" s="198">
        <f t="shared" ref="D81:O81" si="53">RADIANS(D80)</f>
        <v>-1.5908718343031603</v>
      </c>
      <c r="E81" s="198">
        <f t="shared" si="53"/>
        <v>-1.3290724465040107</v>
      </c>
      <c r="F81" s="198">
        <f t="shared" si="53"/>
        <v>-1.0672730587048613</v>
      </c>
      <c r="G81" s="198">
        <f t="shared" si="53"/>
        <v>-0.80547367090571187</v>
      </c>
      <c r="H81" s="198">
        <f t="shared" si="53"/>
        <v>-0.54367428310656241</v>
      </c>
      <c r="I81" s="198">
        <f t="shared" si="53"/>
        <v>-0.281874895307413</v>
      </c>
      <c r="J81" s="198">
        <f t="shared" si="53"/>
        <v>-2.0075507508263559E-2</v>
      </c>
      <c r="K81" s="198">
        <f t="shared" si="53"/>
        <v>0.24172388029088587</v>
      </c>
      <c r="L81" s="198">
        <f t="shared" si="53"/>
        <v>0.50352326809003534</v>
      </c>
      <c r="M81" s="198">
        <f t="shared" si="53"/>
        <v>0.76532265588918469</v>
      </c>
      <c r="N81" s="198">
        <f t="shared" si="53"/>
        <v>1.0271220436883342</v>
      </c>
      <c r="O81" s="198">
        <f t="shared" si="53"/>
        <v>1.2889214314874835</v>
      </c>
      <c r="P81" s="198">
        <f t="shared" ref="P81" si="54">RADIANS(P80)</f>
        <v>1.5507208192866331</v>
      </c>
      <c r="Q81" s="199"/>
    </row>
    <row r="82" spans="2:17">
      <c r="B82" s="246" t="s">
        <v>135</v>
      </c>
      <c r="C82" s="195">
        <f>$C$76*SIN(C79)</f>
        <v>-1.0625184089179753</v>
      </c>
      <c r="D82" s="98">
        <f t="shared" ref="D82:P82" si="55">$C$76*SIN(D79)</f>
        <v>-1.1000000000000001</v>
      </c>
      <c r="E82" s="98">
        <f t="shared" si="55"/>
        <v>-1.0625184089179753</v>
      </c>
      <c r="F82" s="98">
        <f t="shared" si="55"/>
        <v>-0.95262794416288255</v>
      </c>
      <c r="G82" s="98">
        <f t="shared" si="55"/>
        <v>-0.7778174593052023</v>
      </c>
      <c r="H82" s="98">
        <f t="shared" si="55"/>
        <v>-0.54999999999999993</v>
      </c>
      <c r="I82" s="98">
        <f t="shared" si="55"/>
        <v>-0.28470094961277281</v>
      </c>
      <c r="J82" s="98">
        <f t="shared" si="55"/>
        <v>0</v>
      </c>
      <c r="K82" s="98">
        <f t="shared" si="55"/>
        <v>0.28470094961277281</v>
      </c>
      <c r="L82" s="98">
        <f t="shared" si="55"/>
        <v>0.54999999999999993</v>
      </c>
      <c r="M82" s="98">
        <f t="shared" si="55"/>
        <v>0.7778174593052023</v>
      </c>
      <c r="N82" s="98">
        <f t="shared" si="55"/>
        <v>0.95262794416288255</v>
      </c>
      <c r="O82" s="98">
        <f t="shared" si="55"/>
        <v>1.0625184089179753</v>
      </c>
      <c r="P82" s="98">
        <f t="shared" si="55"/>
        <v>1.1000000000000001</v>
      </c>
      <c r="Q82" s="196"/>
    </row>
    <row r="83" spans="2:17">
      <c r="B83" s="247" t="s">
        <v>136</v>
      </c>
      <c r="C83" s="202">
        <f>$C$76*COS(C79)*$F$4</f>
        <v>-0.16614646944441991</v>
      </c>
      <c r="D83" s="203">
        <f t="shared" ref="D83:P83" si="56">$C$76*COS(D79)*$F$4</f>
        <v>3.9323630578986837E-17</v>
      </c>
      <c r="E83" s="203">
        <f t="shared" si="56"/>
        <v>0.1661464694444198</v>
      </c>
      <c r="F83" s="203">
        <f t="shared" si="56"/>
        <v>0.3209703315662254</v>
      </c>
      <c r="G83" s="203">
        <f t="shared" si="56"/>
        <v>0.45392059602034501</v>
      </c>
      <c r="H83" s="203">
        <f t="shared" si="56"/>
        <v>0.55593692199493094</v>
      </c>
      <c r="I83" s="203">
        <f t="shared" si="56"/>
        <v>0.62006706546476487</v>
      </c>
      <c r="J83" s="203">
        <f t="shared" si="56"/>
        <v>0.64194066313245068</v>
      </c>
      <c r="K83" s="203">
        <f t="shared" si="56"/>
        <v>0.62006706546476487</v>
      </c>
      <c r="L83" s="203">
        <f t="shared" si="56"/>
        <v>0.55593692199493094</v>
      </c>
      <c r="M83" s="203">
        <f t="shared" si="56"/>
        <v>0.45392059602034501</v>
      </c>
      <c r="N83" s="203">
        <f t="shared" si="56"/>
        <v>0.3209703315662254</v>
      </c>
      <c r="O83" s="203">
        <f t="shared" si="56"/>
        <v>0.1661464694444198</v>
      </c>
      <c r="P83" s="203">
        <f t="shared" si="56"/>
        <v>3.9323630578986837E-17</v>
      </c>
      <c r="Q83" s="204"/>
    </row>
    <row r="84" spans="2:17">
      <c r="B84" s="248" t="s">
        <v>137</v>
      </c>
      <c r="C84" s="2">
        <f>SQRT(C82*C82+C83*C83)</f>
        <v>1.0754301551465029</v>
      </c>
      <c r="D84" s="2">
        <f t="shared" ref="D84:P84" si="57">SQRT(D82*D82+D83*D83)</f>
        <v>1.1000000000000001</v>
      </c>
      <c r="E84" s="2">
        <f t="shared" si="57"/>
        <v>1.0754301551465029</v>
      </c>
      <c r="F84" s="2">
        <f t="shared" si="57"/>
        <v>1.0052472102650833</v>
      </c>
      <c r="G84" s="2">
        <f t="shared" si="57"/>
        <v>0.90057976187091016</v>
      </c>
      <c r="H84" s="2">
        <f t="shared" si="57"/>
        <v>0.78202676503889423</v>
      </c>
      <c r="I84" s="2">
        <f t="shared" si="57"/>
        <v>0.68230330234031522</v>
      </c>
      <c r="J84" s="2">
        <f t="shared" si="57"/>
        <v>0.64194066313245068</v>
      </c>
      <c r="K84" s="2">
        <f t="shared" si="57"/>
        <v>0.68230330234031522</v>
      </c>
      <c r="L84" s="2">
        <f t="shared" si="57"/>
        <v>0.78202676503889423</v>
      </c>
      <c r="M84" s="2">
        <f t="shared" si="57"/>
        <v>0.90057976187091016</v>
      </c>
      <c r="N84" s="2">
        <f t="shared" si="57"/>
        <v>1.0052472102650833</v>
      </c>
      <c r="O84" s="2">
        <f t="shared" si="57"/>
        <v>1.0754301551465029</v>
      </c>
      <c r="P84" s="2">
        <f t="shared" si="57"/>
        <v>1.1000000000000001</v>
      </c>
      <c r="Q84" s="17"/>
    </row>
    <row r="85" spans="2:17" ht="15.75" thickBot="1">
      <c r="B85" s="201" t="s">
        <v>138</v>
      </c>
      <c r="C85" s="24">
        <f>DEGREES(ATAN(TAN(C79)/$F$4))</f>
        <v>81.112604816370535</v>
      </c>
      <c r="D85" s="24">
        <f t="shared" ref="D85:P85" si="58">DEGREES(ATAN(TAN(D79)/$F$4))</f>
        <v>-90</v>
      </c>
      <c r="E85" s="24">
        <f t="shared" si="58"/>
        <v>-81.112604816370535</v>
      </c>
      <c r="F85" s="24">
        <f t="shared" si="58"/>
        <v>-71.379709758201884</v>
      </c>
      <c r="G85" s="24">
        <f t="shared" si="58"/>
        <v>-59.732915695445605</v>
      </c>
      <c r="H85" s="24">
        <f t="shared" si="58"/>
        <v>-44.69242612365052</v>
      </c>
      <c r="I85" s="24">
        <f t="shared" si="58"/>
        <v>-24.662004309562139</v>
      </c>
      <c r="J85" s="24">
        <f t="shared" si="58"/>
        <v>0</v>
      </c>
      <c r="K85" s="24">
        <f t="shared" si="58"/>
        <v>24.662004309562139</v>
      </c>
      <c r="L85" s="24">
        <f t="shared" si="58"/>
        <v>44.69242612365052</v>
      </c>
      <c r="M85" s="24">
        <f t="shared" si="58"/>
        <v>59.732915695445605</v>
      </c>
      <c r="N85" s="24">
        <f t="shared" si="58"/>
        <v>71.379709758201884</v>
      </c>
      <c r="O85" s="24">
        <f t="shared" si="58"/>
        <v>81.112604816370535</v>
      </c>
      <c r="P85" s="24">
        <f t="shared" si="58"/>
        <v>90</v>
      </c>
      <c r="Q85" s="25"/>
    </row>
    <row r="86" spans="2:17" ht="15.75">
      <c r="B86" s="200" t="s">
        <v>135</v>
      </c>
      <c r="C86" s="98">
        <f t="shared" ref="C86:P86" si="59">$C$76*SIN(C81)</f>
        <v>-1.0565891726934988</v>
      </c>
      <c r="D86" s="98">
        <f t="shared" si="59"/>
        <v>-1.0997783431436636</v>
      </c>
      <c r="E86" s="98">
        <f t="shared" si="59"/>
        <v>-1.0680194369782328</v>
      </c>
      <c r="F86" s="98">
        <f t="shared" si="59"/>
        <v>-0.96347677116830632</v>
      </c>
      <c r="G86" s="98">
        <f t="shared" si="59"/>
        <v>-0.79327475562390692</v>
      </c>
      <c r="H86" s="98">
        <f t="shared" si="59"/>
        <v>-0.56901237643225577</v>
      </c>
      <c r="I86" s="98">
        <f t="shared" si="59"/>
        <v>-0.30597274412415904</v>
      </c>
      <c r="J86" s="98">
        <f t="shared" si="59"/>
        <v>-2.2081574947868252E-2</v>
      </c>
      <c r="K86" s="98">
        <f t="shared" si="59"/>
        <v>0.2633144170695918</v>
      </c>
      <c r="L86" s="98">
        <f t="shared" si="59"/>
        <v>0.53076596671140785</v>
      </c>
      <c r="M86" s="98">
        <f t="shared" si="59"/>
        <v>0.76204669285407367</v>
      </c>
      <c r="N86" s="98">
        <f t="shared" si="59"/>
        <v>0.9413951962204381</v>
      </c>
      <c r="O86" s="98">
        <f t="shared" si="59"/>
        <v>1.0565891726934986</v>
      </c>
      <c r="P86" s="98">
        <f t="shared" si="59"/>
        <v>1.0997783431436636</v>
      </c>
      <c r="Q86" s="196"/>
    </row>
    <row r="87" spans="2:17" ht="15.75">
      <c r="B87" s="205" t="s">
        <v>139</v>
      </c>
      <c r="C87" s="203">
        <f t="shared" ref="C87:P87" si="60">$C$76*COS(C81)*$F$4</f>
        <v>-0.17856031478501661</v>
      </c>
      <c r="D87" s="203">
        <f t="shared" si="60"/>
        <v>-1.2886418968221373E-2</v>
      </c>
      <c r="E87" s="203">
        <f t="shared" si="60"/>
        <v>0.15366566500544407</v>
      </c>
      <c r="F87" s="203">
        <f t="shared" si="60"/>
        <v>0.3097456878535067</v>
      </c>
      <c r="G87" s="203">
        <f t="shared" si="60"/>
        <v>0.44471705395330458</v>
      </c>
      <c r="H87" s="203">
        <f t="shared" si="60"/>
        <v>0.54938168775586493</v>
      </c>
      <c r="I87" s="203">
        <f t="shared" si="60"/>
        <v>0.61660686743402904</v>
      </c>
      <c r="J87" s="203">
        <f t="shared" si="60"/>
        <v>0.64181130808759201</v>
      </c>
      <c r="K87" s="203">
        <f t="shared" si="60"/>
        <v>0.62327736873832118</v>
      </c>
      <c r="L87" s="203">
        <f t="shared" si="60"/>
        <v>0.56226810672408623</v>
      </c>
      <c r="M87" s="203">
        <f t="shared" si="60"/>
        <v>0.462941202428585</v>
      </c>
      <c r="N87" s="203">
        <f t="shared" si="60"/>
        <v>0.33206562023408531</v>
      </c>
      <c r="O87" s="203">
        <f t="shared" si="60"/>
        <v>0.17856031478501672</v>
      </c>
      <c r="P87" s="203">
        <f t="shared" si="60"/>
        <v>1.2886418968221307E-2</v>
      </c>
      <c r="Q87" s="204"/>
    </row>
    <row r="88" spans="2:17">
      <c r="B88" s="250" t="s">
        <v>141</v>
      </c>
      <c r="C88" s="2">
        <f>SQRT(C86*C86+C87*C87)</f>
        <v>1.0715710269829326</v>
      </c>
      <c r="D88" s="2">
        <f t="shared" ref="D88:P88" si="61">SQRT(D86*D86+D87*D87)</f>
        <v>1.0998538374900759</v>
      </c>
      <c r="E88" s="2">
        <f t="shared" si="61"/>
        <v>1.0790174485914799</v>
      </c>
      <c r="F88" s="2">
        <f t="shared" si="61"/>
        <v>1.0120424298045745</v>
      </c>
      <c r="G88" s="2">
        <f t="shared" si="61"/>
        <v>0.90942734508429846</v>
      </c>
      <c r="H88" s="2">
        <f t="shared" si="61"/>
        <v>0.79094584098695775</v>
      </c>
      <c r="I88" s="2">
        <f t="shared" si="61"/>
        <v>0.68834827603014626</v>
      </c>
      <c r="J88" s="2">
        <f t="shared" si="61"/>
        <v>0.64219105501500429</v>
      </c>
      <c r="K88" s="2">
        <f t="shared" si="61"/>
        <v>0.67661596243220867</v>
      </c>
      <c r="L88" s="2">
        <f t="shared" si="61"/>
        <v>0.77321273609413832</v>
      </c>
      <c r="M88" s="2">
        <f t="shared" si="61"/>
        <v>0.89164439043592647</v>
      </c>
      <c r="N88" s="2">
        <f t="shared" si="61"/>
        <v>0.99824470527439557</v>
      </c>
      <c r="O88" s="2">
        <f t="shared" si="61"/>
        <v>1.0715710269829324</v>
      </c>
      <c r="P88" s="2">
        <f t="shared" si="61"/>
        <v>1.0998538374900759</v>
      </c>
      <c r="Q88" s="17"/>
    </row>
    <row r="89" spans="2:17" ht="15.75" thickBot="1">
      <c r="B89" s="201" t="s">
        <v>138</v>
      </c>
      <c r="C89" s="24">
        <f>DEGREES(ATAN(TAN(C81)/$F$4))</f>
        <v>80.407821939169807</v>
      </c>
      <c r="D89" s="24">
        <f t="shared" ref="D89:P89" si="62">DEGREES(ATAN(TAN(D81)/$F$4))</f>
        <v>89.32867960409159</v>
      </c>
      <c r="E89" s="24">
        <f t="shared" si="62"/>
        <v>-81.812523664328111</v>
      </c>
      <c r="F89" s="24">
        <f t="shared" si="62"/>
        <v>-72.178053675389421</v>
      </c>
      <c r="G89" s="24">
        <f t="shared" si="62"/>
        <v>-60.724612828104156</v>
      </c>
      <c r="H89" s="24">
        <f t="shared" si="62"/>
        <v>-46.005584845091398</v>
      </c>
      <c r="I89" s="24">
        <f t="shared" si="62"/>
        <v>-26.391533191317468</v>
      </c>
      <c r="J89" s="24">
        <f t="shared" si="62"/>
        <v>-1.9704891224041097</v>
      </c>
      <c r="K89" s="24">
        <f t="shared" si="62"/>
        <v>22.902476576039728</v>
      </c>
      <c r="L89" s="24">
        <f t="shared" si="62"/>
        <v>43.349145548540271</v>
      </c>
      <c r="M89" s="24">
        <f t="shared" si="62"/>
        <v>58.72143812156262</v>
      </c>
      <c r="N89" s="24">
        <f t="shared" si="62"/>
        <v>70.570330413359244</v>
      </c>
      <c r="O89" s="24">
        <f t="shared" si="62"/>
        <v>80.407821939169793</v>
      </c>
      <c r="P89" s="24">
        <f t="shared" si="62"/>
        <v>89.32867960409159</v>
      </c>
      <c r="Q89" s="25"/>
    </row>
    <row r="90" spans="2:17">
      <c r="C90"/>
    </row>
    <row r="91" spans="2:17" ht="16.5" thickBot="1">
      <c r="E91" s="249" t="s">
        <v>140</v>
      </c>
    </row>
    <row r="92" spans="2:17">
      <c r="B92" s="206" t="s">
        <v>29</v>
      </c>
      <c r="C92" s="207">
        <v>1</v>
      </c>
      <c r="D92" s="207">
        <v>11</v>
      </c>
      <c r="E92" s="208">
        <v>21</v>
      </c>
      <c r="F92" s="207" t="s">
        <v>59</v>
      </c>
      <c r="G92" s="207" t="s">
        <v>60</v>
      </c>
      <c r="H92" s="209" t="s">
        <v>61</v>
      </c>
    </row>
    <row r="93" spans="2:17">
      <c r="B93" s="251" t="s">
        <v>142</v>
      </c>
      <c r="C93" s="13">
        <v>-23.012726769213366</v>
      </c>
      <c r="D93" s="13">
        <v>-21.823224089396248</v>
      </c>
      <c r="E93" s="254">
        <v>-19.928747024358856</v>
      </c>
      <c r="F93" s="253">
        <f xml:space="preserve"> $C$76*$G$4*TAN(RADIANS(C93))</f>
        <v>-0.3794002656022808</v>
      </c>
      <c r="G93" s="253">
        <f t="shared" ref="G93:H93" si="63" xml:space="preserve"> $C$76*$G$4*TAN(RADIANS(D93))</f>
        <v>-0.35769829389920033</v>
      </c>
      <c r="H93" s="210">
        <f t="shared" si="63"/>
        <v>-0.32386235046072676</v>
      </c>
    </row>
    <row r="94" spans="2:17">
      <c r="B94" s="251" t="s">
        <v>143</v>
      </c>
      <c r="C94" s="13">
        <v>-17.133670530633768</v>
      </c>
      <c r="D94" s="13">
        <v>-14.061838364458916</v>
      </c>
      <c r="E94" s="255">
        <v>-10.602003173019375</v>
      </c>
      <c r="F94" s="253">
        <f t="shared" ref="F94:F104" si="64" xml:space="preserve"> $C$76*$G$4*TAN(RADIANS(C94))</f>
        <v>-0.27537716322792877</v>
      </c>
      <c r="G94" s="253">
        <f t="shared" ref="G94:G104" si="65" xml:space="preserve"> $C$76*$G$4*TAN(RADIANS(D94))</f>
        <v>-0.22373884555499032</v>
      </c>
      <c r="H94" s="210">
        <f t="shared" ref="H94:H104" si="66" xml:space="preserve"> $C$76*$G$4*TAN(RADIANS(E94))</f>
        <v>-0.16720125910352743</v>
      </c>
    </row>
    <row r="95" spans="2:17">
      <c r="B95" s="251" t="s">
        <v>144</v>
      </c>
      <c r="C95" s="13">
        <v>-7.6317291230097704</v>
      </c>
      <c r="D95" s="13">
        <v>-3.7607668925042463</v>
      </c>
      <c r="E95" s="255">
        <v>0.18634326710730073</v>
      </c>
      <c r="F95" s="253">
        <f t="shared" si="64"/>
        <v>-0.11968974882682672</v>
      </c>
      <c r="G95" s="253">
        <f t="shared" si="65"/>
        <v>-5.8715890455101574E-2</v>
      </c>
      <c r="H95" s="210">
        <f t="shared" si="66"/>
        <v>2.9051606500389159E-3</v>
      </c>
    </row>
    <row r="96" spans="2:17">
      <c r="B96" s="251" t="s">
        <v>145</v>
      </c>
      <c r="C96" s="13">
        <v>4.4938542922091118</v>
      </c>
      <c r="D96" s="13">
        <v>8.270785683866178</v>
      </c>
      <c r="E96" s="255">
        <v>11.817502711118106</v>
      </c>
      <c r="F96" s="253">
        <f t="shared" si="64"/>
        <v>7.0204625720866012E-2</v>
      </c>
      <c r="G96" s="253">
        <f t="shared" si="65"/>
        <v>0.12984732061795418</v>
      </c>
      <c r="H96" s="210">
        <f t="shared" si="66"/>
        <v>0.18689639141932157</v>
      </c>
    </row>
    <row r="97" spans="2:8">
      <c r="B97" s="251" t="s">
        <v>151</v>
      </c>
      <c r="C97" s="13">
        <v>15.040458835601481</v>
      </c>
      <c r="D97" s="13">
        <v>17.849262483401812</v>
      </c>
      <c r="E97" s="255">
        <v>20.160232948382461</v>
      </c>
      <c r="F97" s="253">
        <f t="shared" si="64"/>
        <v>0.24002429030873182</v>
      </c>
      <c r="G97" s="253">
        <f t="shared" si="65"/>
        <v>0.28764160851883042</v>
      </c>
      <c r="H97" s="210">
        <f t="shared" si="66"/>
        <v>0.32795170228827247</v>
      </c>
    </row>
    <row r="98" spans="2:8">
      <c r="B98" s="251" t="s">
        <v>146</v>
      </c>
      <c r="C98" s="13">
        <v>22.037192070179607</v>
      </c>
      <c r="D98" s="13">
        <v>23.075080782973604</v>
      </c>
      <c r="E98" s="255">
        <v>23.437716852107631</v>
      </c>
      <c r="F98" s="253">
        <f t="shared" si="64"/>
        <v>0.36157484945498808</v>
      </c>
      <c r="G98" s="253">
        <f t="shared" si="65"/>
        <v>0.38054828717754746</v>
      </c>
      <c r="H98" s="210">
        <f t="shared" si="66"/>
        <v>0.38724614905110161</v>
      </c>
    </row>
    <row r="99" spans="2:8">
      <c r="B99" s="251" t="s">
        <v>147</v>
      </c>
      <c r="C99" s="13">
        <v>23.112769878931722</v>
      </c>
      <c r="D99" s="13">
        <v>22.116487982190748</v>
      </c>
      <c r="E99" s="255">
        <v>20.488474839030847</v>
      </c>
      <c r="F99" s="253">
        <f t="shared" si="64"/>
        <v>0.38124271046408598</v>
      </c>
      <c r="G99" s="253">
        <f t="shared" si="65"/>
        <v>0.36301446207825089</v>
      </c>
      <c r="H99" s="210">
        <f t="shared" si="66"/>
        <v>0.33377118569643055</v>
      </c>
    </row>
    <row r="100" spans="2:8">
      <c r="B100" s="251" t="s">
        <v>148</v>
      </c>
      <c r="C100" s="13">
        <v>18.039774419183782</v>
      </c>
      <c r="D100" s="13">
        <v>15.297444529667455</v>
      </c>
      <c r="E100" s="255">
        <v>12.148163688374716</v>
      </c>
      <c r="F100" s="253">
        <f t="shared" si="64"/>
        <v>0.29092325765580901</v>
      </c>
      <c r="G100" s="253">
        <f t="shared" si="65"/>
        <v>0.24432527140938967</v>
      </c>
      <c r="H100" s="210">
        <f t="shared" si="66"/>
        <v>0.19228374110095942</v>
      </c>
    </row>
    <row r="101" spans="2:8">
      <c r="B101" s="251" t="s">
        <v>149</v>
      </c>
      <c r="C101" s="13">
        <v>8.3181423329930055</v>
      </c>
      <c r="D101" s="13">
        <v>4.6003696058191741</v>
      </c>
      <c r="E101" s="255">
        <v>0.75031164090024849</v>
      </c>
      <c r="F101" s="253">
        <f t="shared" si="64"/>
        <v>0.13060131729826116</v>
      </c>
      <c r="G101" s="253">
        <f t="shared" si="65"/>
        <v>7.1875736744558924E-2</v>
      </c>
      <c r="H101" s="210">
        <f t="shared" si="66"/>
        <v>1.1698264251215042E-2</v>
      </c>
    </row>
    <row r="102" spans="2:8">
      <c r="B102" s="251" t="s">
        <v>152</v>
      </c>
      <c r="C102" s="13">
        <v>-3.1389920964412883</v>
      </c>
      <c r="D102" s="13">
        <v>-6.9722123743449904</v>
      </c>
      <c r="E102" s="255">
        <v>-10.648973823038649</v>
      </c>
      <c r="F102" s="253">
        <f t="shared" si="64"/>
        <v>-4.8986899352461359E-2</v>
      </c>
      <c r="G102" s="253">
        <f t="shared" si="65"/>
        <v>-0.10923872854532662</v>
      </c>
      <c r="H102" s="210">
        <f t="shared" si="66"/>
        <v>-0.16795931984758056</v>
      </c>
    </row>
    <row r="103" spans="2:8">
      <c r="B103" s="251" t="s">
        <v>150</v>
      </c>
      <c r="C103" s="13">
        <v>-14.385031380851839</v>
      </c>
      <c r="D103" s="13">
        <v>-17.381839066361497</v>
      </c>
      <c r="E103" s="255">
        <v>-19.882198073739335</v>
      </c>
      <c r="F103" s="253">
        <f t="shared" si="64"/>
        <v>-0.22910127470946476</v>
      </c>
      <c r="G103" s="253">
        <f t="shared" si="65"/>
        <v>-0.27961958789730329</v>
      </c>
      <c r="H103" s="210">
        <f t="shared" si="66"/>
        <v>-0.32304148312158026</v>
      </c>
    </row>
    <row r="104" spans="2:8" ht="15.75" thickBot="1">
      <c r="B104" s="252" t="s">
        <v>153</v>
      </c>
      <c r="C104" s="4">
        <v>-21.780075727868212</v>
      </c>
      <c r="D104" s="4">
        <v>-22.986629844706837</v>
      </c>
      <c r="E104" s="46">
        <v>-23.438072015827647</v>
      </c>
      <c r="F104" s="211">
        <f t="shared" si="64"/>
        <v>-0.35691796318256414</v>
      </c>
      <c r="G104" s="211">
        <f t="shared" si="65"/>
        <v>-0.37892010113174401</v>
      </c>
      <c r="H104" s="212">
        <f t="shared" si="66"/>
        <v>-0.38725272682845086</v>
      </c>
    </row>
    <row r="128" spans="3:3">
      <c r="C128"/>
    </row>
    <row r="129" spans="3:17">
      <c r="C129"/>
    </row>
    <row r="130" spans="3:17">
      <c r="C130"/>
    </row>
    <row r="131" spans="3:17">
      <c r="C131"/>
    </row>
    <row r="132" spans="3:17">
      <c r="C132"/>
    </row>
    <row r="133" spans="3:17">
      <c r="C133"/>
    </row>
    <row r="134" spans="3:17">
      <c r="C134"/>
    </row>
    <row r="135" spans="3:17">
      <c r="C135"/>
    </row>
    <row r="136" spans="3:17">
      <c r="C136"/>
    </row>
    <row r="137" spans="3:17">
      <c r="C137"/>
    </row>
    <row r="138" spans="3:17">
      <c r="C138"/>
    </row>
    <row r="139" spans="3:17">
      <c r="C139"/>
    </row>
    <row r="140" spans="3:17">
      <c r="C140"/>
    </row>
    <row r="141" spans="3:17">
      <c r="C141"/>
    </row>
    <row r="142" spans="3:17">
      <c r="C142"/>
    </row>
    <row r="143" spans="3:17">
      <c r="C143"/>
    </row>
    <row r="144" spans="3:17">
      <c r="C144"/>
      <c r="Q144" s="2"/>
    </row>
    <row r="145" spans="1:17">
      <c r="C145"/>
    </row>
    <row r="146" spans="1:17">
      <c r="C146"/>
    </row>
    <row r="147" spans="1:17">
      <c r="C147"/>
    </row>
    <row r="150" spans="1:17" s="2" customFormat="1">
      <c r="A150"/>
      <c r="O150"/>
      <c r="P150"/>
      <c r="Q150"/>
    </row>
    <row r="151" spans="1:17" s="2" customFormat="1">
      <c r="A151"/>
      <c r="B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70" spans="3:17">
      <c r="O170" s="8"/>
      <c r="P170" s="8"/>
      <c r="Q170" s="8"/>
    </row>
    <row r="171" spans="3:17">
      <c r="C171"/>
    </row>
    <row r="172" spans="3:17">
      <c r="C172"/>
    </row>
    <row r="173" spans="3:17">
      <c r="C173"/>
    </row>
    <row r="174" spans="3:17">
      <c r="C174"/>
    </row>
    <row r="175" spans="3:17">
      <c r="C175"/>
    </row>
    <row r="176" spans="3:17">
      <c r="C176"/>
    </row>
    <row r="177" spans="3:17">
      <c r="C177"/>
    </row>
    <row r="178" spans="3:17"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3:17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3:17">
      <c r="O180" s="2"/>
      <c r="P180" s="2"/>
      <c r="Q180" s="2"/>
    </row>
    <row r="181" spans="3:17">
      <c r="O181" s="2"/>
      <c r="P181" s="2"/>
      <c r="Q181" s="2"/>
    </row>
  </sheetData>
  <mergeCells count="6">
    <mergeCell ref="D67:E67"/>
    <mergeCell ref="N39:O39"/>
    <mergeCell ref="G39:H39"/>
    <mergeCell ref="N52:O52"/>
    <mergeCell ref="G52:H52"/>
    <mergeCell ref="J67:K6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0FCD8-4367-4C8D-864B-E77EE0B6D811}">
  <sheetPr codeName="Sheet10"/>
  <dimension ref="A1:AB36"/>
  <sheetViews>
    <sheetView zoomScaleNormal="100" workbookViewId="0">
      <selection activeCell="E8" sqref="E8"/>
    </sheetView>
  </sheetViews>
  <sheetFormatPr defaultRowHeight="15"/>
  <cols>
    <col min="1" max="1" width="11.7109375" customWidth="1"/>
    <col min="2" max="2" width="11" customWidth="1"/>
    <col min="3" max="3" width="10" customWidth="1"/>
    <col min="5" max="5" width="10.28515625" customWidth="1"/>
    <col min="6" max="13" width="11.28515625" customWidth="1"/>
    <col min="14" max="14" width="10.28515625" customWidth="1"/>
    <col min="26" max="26" width="9.28515625" customWidth="1"/>
    <col min="28" max="28" width="9.140625" style="5"/>
  </cols>
  <sheetData>
    <row r="1" spans="1:28">
      <c r="Q1" s="5"/>
      <c r="AB1" s="5" t="s">
        <v>155</v>
      </c>
    </row>
    <row r="2" spans="1:28">
      <c r="B2" s="6" t="s">
        <v>154</v>
      </c>
      <c r="D2" s="7" t="s">
        <v>81</v>
      </c>
      <c r="F2" s="88" t="s">
        <v>70</v>
      </c>
      <c r="G2" s="88" t="s">
        <v>71</v>
      </c>
      <c r="H2" s="88" t="s">
        <v>72</v>
      </c>
      <c r="I2" s="88" t="s">
        <v>73</v>
      </c>
      <c r="J2" s="88" t="s">
        <v>74</v>
      </c>
      <c r="AB2" s="5" t="s">
        <v>156</v>
      </c>
    </row>
    <row r="3" spans="1:28">
      <c r="B3" s="6"/>
      <c r="D3" s="6"/>
      <c r="F3" s="10" t="str">
        <f>Enter!B2</f>
        <v>Tehran</v>
      </c>
      <c r="G3" s="2">
        <f>Enter!B3</f>
        <v>51.349758148193303</v>
      </c>
      <c r="H3" s="2">
        <f>Enter!B4</f>
        <v>35.702907562255803</v>
      </c>
      <c r="I3" s="2">
        <f>Enter!B5</f>
        <v>1368</v>
      </c>
      <c r="J3" s="2">
        <f>Enter!B6</f>
        <v>3.5</v>
      </c>
      <c r="AB3" s="5" t="s">
        <v>157</v>
      </c>
    </row>
    <row r="4" spans="1:28" ht="13.5" customHeight="1">
      <c r="A4">
        <v>6</v>
      </c>
      <c r="B4">
        <v>2</v>
      </c>
      <c r="AB4" s="5" t="s">
        <v>158</v>
      </c>
    </row>
    <row r="5" spans="1:28">
      <c r="B5" t="s">
        <v>3</v>
      </c>
      <c r="AB5" s="5" t="s">
        <v>159</v>
      </c>
    </row>
    <row r="6" spans="1:28">
      <c r="AB6" s="5" t="s">
        <v>160</v>
      </c>
    </row>
    <row r="7" spans="1:28" ht="25.5">
      <c r="D7" s="256" t="s">
        <v>161</v>
      </c>
      <c r="E7" s="256" t="s">
        <v>162</v>
      </c>
      <c r="G7" s="257" t="s">
        <v>170</v>
      </c>
      <c r="H7" s="256" t="s">
        <v>163</v>
      </c>
      <c r="I7" s="256" t="s">
        <v>164</v>
      </c>
      <c r="J7" s="257" t="s">
        <v>165</v>
      </c>
      <c r="K7" s="258" t="s">
        <v>166</v>
      </c>
      <c r="L7" s="258" t="s">
        <v>167</v>
      </c>
      <c r="M7" s="257" t="s">
        <v>168</v>
      </c>
      <c r="N7" s="257" t="s">
        <v>169</v>
      </c>
    </row>
    <row r="8" spans="1:28">
      <c r="D8" s="167">
        <v>25</v>
      </c>
      <c r="E8" s="167">
        <v>45</v>
      </c>
      <c r="G8" s="86">
        <v>10</v>
      </c>
      <c r="H8" s="86">
        <v>27.475761413574201</v>
      </c>
      <c r="I8" s="86">
        <v>0</v>
      </c>
      <c r="J8" s="86">
        <v>65.352255039986019</v>
      </c>
      <c r="K8" s="86">
        <v>8.8018014915812959</v>
      </c>
      <c r="L8" s="86">
        <v>50.592962485128261</v>
      </c>
      <c r="M8" s="86">
        <v>40.99870092499075</v>
      </c>
      <c r="N8" s="86">
        <v>-49.900137888331926</v>
      </c>
    </row>
    <row r="10" spans="1:28" s="6" customFormat="1">
      <c r="A10" s="33"/>
      <c r="B10" s="85" t="s">
        <v>21</v>
      </c>
      <c r="C10" s="33"/>
      <c r="D10" s="85" t="s">
        <v>22</v>
      </c>
      <c r="E10" s="33"/>
      <c r="F10" s="85" t="s">
        <v>23</v>
      </c>
      <c r="G10" s="33"/>
      <c r="H10" s="85" t="s">
        <v>24</v>
      </c>
      <c r="I10" s="33"/>
      <c r="J10" s="85" t="s">
        <v>25</v>
      </c>
      <c r="K10" s="33"/>
      <c r="L10" s="85" t="s">
        <v>26</v>
      </c>
      <c r="M10" s="33"/>
      <c r="N10" s="85" t="s">
        <v>27</v>
      </c>
      <c r="O10" s="33"/>
      <c r="P10" s="85" t="s">
        <v>28</v>
      </c>
      <c r="Q10" s="33"/>
      <c r="R10" s="85" t="s">
        <v>4</v>
      </c>
      <c r="S10" s="33"/>
      <c r="T10" s="85" t="s">
        <v>5</v>
      </c>
      <c r="U10" s="33"/>
      <c r="V10" s="85" t="s">
        <v>6</v>
      </c>
      <c r="W10" s="33"/>
      <c r="X10" s="85"/>
      <c r="AB10" s="38"/>
    </row>
    <row r="11" spans="1:28">
      <c r="A11" s="29">
        <v>-49.148609298330996</v>
      </c>
      <c r="B11" s="28">
        <v>-18.855326445931574</v>
      </c>
      <c r="C11" s="29">
        <v>-195.62599090333524</v>
      </c>
      <c r="D11" s="28">
        <v>-17.004064326312573</v>
      </c>
      <c r="E11" s="29">
        <v>-102.29821884410366</v>
      </c>
      <c r="F11" s="28">
        <v>-18.341450057571301</v>
      </c>
      <c r="G11" s="29">
        <v>-72.558103943281793</v>
      </c>
      <c r="H11" s="28">
        <v>-18.661245151483715</v>
      </c>
      <c r="I11" s="29">
        <v>-57.854081564836612</v>
      </c>
      <c r="J11" s="28">
        <v>-18.789974473380045</v>
      </c>
      <c r="K11" s="29">
        <v>-1082.6846431433626</v>
      </c>
      <c r="L11" s="28">
        <v>1.1025258044438231</v>
      </c>
      <c r="M11" s="29"/>
      <c r="N11" s="28"/>
      <c r="O11" s="29"/>
      <c r="P11" s="28"/>
      <c r="Q11" s="29"/>
      <c r="R11" s="28"/>
      <c r="S11" s="29"/>
      <c r="T11" s="28"/>
      <c r="U11" s="29"/>
      <c r="V11" s="28"/>
      <c r="W11" s="29"/>
      <c r="X11" s="28"/>
    </row>
    <row r="12" spans="1:28">
      <c r="A12" s="29">
        <v>-22.338188880645038</v>
      </c>
      <c r="B12" s="28">
        <v>-6.1151896306680733</v>
      </c>
      <c r="C12" s="29">
        <v>-34.766512888470523</v>
      </c>
      <c r="D12" s="28">
        <v>1.1609570125618887</v>
      </c>
      <c r="E12" s="29">
        <v>-29.643186452643718</v>
      </c>
      <c r="F12" s="28">
        <v>-1.8458944389928427</v>
      </c>
      <c r="G12" s="29">
        <v>-26.35983311043822</v>
      </c>
      <c r="H12" s="28">
        <v>-3.7677929688542497</v>
      </c>
      <c r="I12" s="29">
        <v>-24.045249980868284</v>
      </c>
      <c r="J12" s="28">
        <v>-5.1196483969498976</v>
      </c>
      <c r="K12" s="29">
        <v>-41.646377648664846</v>
      </c>
      <c r="L12" s="28">
        <v>5.2056455815299882</v>
      </c>
      <c r="M12" s="29">
        <v>-51.263740028608971</v>
      </c>
      <c r="N12" s="28">
        <v>10.882793989573164</v>
      </c>
      <c r="O12" s="29">
        <v>-68.794346214199791</v>
      </c>
      <c r="P12" s="28">
        <v>21.27064309593084</v>
      </c>
      <c r="Q12" s="29">
        <v>-96.959121746668799</v>
      </c>
      <c r="R12" s="28">
        <v>38.039340837560246</v>
      </c>
      <c r="S12" s="29">
        <v>-145.39994160393806</v>
      </c>
      <c r="T12" s="28">
        <v>67.040984614591366</v>
      </c>
      <c r="U12" s="29">
        <v>-258.83821432899447</v>
      </c>
      <c r="V12" s="28">
        <v>135.42090989371877</v>
      </c>
      <c r="W12" s="29"/>
      <c r="X12" s="28"/>
    </row>
    <row r="13" spans="1:28">
      <c r="A13" s="29">
        <v>-13.396890594976956</v>
      </c>
      <c r="B13" s="28">
        <v>-2.3714408767149773</v>
      </c>
      <c r="C13" s="29">
        <v>-17.610984422838147</v>
      </c>
      <c r="D13" s="28">
        <v>2.9151207042696061</v>
      </c>
      <c r="E13" s="29">
        <v>-16.041495193694615</v>
      </c>
      <c r="F13" s="28">
        <v>0.94302611211382714</v>
      </c>
      <c r="G13" s="29">
        <v>-14.918640985630287</v>
      </c>
      <c r="H13" s="28">
        <v>-0.46564575437917954</v>
      </c>
      <c r="I13" s="29">
        <v>-14.063730807079443</v>
      </c>
      <c r="J13" s="28">
        <v>-1.5367263894339416</v>
      </c>
      <c r="K13" s="29">
        <v>-19.441576353395185</v>
      </c>
      <c r="L13" s="28">
        <v>5.2168407345448147</v>
      </c>
      <c r="M13" s="29">
        <v>-21.558221252224207</v>
      </c>
      <c r="N13" s="28">
        <v>7.8847970060418637</v>
      </c>
      <c r="O13" s="29">
        <v>-24.513660469593674</v>
      </c>
      <c r="P13" s="28">
        <v>11.616120761487513</v>
      </c>
      <c r="Q13" s="29">
        <v>-27.770820483042328</v>
      </c>
      <c r="R13" s="28">
        <v>15.735033243613449</v>
      </c>
      <c r="S13" s="29">
        <v>-31.188325070456159</v>
      </c>
      <c r="T13" s="28">
        <v>20.062886454685842</v>
      </c>
      <c r="U13" s="29">
        <v>-35.068615718361791</v>
      </c>
      <c r="V13" s="28">
        <v>24.983805457372512</v>
      </c>
      <c r="W13" s="29"/>
      <c r="X13" s="28"/>
    </row>
    <row r="14" spans="1:28">
      <c r="A14" s="29">
        <v>-8.5126179609716353</v>
      </c>
      <c r="B14" s="28">
        <v>-0.6963654822192582</v>
      </c>
      <c r="C14" s="29">
        <v>-10.460793120397629</v>
      </c>
      <c r="D14" s="28">
        <v>3.5331339660435299</v>
      </c>
      <c r="E14" s="29">
        <v>-9.765124335954189</v>
      </c>
      <c r="F14" s="28">
        <v>2.0207795540393421</v>
      </c>
      <c r="G14" s="29">
        <v>-9.246018399805223</v>
      </c>
      <c r="H14" s="28">
        <v>0.8937150533323337</v>
      </c>
      <c r="I14" s="29">
        <v>-8.8381826462975148</v>
      </c>
      <c r="J14" s="28">
        <v>9.2085605139829926E-3</v>
      </c>
      <c r="K14" s="29">
        <v>-11.235732556723589</v>
      </c>
      <c r="L14" s="28">
        <v>5.2186328329238645</v>
      </c>
      <c r="M14" s="29">
        <v>-12.076368941423116</v>
      </c>
      <c r="N14" s="28">
        <v>7.0508538582669935</v>
      </c>
      <c r="O14" s="29">
        <v>-13.167794279332639</v>
      </c>
      <c r="P14" s="28">
        <v>9.4327918722861952</v>
      </c>
      <c r="Q14" s="29">
        <v>-14.271913860367388</v>
      </c>
      <c r="R14" s="28">
        <v>11.845465277768474</v>
      </c>
      <c r="S14" s="29">
        <v>-15.332732191536717</v>
      </c>
      <c r="T14" s="28">
        <v>14.16598519840235</v>
      </c>
      <c r="U14" s="29">
        <v>-16.430040556114015</v>
      </c>
      <c r="V14" s="28">
        <v>16.568840703184218</v>
      </c>
      <c r="W14" s="29"/>
      <c r="X14" s="28"/>
    </row>
    <row r="15" spans="1:28">
      <c r="A15" s="29">
        <v>-5.1395298933872384</v>
      </c>
      <c r="B15" s="28">
        <v>0.15874804884574439</v>
      </c>
      <c r="C15" s="29">
        <v>-6.1119522285103924</v>
      </c>
      <c r="D15" s="28">
        <v>3.8174695907621183</v>
      </c>
      <c r="E15" s="29">
        <v>-5.7717733071933122</v>
      </c>
      <c r="F15" s="28">
        <v>2.5359682912202488</v>
      </c>
      <c r="G15" s="29">
        <v>-5.5128044004450514</v>
      </c>
      <c r="H15" s="28">
        <v>1.5615222343198889</v>
      </c>
      <c r="I15" s="29">
        <v>-5.3062218645492623</v>
      </c>
      <c r="J15" s="28">
        <v>0.7849594218346575</v>
      </c>
      <c r="K15" s="29">
        <v>-6.4841029626840765</v>
      </c>
      <c r="L15" s="28">
        <v>5.2199964857300767</v>
      </c>
      <c r="M15" s="29">
        <v>-6.8753547067617511</v>
      </c>
      <c r="N15" s="28">
        <v>6.6973425692751531</v>
      </c>
      <c r="O15" s="29">
        <v>-7.3679154873850177</v>
      </c>
      <c r="P15" s="28">
        <v>8.5594173603104302</v>
      </c>
      <c r="Q15" s="29">
        <v>-7.8493011160026294</v>
      </c>
      <c r="R15" s="28">
        <v>10.381307844187718</v>
      </c>
      <c r="S15" s="29">
        <v>-8.2965178988068331</v>
      </c>
      <c r="T15" s="28">
        <v>12.075493788170562</v>
      </c>
      <c r="U15" s="29">
        <v>-8.7434548092535174</v>
      </c>
      <c r="V15" s="28">
        <v>13.770222613689945</v>
      </c>
      <c r="W15" s="29"/>
      <c r="X15" s="28"/>
    </row>
    <row r="16" spans="1:28">
      <c r="A16" s="29">
        <v>-2.4293818311260189</v>
      </c>
      <c r="B16" s="28">
        <v>0.57916247380919372</v>
      </c>
      <c r="C16" s="29">
        <v>-2.8437496230018637</v>
      </c>
      <c r="D16" s="28">
        <v>3.9493508454826509</v>
      </c>
      <c r="E16" s="29">
        <v>-2.7001865771867841</v>
      </c>
      <c r="F16" s="28">
        <v>2.7803325328779231</v>
      </c>
      <c r="G16" s="29">
        <v>-2.5898612721911842</v>
      </c>
      <c r="H16" s="28">
        <v>1.8829445424852189</v>
      </c>
      <c r="I16" s="29">
        <v>-2.5012198036326438</v>
      </c>
      <c r="J16" s="28">
        <v>1.1626013797898751</v>
      </c>
      <c r="K16" s="29">
        <v>-2.9999697159805456</v>
      </c>
      <c r="L16" s="28">
        <v>5.2219289910239688</v>
      </c>
      <c r="M16" s="29">
        <v>-3.1613951450094513</v>
      </c>
      <c r="N16" s="28">
        <v>6.539320612075981</v>
      </c>
      <c r="O16" s="29">
        <v>-3.3618071787177368</v>
      </c>
      <c r="P16" s="28">
        <v>8.1767113817184658</v>
      </c>
      <c r="Q16" s="29">
        <v>-3.5546940506311646</v>
      </c>
      <c r="R16" s="28">
        <v>9.7543188590944805</v>
      </c>
      <c r="S16" s="29">
        <v>-3.7312754442331655</v>
      </c>
      <c r="T16" s="28">
        <v>11.199874514611807</v>
      </c>
      <c r="U16" s="29">
        <v>-3.9050162532909942</v>
      </c>
      <c r="V16" s="28">
        <v>12.6234665296315</v>
      </c>
      <c r="W16" s="29"/>
      <c r="X16" s="28"/>
    </row>
    <row r="17" spans="1:28">
      <c r="A17" s="29">
        <v>1.7347973893963819E-2</v>
      </c>
      <c r="B17" s="28">
        <v>0.70575039389580929</v>
      </c>
      <c r="C17" s="29">
        <v>2.0209584631406943E-2</v>
      </c>
      <c r="D17" s="28">
        <v>3.986119970283553</v>
      </c>
      <c r="E17" s="29">
        <v>1.9220587594308444E-2</v>
      </c>
      <c r="F17" s="28">
        <v>2.8511422326864562</v>
      </c>
      <c r="G17" s="29">
        <v>1.8458568109806648E-2</v>
      </c>
      <c r="H17" s="28">
        <v>1.9775279255532732</v>
      </c>
      <c r="I17" s="29">
        <v>1.7845124127890716E-2</v>
      </c>
      <c r="J17" s="28">
        <v>1.2749102144946252</v>
      </c>
      <c r="K17" s="29">
        <v>2.1288567719686138E-2</v>
      </c>
      <c r="L17" s="28">
        <v>5.2248706423387228</v>
      </c>
      <c r="M17" s="29">
        <v>2.2393774969367147E-2</v>
      </c>
      <c r="N17" s="28">
        <v>6.4960152880828783</v>
      </c>
      <c r="O17" s="29">
        <v>2.3760227542006618E-2</v>
      </c>
      <c r="P17" s="28">
        <v>8.069389368020186</v>
      </c>
      <c r="Q17" s="29">
        <v>2.5069404254007398E-2</v>
      </c>
      <c r="R17" s="28">
        <v>9.5783831225332623</v>
      </c>
      <c r="S17" s="29">
        <v>2.6262563460614594E-2</v>
      </c>
      <c r="T17" s="28">
        <v>10.95484757973866</v>
      </c>
      <c r="U17" s="29">
        <v>2.7429650230534865E-2</v>
      </c>
      <c r="V17" s="28">
        <v>12.302516131519477</v>
      </c>
      <c r="W17" s="29"/>
      <c r="X17" s="28"/>
    </row>
    <row r="18" spans="1:28">
      <c r="A18" s="29">
        <v>2.4658577958349444</v>
      </c>
      <c r="B18" s="28">
        <v>0.57537079128213442</v>
      </c>
      <c r="C18" s="29">
        <v>2.8860252972465044</v>
      </c>
      <c r="D18" s="28">
        <v>3.9415174440536451</v>
      </c>
      <c r="E18" s="29">
        <v>2.740289164780382</v>
      </c>
      <c r="F18" s="28">
        <v>2.7725875354938001</v>
      </c>
      <c r="G18" s="29">
        <v>2.6283390915600648</v>
      </c>
      <c r="H18" s="28">
        <v>1.875629815722957</v>
      </c>
      <c r="I18" s="29">
        <v>2.5384547242708377</v>
      </c>
      <c r="J18" s="28">
        <v>1.1561341762581261</v>
      </c>
      <c r="K18" s="29">
        <v>3.046528780406323</v>
      </c>
      <c r="L18" s="28">
        <v>5.2294120452676172</v>
      </c>
      <c r="M18" s="29">
        <v>3.2106777184927022</v>
      </c>
      <c r="N18" s="28">
        <v>6.5489666791605927</v>
      </c>
      <c r="O18" s="29">
        <v>3.4144484629733465</v>
      </c>
      <c r="P18" s="28">
        <v>8.1888655249112201</v>
      </c>
      <c r="Q18" s="29">
        <v>3.610505738905609</v>
      </c>
      <c r="R18" s="28">
        <v>9.7683892249771898</v>
      </c>
      <c r="S18" s="29">
        <v>3.7898566311513866</v>
      </c>
      <c r="T18" s="28">
        <v>11.214630470033676</v>
      </c>
      <c r="U18" s="29">
        <v>3.9656404311032931</v>
      </c>
      <c r="V18" s="28">
        <v>12.633404628291219</v>
      </c>
      <c r="W18" s="29"/>
      <c r="X18" s="28"/>
    </row>
    <row r="19" spans="1:28">
      <c r="A19" s="29">
        <v>5.182174254772729</v>
      </c>
      <c r="B19" s="28">
        <v>0.15002275663713105</v>
      </c>
      <c r="C19" s="29">
        <v>6.1607713027119235</v>
      </c>
      <c r="D19" s="28">
        <v>3.7999955222957538</v>
      </c>
      <c r="E19" s="29">
        <v>5.8176696070000915</v>
      </c>
      <c r="F19" s="28">
        <v>2.5187085019351976</v>
      </c>
      <c r="G19" s="29">
        <v>5.5566885613410637</v>
      </c>
      <c r="H19" s="28">
        <v>1.5452211895912222</v>
      </c>
      <c r="I19" s="29">
        <v>5.3487903120411513</v>
      </c>
      <c r="J19" s="28">
        <v>0.77050347556003229</v>
      </c>
      <c r="K19" s="29">
        <v>6.5453187622649551</v>
      </c>
      <c r="L19" s="28">
        <v>5.2366950475135248</v>
      </c>
      <c r="M19" s="29">
        <v>6.9414176809543422</v>
      </c>
      <c r="N19" s="28">
        <v>6.7193817509320519</v>
      </c>
      <c r="O19" s="29">
        <v>7.4400034469721836</v>
      </c>
      <c r="P19" s="28">
        <v>8.5879006568949183</v>
      </c>
      <c r="Q19" s="29">
        <v>7.9270004217134931</v>
      </c>
      <c r="R19" s="28">
        <v>10.415059999899912</v>
      </c>
      <c r="S19" s="29">
        <v>8.3787819314448839</v>
      </c>
      <c r="T19" s="28">
        <v>12.111715172943976</v>
      </c>
      <c r="U19" s="29">
        <v>8.8267900385666263</v>
      </c>
      <c r="V19" s="28">
        <v>13.795816844285191</v>
      </c>
      <c r="W19" s="29"/>
      <c r="X19" s="28"/>
    </row>
    <row r="20" spans="1:28">
      <c r="A20" s="29">
        <v>8.569253368318428</v>
      </c>
      <c r="B20" s="28">
        <v>-0.7132610067804982</v>
      </c>
      <c r="C20" s="29">
        <v>10.525163737757115</v>
      </c>
      <c r="D20" s="28">
        <v>3.5010471760452075</v>
      </c>
      <c r="E20" s="29">
        <v>9.8244403723953688</v>
      </c>
      <c r="F20" s="28">
        <v>1.9891743114522396</v>
      </c>
      <c r="G20" s="29">
        <v>9.3022196239955708</v>
      </c>
      <c r="H20" s="28">
        <v>0.86388839966977082</v>
      </c>
      <c r="I20" s="29">
        <v>8.8927924118721826</v>
      </c>
      <c r="J20" s="28">
        <v>-1.7375473447913035E-2</v>
      </c>
      <c r="K20" s="29">
        <v>11.335031742072113</v>
      </c>
      <c r="L20" s="28">
        <v>5.2493312815649338</v>
      </c>
      <c r="M20" s="29">
        <v>12.187534904343917</v>
      </c>
      <c r="N20" s="28">
        <v>7.0934846214635616</v>
      </c>
      <c r="O20" s="29">
        <v>13.29439506952232</v>
      </c>
      <c r="P20" s="28">
        <v>9.4910014170246839</v>
      </c>
      <c r="Q20" s="29">
        <v>14.413480031448289</v>
      </c>
      <c r="R20" s="28">
        <v>11.918055380016259</v>
      </c>
      <c r="S20" s="29">
        <v>15.486600635463912</v>
      </c>
      <c r="T20" s="28">
        <v>14.247910331238927</v>
      </c>
      <c r="U20" s="29">
        <v>16.583770183158418</v>
      </c>
      <c r="V20" s="28">
        <v>16.632523856652202</v>
      </c>
      <c r="W20" s="29"/>
      <c r="X20" s="28"/>
    </row>
    <row r="21" spans="1:28">
      <c r="A21" s="29">
        <v>13.486602068056625</v>
      </c>
      <c r="B21" s="28">
        <v>-2.4056000523724239</v>
      </c>
      <c r="C21" s="29">
        <v>17.716599756440402</v>
      </c>
      <c r="D21" s="28">
        <v>2.854788891410927</v>
      </c>
      <c r="E21" s="29">
        <v>16.134489882274739</v>
      </c>
      <c r="F21" s="28">
        <v>0.88410351663768338</v>
      </c>
      <c r="G21" s="29">
        <v>15.004649534474439</v>
      </c>
      <c r="H21" s="28">
        <v>-0.52100934707363777</v>
      </c>
      <c r="I21" s="29">
        <v>14.146834843737063</v>
      </c>
      <c r="J21" s="28">
        <v>-1.5863740905825503</v>
      </c>
      <c r="K21" s="29">
        <v>19.65798632591143</v>
      </c>
      <c r="L21" s="28">
        <v>5.2747917348914122</v>
      </c>
      <c r="M21" s="29">
        <v>21.818807529560821</v>
      </c>
      <c r="N21" s="28">
        <v>7.9749359970386653</v>
      </c>
      <c r="O21" s="29">
        <v>24.839318956709938</v>
      </c>
      <c r="P21" s="28">
        <v>11.75555341039356</v>
      </c>
      <c r="Q21" s="29">
        <v>28.169922818375039</v>
      </c>
      <c r="R21" s="28">
        <v>15.931095480496332</v>
      </c>
      <c r="S21" s="29">
        <v>31.659767911796365</v>
      </c>
      <c r="T21" s="28">
        <v>20.312587376469143</v>
      </c>
      <c r="U21" s="29">
        <v>35.562814462904008</v>
      </c>
      <c r="V21" s="28">
        <v>25.219984033449332</v>
      </c>
      <c r="W21" s="29"/>
      <c r="X21" s="28"/>
    </row>
    <row r="22" spans="1:28">
      <c r="A22" s="29">
        <v>22.529008671213216</v>
      </c>
      <c r="B22" s="28">
        <v>-6.200433996736102</v>
      </c>
      <c r="C22" s="29">
        <v>35.045805909895044</v>
      </c>
      <c r="D22" s="28">
        <v>1.0180064789906584</v>
      </c>
      <c r="E22" s="29">
        <v>29.859251885446351</v>
      </c>
      <c r="F22" s="28">
        <v>-1.9805385027188749</v>
      </c>
      <c r="G22" s="29">
        <v>26.545190749066631</v>
      </c>
      <c r="H22" s="28">
        <v>-3.8914022153316719</v>
      </c>
      <c r="I22" s="29">
        <v>24.217736856261538</v>
      </c>
      <c r="J22" s="28">
        <v>-5.230402452066965</v>
      </c>
      <c r="K22" s="29">
        <v>42.517062905037399</v>
      </c>
      <c r="L22" s="28">
        <v>5.3455990401694686</v>
      </c>
      <c r="M22" s="29">
        <v>52.570197867607547</v>
      </c>
      <c r="N22" s="28">
        <v>11.192873898619236</v>
      </c>
      <c r="O22" s="29">
        <v>71.091721182595521</v>
      </c>
      <c r="P22" s="28">
        <v>22.008141915674397</v>
      </c>
      <c r="Q22" s="29">
        <v>101.33647008813458</v>
      </c>
      <c r="R22" s="28">
        <v>39.756611003132832</v>
      </c>
      <c r="S22" s="29">
        <v>154.57633888914631</v>
      </c>
      <c r="T22" s="28">
        <v>71.181844910051751</v>
      </c>
      <c r="U22" s="29">
        <v>281.79369474214235</v>
      </c>
      <c r="V22" s="28">
        <v>146.80122862295542</v>
      </c>
      <c r="W22" s="29"/>
      <c r="X22" s="28"/>
    </row>
    <row r="23" spans="1:28">
      <c r="A23" s="30">
        <v>49.964436836572631</v>
      </c>
      <c r="B23" s="31">
        <v>-19.255387100417828</v>
      </c>
      <c r="C23" s="30">
        <v>202.37335736747758</v>
      </c>
      <c r="D23" s="31">
        <v>-18.546372375375217</v>
      </c>
      <c r="E23" s="30">
        <v>104.28839599457974</v>
      </c>
      <c r="F23" s="31">
        <v>-19.167868739997722</v>
      </c>
      <c r="G23" s="30">
        <v>73.665099648826811</v>
      </c>
      <c r="H23" s="31">
        <v>-19.250410779017141</v>
      </c>
      <c r="I23" s="30">
        <v>58.667588551340671</v>
      </c>
      <c r="J23" s="31">
        <v>-19.260526201362499</v>
      </c>
      <c r="K23" s="30">
        <v>1984.5443419841085</v>
      </c>
      <c r="L23" s="31">
        <v>4.546434427727859</v>
      </c>
      <c r="M23" s="30"/>
      <c r="N23" s="31"/>
      <c r="O23" s="30"/>
      <c r="P23" s="31"/>
      <c r="Q23" s="30"/>
      <c r="R23" s="31"/>
      <c r="S23" s="30"/>
      <c r="T23" s="31"/>
      <c r="U23" s="30"/>
      <c r="V23" s="31"/>
      <c r="W23" s="30"/>
      <c r="X23" s="31"/>
    </row>
    <row r="24" spans="1:28" s="6" customFormat="1">
      <c r="A24" s="33"/>
      <c r="B24" s="34">
        <v>6</v>
      </c>
      <c r="C24" s="33"/>
      <c r="D24" s="34">
        <v>7</v>
      </c>
      <c r="E24" s="33"/>
      <c r="F24" s="34">
        <v>8</v>
      </c>
      <c r="G24" s="33"/>
      <c r="H24" s="34">
        <v>9</v>
      </c>
      <c r="I24" s="33"/>
      <c r="J24" s="34">
        <v>10</v>
      </c>
      <c r="K24" s="33"/>
      <c r="L24" s="34">
        <v>11</v>
      </c>
      <c r="M24" s="33"/>
      <c r="N24" s="34">
        <v>12</v>
      </c>
      <c r="O24" s="33"/>
      <c r="P24" s="34">
        <v>13</v>
      </c>
      <c r="Q24" s="33"/>
      <c r="R24" s="34">
        <v>14</v>
      </c>
      <c r="S24" s="33"/>
      <c r="T24" s="34">
        <v>15</v>
      </c>
      <c r="U24" s="33"/>
      <c r="V24" s="34">
        <v>16</v>
      </c>
      <c r="W24" s="33"/>
      <c r="X24" s="34"/>
      <c r="Y24" s="35"/>
      <c r="Z24" s="34"/>
      <c r="AB24" s="38"/>
    </row>
    <row r="25" spans="1:28">
      <c r="A25" s="29">
        <v>-49.148609298330996</v>
      </c>
      <c r="B25" s="28">
        <v>-18.855326445931574</v>
      </c>
      <c r="C25" s="29">
        <v>-22.338188880645038</v>
      </c>
      <c r="D25" s="28">
        <v>-6.1151896306680733</v>
      </c>
      <c r="E25" s="29">
        <v>-13.396890594976956</v>
      </c>
      <c r="F25" s="28">
        <v>-2.3714408767149773</v>
      </c>
      <c r="G25" s="29">
        <v>-8.5126179609716353</v>
      </c>
      <c r="H25" s="28">
        <v>-0.6963654822192582</v>
      </c>
      <c r="I25" s="29">
        <v>-5.1395298933872384</v>
      </c>
      <c r="J25" s="28">
        <v>0.15874804884574439</v>
      </c>
      <c r="K25" s="29">
        <v>-2.4293818311260189</v>
      </c>
      <c r="L25" s="28">
        <v>0.57916247380919372</v>
      </c>
      <c r="M25" s="29">
        <v>1.7347973893963819E-2</v>
      </c>
      <c r="N25" s="28">
        <v>0.70575039389580929</v>
      </c>
      <c r="O25" s="29">
        <v>2.4658577958349444</v>
      </c>
      <c r="P25" s="28">
        <v>0.57537079128213442</v>
      </c>
      <c r="Q25" s="29">
        <v>5.182174254772729</v>
      </c>
      <c r="R25" s="28">
        <v>0.15002275663713105</v>
      </c>
      <c r="S25" s="29">
        <v>8.569253368318428</v>
      </c>
      <c r="T25" s="28">
        <v>-0.7132610067804982</v>
      </c>
      <c r="U25" s="29">
        <v>13.486602068056625</v>
      </c>
      <c r="V25" s="28">
        <v>-2.4056000523724239</v>
      </c>
      <c r="W25" s="29"/>
      <c r="X25" s="28"/>
      <c r="Z25" s="28"/>
    </row>
    <row r="26" spans="1:28">
      <c r="A26" s="29">
        <v>-195.62599090333524</v>
      </c>
      <c r="B26" s="28">
        <v>-17.004064326312573</v>
      </c>
      <c r="C26" s="29">
        <v>-34.766512888470523</v>
      </c>
      <c r="D26" s="28">
        <v>1.1609570125618887</v>
      </c>
      <c r="E26" s="29">
        <v>-17.610984422838147</v>
      </c>
      <c r="F26" s="28">
        <v>2.9151207042696061</v>
      </c>
      <c r="G26" s="29">
        <v>-10.460793120397629</v>
      </c>
      <c r="H26" s="28">
        <v>3.5331339660435299</v>
      </c>
      <c r="I26" s="29">
        <v>-6.1119522285103924</v>
      </c>
      <c r="J26" s="28">
        <v>3.8174695907621183</v>
      </c>
      <c r="K26" s="29">
        <v>-2.8437496230018637</v>
      </c>
      <c r="L26" s="28">
        <v>3.9493508454826509</v>
      </c>
      <c r="M26" s="29">
        <v>2.0209584631406943E-2</v>
      </c>
      <c r="N26" s="28">
        <v>3.986119970283553</v>
      </c>
      <c r="O26" s="29">
        <v>2.8860252972465044</v>
      </c>
      <c r="P26" s="28">
        <v>3.9415174440536451</v>
      </c>
      <c r="Q26" s="29">
        <v>6.1607713027119235</v>
      </c>
      <c r="R26" s="28">
        <v>3.7999955222957538</v>
      </c>
      <c r="S26" s="29">
        <v>10.525163737757115</v>
      </c>
      <c r="T26" s="28">
        <v>3.5010471760452075</v>
      </c>
      <c r="U26" s="29">
        <v>17.716599756440402</v>
      </c>
      <c r="V26" s="28">
        <v>2.854788891410927</v>
      </c>
      <c r="W26" s="29"/>
      <c r="X26" s="28"/>
      <c r="Z26" s="28"/>
    </row>
    <row r="27" spans="1:28">
      <c r="A27" s="29">
        <v>-102.29821884410366</v>
      </c>
      <c r="B27" s="28">
        <v>-18.341450057571301</v>
      </c>
      <c r="C27" s="29">
        <v>-29.643186452643718</v>
      </c>
      <c r="D27" s="28">
        <v>-1.8458944389928427</v>
      </c>
      <c r="E27" s="29">
        <v>-16.041495193694615</v>
      </c>
      <c r="F27" s="28">
        <v>0.94302611211382714</v>
      </c>
      <c r="G27" s="29">
        <v>-9.765124335954189</v>
      </c>
      <c r="H27" s="28">
        <v>2.0207795540393421</v>
      </c>
      <c r="I27" s="29">
        <v>-5.7717733071933122</v>
      </c>
      <c r="J27" s="28">
        <v>2.5359682912202488</v>
      </c>
      <c r="K27" s="29">
        <v>-2.7001865771867841</v>
      </c>
      <c r="L27" s="28">
        <v>2.7803325328779231</v>
      </c>
      <c r="M27" s="29">
        <v>1.9220587594308444E-2</v>
      </c>
      <c r="N27" s="28">
        <v>2.8511422326864562</v>
      </c>
      <c r="O27" s="29">
        <v>2.740289164780382</v>
      </c>
      <c r="P27" s="28">
        <v>2.7725875354938001</v>
      </c>
      <c r="Q27" s="29">
        <v>5.8176696070000915</v>
      </c>
      <c r="R27" s="28">
        <v>2.5187085019351976</v>
      </c>
      <c r="S27" s="29">
        <v>9.8244403723953688</v>
      </c>
      <c r="T27" s="28">
        <v>1.9891743114522396</v>
      </c>
      <c r="U27" s="29">
        <v>16.134489882274739</v>
      </c>
      <c r="V27" s="28">
        <v>0.88410351663768338</v>
      </c>
      <c r="W27" s="29"/>
      <c r="X27" s="28"/>
      <c r="Z27" s="28"/>
    </row>
    <row r="28" spans="1:28">
      <c r="A28" s="29">
        <v>-72.558103943281793</v>
      </c>
      <c r="B28" s="28">
        <v>-18.661245151483715</v>
      </c>
      <c r="C28" s="29">
        <v>-26.35983311043822</v>
      </c>
      <c r="D28" s="28">
        <v>-3.7677929688542497</v>
      </c>
      <c r="E28" s="29">
        <v>-14.918640985630287</v>
      </c>
      <c r="F28" s="28">
        <v>-0.46564575437917954</v>
      </c>
      <c r="G28" s="29">
        <v>-9.246018399805223</v>
      </c>
      <c r="H28" s="28">
        <v>0.8937150533323337</v>
      </c>
      <c r="I28" s="29">
        <v>-5.5128044004450514</v>
      </c>
      <c r="J28" s="28">
        <v>1.5615222343198889</v>
      </c>
      <c r="K28" s="29">
        <v>-2.5898612721911842</v>
      </c>
      <c r="L28" s="28">
        <v>1.8829445424852189</v>
      </c>
      <c r="M28" s="29">
        <v>1.8458568109806648E-2</v>
      </c>
      <c r="N28" s="28">
        <v>1.9775279255532732</v>
      </c>
      <c r="O28" s="29">
        <v>2.6283390915600648</v>
      </c>
      <c r="P28" s="28">
        <v>1.875629815722957</v>
      </c>
      <c r="Q28" s="29">
        <v>5.5566885613410637</v>
      </c>
      <c r="R28" s="28">
        <v>1.5452211895912222</v>
      </c>
      <c r="S28" s="29">
        <v>9.3022196239955708</v>
      </c>
      <c r="T28" s="28">
        <v>0.86388839966977082</v>
      </c>
      <c r="U28" s="29">
        <v>15.004649534474439</v>
      </c>
      <c r="V28" s="28">
        <v>-0.52100934707363777</v>
      </c>
      <c r="W28" s="29"/>
      <c r="X28" s="28"/>
      <c r="Z28" s="28"/>
    </row>
    <row r="29" spans="1:28">
      <c r="A29" s="29">
        <v>-57.854081564836612</v>
      </c>
      <c r="B29" s="28">
        <v>-18.789974473380045</v>
      </c>
      <c r="C29" s="29">
        <v>-24.045249980868284</v>
      </c>
      <c r="D29" s="28">
        <v>-5.1196483969498976</v>
      </c>
      <c r="E29" s="29">
        <v>-14.063730807079443</v>
      </c>
      <c r="F29" s="28">
        <v>-1.5367263894339416</v>
      </c>
      <c r="G29" s="29">
        <v>-8.8381826462975148</v>
      </c>
      <c r="H29" s="28">
        <v>9.2085605139829926E-3</v>
      </c>
      <c r="I29" s="29">
        <v>-5.3062218645492623</v>
      </c>
      <c r="J29" s="28">
        <v>0.7849594218346575</v>
      </c>
      <c r="K29" s="29">
        <v>-2.5012198036326438</v>
      </c>
      <c r="L29" s="28">
        <v>1.1626013797898751</v>
      </c>
      <c r="M29" s="29">
        <v>1.7845124127890716E-2</v>
      </c>
      <c r="N29" s="28">
        <v>1.2749102144946252</v>
      </c>
      <c r="O29" s="29">
        <v>2.5384547242708377</v>
      </c>
      <c r="P29" s="28">
        <v>1.1561341762581261</v>
      </c>
      <c r="Q29" s="29">
        <v>5.3487903120411513</v>
      </c>
      <c r="R29" s="28">
        <v>0.77050347556003229</v>
      </c>
      <c r="S29" s="29">
        <v>8.8927924118721826</v>
      </c>
      <c r="T29" s="28">
        <v>-1.7375473447913035E-2</v>
      </c>
      <c r="U29" s="29">
        <v>14.146834843737063</v>
      </c>
      <c r="V29" s="28">
        <v>-1.5863740905825503</v>
      </c>
      <c r="W29" s="29"/>
      <c r="X29" s="28"/>
      <c r="Z29" s="28"/>
    </row>
    <row r="30" spans="1:28">
      <c r="A30" s="29">
        <v>-1082.6846431433626</v>
      </c>
      <c r="B30" s="28">
        <v>1.1025258044438231</v>
      </c>
      <c r="C30" s="29">
        <v>-41.646377648664846</v>
      </c>
      <c r="D30" s="28">
        <v>5.2056455815299882</v>
      </c>
      <c r="E30" s="29">
        <v>-19.441576353395185</v>
      </c>
      <c r="F30" s="28">
        <v>5.2168407345448147</v>
      </c>
      <c r="G30" s="29">
        <v>-11.235732556723589</v>
      </c>
      <c r="H30" s="28">
        <v>5.2186328329238645</v>
      </c>
      <c r="I30" s="29">
        <v>-6.4841029626840765</v>
      </c>
      <c r="J30" s="28">
        <v>5.2199964857300767</v>
      </c>
      <c r="K30" s="29">
        <v>-2.9999697159805456</v>
      </c>
      <c r="L30" s="28">
        <v>5.2219289910239688</v>
      </c>
      <c r="M30" s="29">
        <v>2.1288567719686138E-2</v>
      </c>
      <c r="N30" s="28">
        <v>5.2248706423387228</v>
      </c>
      <c r="O30" s="29">
        <v>3.046528780406323</v>
      </c>
      <c r="P30" s="28">
        <v>5.2294120452676172</v>
      </c>
      <c r="Q30" s="29">
        <v>6.5453187622649551</v>
      </c>
      <c r="R30" s="28">
        <v>5.2366950475135248</v>
      </c>
      <c r="S30" s="29">
        <v>11.335031742072113</v>
      </c>
      <c r="T30" s="28">
        <v>5.2493312815649338</v>
      </c>
      <c r="U30" s="29">
        <v>19.65798632591143</v>
      </c>
      <c r="V30" s="28">
        <v>5.2747917348914122</v>
      </c>
      <c r="W30" s="29"/>
      <c r="X30" s="28"/>
      <c r="Z30" s="28"/>
    </row>
    <row r="31" spans="1:28">
      <c r="A31" s="29">
        <v>0</v>
      </c>
      <c r="B31" s="28">
        <v>0</v>
      </c>
      <c r="C31" s="29">
        <v>-51.263740028608971</v>
      </c>
      <c r="D31" s="28">
        <v>10.882793989573164</v>
      </c>
      <c r="E31" s="29">
        <v>-21.558221252224207</v>
      </c>
      <c r="F31" s="28">
        <v>7.8847970060418637</v>
      </c>
      <c r="G31" s="29">
        <v>-12.076368941423116</v>
      </c>
      <c r="H31" s="28">
        <v>7.0508538582669935</v>
      </c>
      <c r="I31" s="29">
        <v>-6.8753547067617511</v>
      </c>
      <c r="J31" s="28">
        <v>6.6973425692751531</v>
      </c>
      <c r="K31" s="29">
        <v>-3.1613951450094513</v>
      </c>
      <c r="L31" s="28">
        <v>6.539320612075981</v>
      </c>
      <c r="M31" s="29">
        <v>2.2393774969367147E-2</v>
      </c>
      <c r="N31" s="28">
        <v>6.4960152880828783</v>
      </c>
      <c r="O31" s="29">
        <v>3.2106777184927022</v>
      </c>
      <c r="P31" s="28">
        <v>6.5489666791605927</v>
      </c>
      <c r="Q31" s="29">
        <v>6.9414176809543422</v>
      </c>
      <c r="R31" s="28">
        <v>6.7193817509320519</v>
      </c>
      <c r="S31" s="29">
        <v>12.187534904343917</v>
      </c>
      <c r="T31" s="28">
        <v>7.0934846214635616</v>
      </c>
      <c r="U31" s="29">
        <v>21.818807529560821</v>
      </c>
      <c r="V31" s="28">
        <v>7.9749359970386653</v>
      </c>
      <c r="W31" s="29"/>
      <c r="X31" s="28"/>
      <c r="Z31" s="28"/>
    </row>
    <row r="32" spans="1:28">
      <c r="A32" s="29">
        <v>0</v>
      </c>
      <c r="B32" s="28">
        <v>0</v>
      </c>
      <c r="C32" s="29">
        <v>-68.794346214199791</v>
      </c>
      <c r="D32" s="28">
        <v>21.27064309593084</v>
      </c>
      <c r="E32" s="29">
        <v>-24.513660469593674</v>
      </c>
      <c r="F32" s="28">
        <v>11.616120761487513</v>
      </c>
      <c r="G32" s="29">
        <v>-13.167794279332639</v>
      </c>
      <c r="H32" s="28">
        <v>9.4327918722861952</v>
      </c>
      <c r="I32" s="29">
        <v>-7.3679154873850177</v>
      </c>
      <c r="J32" s="28">
        <v>8.5594173603104302</v>
      </c>
      <c r="K32" s="29">
        <v>-3.3618071787177368</v>
      </c>
      <c r="L32" s="28">
        <v>8.1767113817184658</v>
      </c>
      <c r="M32" s="29">
        <v>2.3760227542006618E-2</v>
      </c>
      <c r="N32" s="28">
        <v>8.069389368020186</v>
      </c>
      <c r="O32" s="29">
        <v>3.4144484629733465</v>
      </c>
      <c r="P32" s="28">
        <v>8.1888655249112201</v>
      </c>
      <c r="Q32" s="29">
        <v>7.4400034469721836</v>
      </c>
      <c r="R32" s="28">
        <v>8.5879006568949183</v>
      </c>
      <c r="S32" s="29">
        <v>13.29439506952232</v>
      </c>
      <c r="T32" s="28">
        <v>9.4910014170246839</v>
      </c>
      <c r="U32" s="29">
        <v>24.839318956709938</v>
      </c>
      <c r="V32" s="28">
        <v>11.75555341039356</v>
      </c>
      <c r="W32" s="29"/>
      <c r="X32" s="28"/>
      <c r="Z32" s="28"/>
    </row>
    <row r="33" spans="1:26">
      <c r="A33" s="29">
        <v>0</v>
      </c>
      <c r="B33" s="28">
        <v>0</v>
      </c>
      <c r="C33" s="29">
        <v>-96.959121746668799</v>
      </c>
      <c r="D33" s="28">
        <v>38.039340837560246</v>
      </c>
      <c r="E33" s="29">
        <v>-27.770820483042328</v>
      </c>
      <c r="F33" s="28">
        <v>15.735033243613449</v>
      </c>
      <c r="G33" s="29">
        <v>-14.271913860367388</v>
      </c>
      <c r="H33" s="28">
        <v>11.845465277768474</v>
      </c>
      <c r="I33" s="29">
        <v>-7.8493011160026294</v>
      </c>
      <c r="J33" s="28">
        <v>10.381307844187718</v>
      </c>
      <c r="K33" s="29">
        <v>-3.5546940506311646</v>
      </c>
      <c r="L33" s="28">
        <v>9.7543188590944805</v>
      </c>
      <c r="M33" s="29">
        <v>2.5069404254007398E-2</v>
      </c>
      <c r="N33" s="28">
        <v>9.5783831225332623</v>
      </c>
      <c r="O33" s="29">
        <v>3.610505738905609</v>
      </c>
      <c r="P33" s="28">
        <v>9.7683892249771898</v>
      </c>
      <c r="Q33" s="29">
        <v>7.9270004217134931</v>
      </c>
      <c r="R33" s="28">
        <v>10.415059999899912</v>
      </c>
      <c r="S33" s="29">
        <v>14.413480031448289</v>
      </c>
      <c r="T33" s="28">
        <v>11.918055380016259</v>
      </c>
      <c r="U33" s="29">
        <v>28.169922818375039</v>
      </c>
      <c r="V33" s="28">
        <v>15.931095480496332</v>
      </c>
      <c r="W33" s="29"/>
      <c r="X33" s="28"/>
      <c r="Z33" s="28"/>
    </row>
    <row r="34" spans="1:26">
      <c r="A34" s="29">
        <v>0</v>
      </c>
      <c r="B34" s="28">
        <v>0</v>
      </c>
      <c r="C34" s="29">
        <v>-145.39994160393806</v>
      </c>
      <c r="D34" s="28">
        <v>67.040984614591366</v>
      </c>
      <c r="E34" s="29">
        <v>-31.188325070456159</v>
      </c>
      <c r="F34" s="28">
        <v>20.062886454685842</v>
      </c>
      <c r="G34" s="29">
        <v>-15.332732191536717</v>
      </c>
      <c r="H34" s="28">
        <v>14.16598519840235</v>
      </c>
      <c r="I34" s="29">
        <v>-8.2965178988068331</v>
      </c>
      <c r="J34" s="28">
        <v>12.075493788170562</v>
      </c>
      <c r="K34" s="29">
        <v>-3.7312754442331655</v>
      </c>
      <c r="L34" s="28">
        <v>11.199874514611807</v>
      </c>
      <c r="M34" s="29">
        <v>2.6262563460614594E-2</v>
      </c>
      <c r="N34" s="28">
        <v>10.95484757973866</v>
      </c>
      <c r="O34" s="29">
        <v>3.7898566311513866</v>
      </c>
      <c r="P34" s="28">
        <v>11.214630470033676</v>
      </c>
      <c r="Q34" s="29">
        <v>8.3787819314448839</v>
      </c>
      <c r="R34" s="28">
        <v>12.111715172943976</v>
      </c>
      <c r="S34" s="29">
        <v>15.486600635463912</v>
      </c>
      <c r="T34" s="28">
        <v>14.247910331238927</v>
      </c>
      <c r="U34" s="29">
        <v>31.659767911796365</v>
      </c>
      <c r="V34" s="28">
        <v>20.312587376469143</v>
      </c>
      <c r="W34" s="29"/>
      <c r="X34" s="28"/>
      <c r="Z34" s="28"/>
    </row>
    <row r="35" spans="1:26">
      <c r="A35" s="29">
        <v>0</v>
      </c>
      <c r="B35" s="28">
        <v>0</v>
      </c>
      <c r="C35" s="29">
        <v>-258.83821432899447</v>
      </c>
      <c r="D35" s="28">
        <v>135.42090989371877</v>
      </c>
      <c r="E35" s="29">
        <v>-35.068615718361791</v>
      </c>
      <c r="F35" s="28">
        <v>24.983805457372512</v>
      </c>
      <c r="G35" s="29">
        <v>-16.430040556114015</v>
      </c>
      <c r="H35" s="28">
        <v>16.568840703184218</v>
      </c>
      <c r="I35" s="29">
        <v>-8.7434548092535174</v>
      </c>
      <c r="J35" s="28">
        <v>13.770222613689945</v>
      </c>
      <c r="K35" s="29">
        <v>-3.9050162532909942</v>
      </c>
      <c r="L35" s="28">
        <v>12.6234665296315</v>
      </c>
      <c r="M35" s="29">
        <v>2.7429650230534865E-2</v>
      </c>
      <c r="N35" s="28">
        <v>12.302516131519477</v>
      </c>
      <c r="O35" s="29">
        <v>3.9656404311032931</v>
      </c>
      <c r="P35" s="28">
        <v>12.633404628291219</v>
      </c>
      <c r="Q35" s="29">
        <v>8.8267900385666263</v>
      </c>
      <c r="R35" s="28">
        <v>13.795816844285191</v>
      </c>
      <c r="S35" s="29">
        <v>16.583770183158418</v>
      </c>
      <c r="T35" s="28">
        <v>16.632523856652202</v>
      </c>
      <c r="U35" s="29">
        <v>35.562814462904008</v>
      </c>
      <c r="V35" s="28">
        <v>25.219984033449332</v>
      </c>
      <c r="W35" s="29"/>
      <c r="X35" s="28"/>
      <c r="Z35" s="28"/>
    </row>
    <row r="36" spans="1:26">
      <c r="A36" s="30"/>
      <c r="B36" s="31"/>
      <c r="C36" s="30"/>
      <c r="D36" s="31"/>
      <c r="E36" s="30"/>
      <c r="F36" s="31"/>
      <c r="G36" s="30"/>
      <c r="H36" s="31"/>
      <c r="I36" s="30"/>
      <c r="J36" s="31"/>
      <c r="K36" s="30"/>
      <c r="L36" s="31"/>
      <c r="M36" s="30"/>
      <c r="N36" s="31"/>
      <c r="O36" s="30"/>
      <c r="P36" s="31"/>
      <c r="Q36" s="30"/>
      <c r="R36" s="31"/>
      <c r="S36" s="30"/>
      <c r="T36" s="31"/>
      <c r="U36" s="30"/>
      <c r="V36" s="31"/>
      <c r="W36" s="30"/>
      <c r="X36" s="31"/>
      <c r="Y36" s="32"/>
      <c r="Z36" s="3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VectorGnom">
                <anchor moveWithCells="1" sizeWithCells="1">
                  <from>
                    <xdr:col>4</xdr:col>
                    <xdr:colOff>657225</xdr:colOff>
                    <xdr:row>3</xdr:row>
                    <xdr:rowOff>123825</xdr:rowOff>
                  </from>
                  <to>
                    <xdr:col>8</xdr:col>
                    <xdr:colOff>133350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List Box 5">
              <controlPr defaultSize="0" autoLine="0" autoPict="0">
                <anchor moveWithCells="1">
                  <from>
                    <xdr:col>0</xdr:col>
                    <xdr:colOff>571500</xdr:colOff>
                    <xdr:row>2</xdr:row>
                    <xdr:rowOff>9525</xdr:rowOff>
                  </from>
                  <to>
                    <xdr:col>2</xdr:col>
                    <xdr:colOff>542925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6" name="Option Button 7">
              <controlPr defaultSize="0" autoFill="0" autoLine="0" autoPict="0">
                <anchor moveWithCells="1">
                  <from>
                    <xdr:col>2</xdr:col>
                    <xdr:colOff>609600</xdr:colOff>
                    <xdr:row>2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7" name="Option Button 8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161925</xdr:rowOff>
                  </from>
                  <to>
                    <xdr:col>4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F13B-24EB-4A5B-8692-2B66EA5D1CB0}">
  <sheetPr codeName="Sheet9"/>
  <dimension ref="A2:M13"/>
  <sheetViews>
    <sheetView workbookViewId="0">
      <selection activeCell="B13" sqref="B13"/>
    </sheetView>
  </sheetViews>
  <sheetFormatPr defaultRowHeight="15"/>
  <cols>
    <col min="2" max="2" width="18.28515625" customWidth="1"/>
    <col min="8" max="8" width="10.5703125" customWidth="1"/>
    <col min="9" max="9" width="10.42578125" customWidth="1"/>
  </cols>
  <sheetData>
    <row r="2" spans="1:13">
      <c r="A2" t="s">
        <v>70</v>
      </c>
      <c r="B2" t="s">
        <v>70</v>
      </c>
      <c r="C2" s="2" t="str" cm="1">
        <f t="array" ref="C2:C6">Enter!B2:B6</f>
        <v>Tehran</v>
      </c>
      <c r="E2" t="s">
        <v>30</v>
      </c>
      <c r="F2" t="s">
        <v>31</v>
      </c>
      <c r="G2" t="s">
        <v>32</v>
      </c>
    </row>
    <row r="3" spans="1:13">
      <c r="A3" t="s">
        <v>71</v>
      </c>
      <c r="B3" t="s">
        <v>71</v>
      </c>
      <c r="C3" s="2">
        <v>51.349758148193303</v>
      </c>
      <c r="D3" s="60" t="s">
        <v>13</v>
      </c>
      <c r="E3">
        <f>RADIANS(C3)</f>
        <v>0.89622234978875948</v>
      </c>
    </row>
    <row r="4" spans="1:13">
      <c r="A4" t="s">
        <v>72</v>
      </c>
      <c r="B4" t="s">
        <v>72</v>
      </c>
      <c r="C4" s="2">
        <v>35.702907562255803</v>
      </c>
      <c r="D4" s="2" t="s">
        <v>12</v>
      </c>
      <c r="E4">
        <f>RADIANS(C4)</f>
        <v>0.62313328949654612</v>
      </c>
      <c r="F4">
        <f>SIN(E4)</f>
        <v>0.58358242102950053</v>
      </c>
      <c r="G4">
        <f>COS(E4)</f>
        <v>0.81205391315192044</v>
      </c>
    </row>
    <row r="5" spans="1:13">
      <c r="A5" t="s">
        <v>73</v>
      </c>
      <c r="B5" t="s">
        <v>73</v>
      </c>
      <c r="C5" s="2">
        <v>1368</v>
      </c>
      <c r="D5" s="2"/>
    </row>
    <row r="6" spans="1:13">
      <c r="A6" t="s">
        <v>74</v>
      </c>
      <c r="B6" t="s">
        <v>74</v>
      </c>
      <c r="C6" s="2">
        <v>3.5</v>
      </c>
    </row>
    <row r="7" spans="1:13">
      <c r="A7" s="11" t="s">
        <v>75</v>
      </c>
      <c r="B7" s="99" t="s">
        <v>75</v>
      </c>
      <c r="C7" s="2">
        <f>D7*4</f>
        <v>-4.6009674072267899</v>
      </c>
      <c r="D7" s="2">
        <f>C3-C6*15</f>
        <v>-1.1502418518066975</v>
      </c>
      <c r="E7">
        <f>RADIANS(C7)</f>
        <v>-8.0302030033054236E-2</v>
      </c>
    </row>
    <row r="10" spans="1:13">
      <c r="B10" s="82">
        <f ca="1">TODAY()</f>
        <v>44991</v>
      </c>
    </row>
    <row r="11" spans="1:13">
      <c r="K11" t="s">
        <v>67</v>
      </c>
    </row>
    <row r="12" spans="1:13">
      <c r="B12" t="s">
        <v>63</v>
      </c>
      <c r="C12" t="s">
        <v>29</v>
      </c>
      <c r="D12" t="s">
        <v>0</v>
      </c>
      <c r="E12" t="s">
        <v>44</v>
      </c>
      <c r="F12" t="s">
        <v>64</v>
      </c>
      <c r="G12" t="s">
        <v>65</v>
      </c>
      <c r="H12" t="s">
        <v>69</v>
      </c>
      <c r="I12" t="s">
        <v>68</v>
      </c>
      <c r="J12" t="s">
        <v>45</v>
      </c>
      <c r="K12" t="s">
        <v>66</v>
      </c>
    </row>
    <row r="13" spans="1:13">
      <c r="B13">
        <v>2023</v>
      </c>
      <c r="C13">
        <v>2</v>
      </c>
      <c r="D13">
        <v>19</v>
      </c>
      <c r="E13">
        <v>13</v>
      </c>
      <c r="F13">
        <v>23</v>
      </c>
      <c r="G13">
        <v>36</v>
      </c>
      <c r="H13">
        <f>E13+F13/60+G13/3600</f>
        <v>13.393333333333333</v>
      </c>
      <c r="I13">
        <v>71.5</v>
      </c>
      <c r="J13">
        <v>39</v>
      </c>
      <c r="K13" cm="1">
        <f t="array" ref="K13">sun_Azimuth($C$3,$C$4,$C$5,$C$6,B13,C13,D13,H13)-180</f>
        <v>21.221079024551955</v>
      </c>
      <c r="L13">
        <f>DEGREES(ATAN(J13/I13))</f>
        <v>28.610459665965216</v>
      </c>
      <c r="M13">
        <f>L13+K13</f>
        <v>49.831538690517171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5E36-57DF-41D1-AF55-92A923B87373}">
  <sheetPr codeName="Sheet6"/>
  <dimension ref="A1:Z22"/>
  <sheetViews>
    <sheetView zoomScaleNormal="100" workbookViewId="0"/>
  </sheetViews>
  <sheetFormatPr defaultRowHeight="15"/>
  <cols>
    <col min="1" max="1" width="14" bestFit="1" customWidth="1"/>
    <col min="2" max="2" width="12.28515625" bestFit="1" customWidth="1"/>
    <col min="3" max="3" width="12.28515625" customWidth="1"/>
    <col min="4" max="4" width="11.28515625" bestFit="1" customWidth="1"/>
    <col min="5" max="5" width="12.28515625" bestFit="1" customWidth="1"/>
    <col min="6" max="6" width="11.5703125" bestFit="1" customWidth="1"/>
    <col min="7" max="9" width="11.28515625" bestFit="1" customWidth="1"/>
    <col min="10" max="10" width="12.28515625" bestFit="1" customWidth="1"/>
    <col min="11" max="11" width="11.28515625" bestFit="1" customWidth="1"/>
    <col min="12" max="12" width="12.28515625" customWidth="1"/>
    <col min="13" max="13" width="11.28515625" customWidth="1"/>
    <col min="14" max="14" width="12.28515625" bestFit="1" customWidth="1"/>
    <col min="15" max="15" width="11.28515625" bestFit="1" customWidth="1"/>
    <col min="16" max="16" width="12.28515625" bestFit="1" customWidth="1"/>
    <col min="17" max="17" width="11.28515625" bestFit="1" customWidth="1"/>
    <col min="18" max="18" width="12.28515625" bestFit="1" customWidth="1"/>
    <col min="19" max="20" width="11.28515625" bestFit="1" customWidth="1"/>
    <col min="21" max="21" width="12.28515625" bestFit="1" customWidth="1"/>
    <col min="22" max="22" width="11.28515625" bestFit="1" customWidth="1"/>
    <col min="23" max="23" width="12.28515625" bestFit="1" customWidth="1"/>
    <col min="24" max="24" width="11.28515625" bestFit="1" customWidth="1"/>
    <col min="25" max="25" width="12.28515625" bestFit="1" customWidth="1"/>
    <col min="26" max="26" width="11.42578125" customWidth="1"/>
  </cols>
  <sheetData>
    <row r="1" spans="1:18" s="8" customFormat="1" ht="22.5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G1" s="88" t="s">
        <v>171</v>
      </c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18" s="2" customFormat="1">
      <c r="A2" s="2" t="str">
        <f>Enter!B2</f>
        <v>Tehran</v>
      </c>
      <c r="B2" s="2">
        <v>46.289150238037102</v>
      </c>
      <c r="C2" s="2">
        <v>38.079292297363203</v>
      </c>
      <c r="D2" s="2">
        <v>1210</v>
      </c>
      <c r="E2" s="2">
        <v>3.5</v>
      </c>
      <c r="K2" s="2">
        <v>128.0792922973632</v>
      </c>
      <c r="L2" s="2">
        <v>0</v>
      </c>
      <c r="M2" s="2">
        <v>10</v>
      </c>
      <c r="O2" s="2">
        <v>90</v>
      </c>
      <c r="P2" s="2">
        <v>0</v>
      </c>
      <c r="Q2" s="2">
        <v>0</v>
      </c>
    </row>
    <row r="3" spans="1:18">
      <c r="K3">
        <v>51.920707702636797</v>
      </c>
      <c r="L3">
        <v>180</v>
      </c>
    </row>
    <row r="5" spans="1:18">
      <c r="A5" s="1">
        <v>-48.994370690218638</v>
      </c>
      <c r="B5" s="1">
        <v>5.3318793832880571</v>
      </c>
      <c r="C5" s="1">
        <v>-22.929068738778742</v>
      </c>
      <c r="D5" s="1">
        <v>2.4952872577807472</v>
      </c>
      <c r="E5" s="1">
        <v>48.994370690218638</v>
      </c>
      <c r="F5" s="1">
        <v>-5.3318793832880571</v>
      </c>
      <c r="G5" s="1">
        <v>22.929068738778742</v>
      </c>
      <c r="H5" s="1">
        <v>-2.4952872577807472</v>
      </c>
    </row>
    <row r="6" spans="1:18">
      <c r="A6" s="1">
        <v>-48.704919921534277</v>
      </c>
      <c r="B6" s="1">
        <v>-7.5304762482475649</v>
      </c>
      <c r="C6" s="1">
        <v>-22.79360753215116</v>
      </c>
      <c r="D6" s="1">
        <v>-3.5242172743384317</v>
      </c>
      <c r="E6" s="1">
        <v>48.704919921534277</v>
      </c>
      <c r="F6" s="1">
        <v>7.5304762482475649</v>
      </c>
      <c r="G6" s="1">
        <v>22.79360753215116</v>
      </c>
      <c r="H6" s="1">
        <v>3.5242172743384317</v>
      </c>
    </row>
    <row r="7" spans="1:18">
      <c r="A7" s="1">
        <v>-45.096309343819414</v>
      </c>
      <c r="B7" s="1">
        <v>-19.879642367382594</v>
      </c>
      <c r="C7" s="1">
        <v>-21.104799638055134</v>
      </c>
      <c r="D7" s="1">
        <v>-9.3035522228894578</v>
      </c>
      <c r="E7" s="1">
        <v>45.096309343819414</v>
      </c>
      <c r="F7" s="1">
        <v>19.879642367382594</v>
      </c>
      <c r="G7" s="1">
        <v>21.104799638055134</v>
      </c>
      <c r="H7" s="1">
        <v>9.3035522228894578</v>
      </c>
    </row>
    <row r="8" spans="1:18">
      <c r="A8" s="1">
        <v>-38.414459804809546</v>
      </c>
      <c r="B8" s="1">
        <v>-30.874043709775997</v>
      </c>
      <c r="C8" s="1">
        <v>-17.977734523761885</v>
      </c>
      <c r="D8" s="1">
        <v>-14.448865461330293</v>
      </c>
      <c r="E8" s="1">
        <v>38.414459804809546</v>
      </c>
      <c r="F8" s="1">
        <v>30.874043709775997</v>
      </c>
      <c r="G8" s="1">
        <v>17.977734523761885</v>
      </c>
      <c r="H8" s="1">
        <v>14.448865461330293</v>
      </c>
    </row>
    <row r="9" spans="1:18">
      <c r="A9" s="1">
        <v>-29.114728348768871</v>
      </c>
      <c r="B9" s="1">
        <v>-39.764429962793145</v>
      </c>
      <c r="C9" s="1">
        <v>-13.625516528025692</v>
      </c>
      <c r="D9" s="1">
        <v>-18.609512381332891</v>
      </c>
      <c r="E9" s="1">
        <v>29.114728348768871</v>
      </c>
      <c r="F9" s="1">
        <v>39.764429962793145</v>
      </c>
      <c r="G9" s="1">
        <v>13.625516528025692</v>
      </c>
      <c r="H9" s="1">
        <v>18.609512381332891</v>
      </c>
    </row>
    <row r="10" spans="1:18">
      <c r="A10" s="1">
        <v>-17.830876236222082</v>
      </c>
      <c r="B10" s="1">
        <v>-45.944936061953747</v>
      </c>
      <c r="C10" s="1">
        <v>-8.3447420822697804</v>
      </c>
      <c r="D10" s="1">
        <v>-21.501951802263889</v>
      </c>
      <c r="E10" s="1">
        <v>17.830876236222082</v>
      </c>
      <c r="F10" s="1">
        <v>45.944936061953747</v>
      </c>
      <c r="G10" s="1">
        <v>8.3447420822697804</v>
      </c>
      <c r="H10" s="1">
        <v>21.501951802263889</v>
      </c>
    </row>
    <row r="11" spans="1:18">
      <c r="A11" s="1">
        <v>-5.3318793732391407</v>
      </c>
      <c r="B11" s="1">
        <v>-48.99437069131222</v>
      </c>
      <c r="C11" s="1">
        <v>-2.4952872530779149</v>
      </c>
      <c r="D11" s="1">
        <v>-22.929068739290532</v>
      </c>
      <c r="E11" s="1">
        <v>5.3318793732391407</v>
      </c>
      <c r="F11" s="1">
        <v>48.99437069131222</v>
      </c>
      <c r="G11" s="1">
        <v>2.4952872530779149</v>
      </c>
      <c r="H11" s="1">
        <v>22.929068739290532</v>
      </c>
    </row>
    <row r="12" spans="1:18">
      <c r="A12" s="1">
        <v>7.5304762582371145</v>
      </c>
      <c r="B12" s="1">
        <v>-48.704919919989749</v>
      </c>
      <c r="C12" s="1">
        <v>3.5242172790134805</v>
      </c>
      <c r="D12" s="1">
        <v>-22.793607531428332</v>
      </c>
      <c r="E12" s="1">
        <v>-7.5304762582371145</v>
      </c>
      <c r="F12" s="1">
        <v>48.704919919989749</v>
      </c>
      <c r="G12" s="1">
        <v>-3.5242172790134805</v>
      </c>
      <c r="H12" s="1">
        <v>22.793607531428332</v>
      </c>
    </row>
    <row r="13" spans="1:18">
      <c r="A13" s="1">
        <v>19.879642376632006</v>
      </c>
      <c r="B13" s="1">
        <v>-45.096309339742028</v>
      </c>
      <c r="C13" s="1">
        <v>9.303552227218125</v>
      </c>
      <c r="D13" s="1">
        <v>-21.104799636146943</v>
      </c>
      <c r="E13" s="1">
        <v>-19.879642376632006</v>
      </c>
      <c r="F13" s="1">
        <v>45.096309339742028</v>
      </c>
      <c r="G13" s="1">
        <v>-9.303552227218125</v>
      </c>
      <c r="H13" s="1">
        <v>21.104799636146943</v>
      </c>
    </row>
    <row r="14" spans="1:18">
      <c r="A14" s="1">
        <v>30.874043679240472</v>
      </c>
      <c r="B14" s="1">
        <v>-38.414459829351216</v>
      </c>
      <c r="C14" s="1">
        <v>14.448865447039854</v>
      </c>
      <c r="D14" s="1">
        <v>-17.977734535247244</v>
      </c>
      <c r="E14" s="1">
        <v>-30.874043679240472</v>
      </c>
      <c r="F14" s="1">
        <v>38.414459829351216</v>
      </c>
      <c r="G14" s="1">
        <v>-14.448865447039854</v>
      </c>
      <c r="H14" s="1">
        <v>17.977734535247244</v>
      </c>
    </row>
    <row r="15" spans="1:18">
      <c r="A15" s="1">
        <v>39.764429968764674</v>
      </c>
      <c r="B15" s="1">
        <v>-29.114728340613055</v>
      </c>
      <c r="C15" s="1">
        <v>18.609512384127534</v>
      </c>
      <c r="D15" s="1">
        <v>-13.62551652420882</v>
      </c>
      <c r="E15" s="1">
        <v>-39.764429968764674</v>
      </c>
      <c r="F15" s="1">
        <v>29.114728340613055</v>
      </c>
      <c r="G15" s="1">
        <v>-18.609512384127534</v>
      </c>
      <c r="H15" s="1">
        <v>13.62551652420882</v>
      </c>
    </row>
    <row r="16" spans="1:18">
      <c r="A16" s="1">
        <v>45.944936065610918</v>
      </c>
      <c r="B16" s="1">
        <v>-17.830876226798622</v>
      </c>
      <c r="C16" s="1">
        <v>21.501951803975427</v>
      </c>
      <c r="D16" s="1">
        <v>-8.3447420778596584</v>
      </c>
      <c r="E16" s="1">
        <v>-45.944936065610918</v>
      </c>
      <c r="F16" s="1">
        <v>17.830876226798622</v>
      </c>
      <c r="G16" s="1">
        <v>-21.501951803975427</v>
      </c>
      <c r="H16" s="1">
        <v>8.3447420778596584</v>
      </c>
    </row>
    <row r="17" spans="1:26">
      <c r="A17" s="1">
        <v>48.994370692405809</v>
      </c>
      <c r="B17" s="1">
        <v>-5.3318793631902306</v>
      </c>
      <c r="C17" s="1">
        <v>22.929068739802325</v>
      </c>
      <c r="D17" s="1">
        <v>-2.4952872483750861</v>
      </c>
      <c r="E17" s="1">
        <v>-48.994370692405809</v>
      </c>
      <c r="F17" s="1">
        <v>5.3318793631902306</v>
      </c>
      <c r="G17" s="1">
        <v>-22.929068739802325</v>
      </c>
      <c r="H17" s="1">
        <v>2.4952872483750861</v>
      </c>
    </row>
    <row r="19" spans="1:26">
      <c r="A19" s="1">
        <v>-48.994370690218638</v>
      </c>
      <c r="B19" s="1">
        <v>5.3318793832880571</v>
      </c>
      <c r="C19" s="1">
        <v>-48.704919921534277</v>
      </c>
      <c r="D19" s="1">
        <v>-7.5304762482475649</v>
      </c>
      <c r="E19" s="1">
        <v>-45.096309343819414</v>
      </c>
      <c r="F19" s="1">
        <v>-19.879642367382594</v>
      </c>
      <c r="G19" s="1">
        <v>-38.414459804809546</v>
      </c>
      <c r="H19" s="1">
        <v>-30.874043709775997</v>
      </c>
      <c r="I19" s="1">
        <v>-29.114728348768871</v>
      </c>
      <c r="J19" s="1">
        <v>-39.764429962793145</v>
      </c>
      <c r="K19" s="1">
        <v>-17.830876236222082</v>
      </c>
      <c r="L19" s="1">
        <v>-45.944936061953747</v>
      </c>
      <c r="M19" s="1">
        <v>-5.3318793732391407</v>
      </c>
      <c r="N19" s="1">
        <v>-48.99437069131222</v>
      </c>
      <c r="O19" s="1">
        <v>7.5304762582371145</v>
      </c>
      <c r="P19" s="1">
        <v>-48.704919919989749</v>
      </c>
      <c r="Q19" s="1">
        <v>19.879642376632006</v>
      </c>
      <c r="R19" s="1">
        <v>-45.096309339742028</v>
      </c>
      <c r="S19" s="1">
        <v>30.874043679240472</v>
      </c>
      <c r="T19" s="1">
        <v>-38.414459829351216</v>
      </c>
      <c r="U19" s="1">
        <v>39.764429968764674</v>
      </c>
      <c r="V19" s="1">
        <v>-29.114728340613055</v>
      </c>
      <c r="W19" s="1">
        <v>45.944936065610918</v>
      </c>
      <c r="X19" s="1">
        <v>-17.830876226798622</v>
      </c>
      <c r="Y19" s="1">
        <v>48.994370692405809</v>
      </c>
      <c r="Z19" s="1">
        <v>-5.3318793631902306</v>
      </c>
    </row>
    <row r="20" spans="1:26">
      <c r="A20" s="1">
        <v>-22.929068738778742</v>
      </c>
      <c r="B20" s="1">
        <v>2.4952872577807472</v>
      </c>
      <c r="C20" s="1">
        <v>-22.79360753215116</v>
      </c>
      <c r="D20" s="1">
        <v>-3.5242172743384317</v>
      </c>
      <c r="E20" s="1">
        <v>-21.104799638055134</v>
      </c>
      <c r="F20" s="1">
        <v>-9.3035522228894578</v>
      </c>
      <c r="G20" s="1">
        <v>-17.977734523761885</v>
      </c>
      <c r="H20" s="1">
        <v>-14.448865461330293</v>
      </c>
      <c r="I20" s="1">
        <v>-13.625516528025692</v>
      </c>
      <c r="J20" s="1">
        <v>-18.609512381332891</v>
      </c>
      <c r="K20" s="1">
        <v>-8.3447420822697804</v>
      </c>
      <c r="L20" s="1">
        <v>-21.501951802263889</v>
      </c>
      <c r="M20" s="1">
        <v>-2.4952872530779149</v>
      </c>
      <c r="N20" s="1">
        <v>-22.929068739290532</v>
      </c>
      <c r="O20" s="1">
        <v>3.5242172790134805</v>
      </c>
      <c r="P20" s="1">
        <v>-22.793607531428332</v>
      </c>
      <c r="Q20" s="1">
        <v>9.303552227218125</v>
      </c>
      <c r="R20" s="1">
        <v>-21.104799636146943</v>
      </c>
      <c r="S20" s="1">
        <v>14.448865447039854</v>
      </c>
      <c r="T20" s="1">
        <v>-17.977734535247244</v>
      </c>
      <c r="U20" s="1">
        <v>18.609512384127534</v>
      </c>
      <c r="V20" s="1">
        <v>-13.62551652420882</v>
      </c>
      <c r="W20" s="1">
        <v>21.501951803975427</v>
      </c>
      <c r="X20" s="1">
        <v>-8.3447420778596584</v>
      </c>
      <c r="Y20" s="1">
        <v>22.929068739802325</v>
      </c>
      <c r="Z20" s="1">
        <v>-2.4952872483750861</v>
      </c>
    </row>
    <row r="21" spans="1:26">
      <c r="A21" s="1">
        <v>48.994370690218638</v>
      </c>
      <c r="B21" s="1">
        <v>-5.3318793832880571</v>
      </c>
      <c r="C21" s="1">
        <v>48.704919921534277</v>
      </c>
      <c r="D21" s="1">
        <v>7.5304762482475649</v>
      </c>
      <c r="E21" s="1">
        <v>45.096309343819414</v>
      </c>
      <c r="F21" s="1">
        <v>19.879642367382594</v>
      </c>
      <c r="G21" s="1">
        <v>38.414459804809546</v>
      </c>
      <c r="H21" s="1">
        <v>30.874043709775997</v>
      </c>
      <c r="I21" s="1">
        <v>29.114728348768871</v>
      </c>
      <c r="J21" s="1">
        <v>39.764429962793145</v>
      </c>
      <c r="K21" s="1">
        <v>17.830876236222082</v>
      </c>
      <c r="L21" s="1">
        <v>45.944936061953747</v>
      </c>
      <c r="M21" s="1">
        <v>5.3318793732391407</v>
      </c>
      <c r="N21" s="1">
        <v>48.99437069131222</v>
      </c>
      <c r="O21" s="1">
        <v>-7.5304762582371145</v>
      </c>
      <c r="P21" s="1">
        <v>48.704919919989749</v>
      </c>
      <c r="Q21" s="1">
        <v>-19.879642376632006</v>
      </c>
      <c r="R21" s="1">
        <v>45.096309339742028</v>
      </c>
      <c r="S21" s="1">
        <v>-30.874043679240472</v>
      </c>
      <c r="T21" s="1">
        <v>38.414459829351216</v>
      </c>
      <c r="U21" s="1">
        <v>-39.764429968764674</v>
      </c>
      <c r="V21" s="1">
        <v>29.114728340613055</v>
      </c>
      <c r="W21" s="1">
        <v>-45.944936065610918</v>
      </c>
      <c r="X21" s="1">
        <v>17.830876226798622</v>
      </c>
      <c r="Y21" s="1">
        <v>-48.994370692405809</v>
      </c>
      <c r="Z21" s="1">
        <v>5.3318793631902306</v>
      </c>
    </row>
    <row r="22" spans="1:26">
      <c r="A22" s="1">
        <v>22.929068738778742</v>
      </c>
      <c r="B22" s="1">
        <v>-2.4952872577807472</v>
      </c>
      <c r="C22" s="1">
        <v>22.79360753215116</v>
      </c>
      <c r="D22" s="1">
        <v>3.5242172743384317</v>
      </c>
      <c r="E22" s="1">
        <v>21.104799638055134</v>
      </c>
      <c r="F22" s="1">
        <v>9.3035522228894578</v>
      </c>
      <c r="G22" s="1">
        <v>17.977734523761885</v>
      </c>
      <c r="H22" s="1">
        <v>14.448865461330293</v>
      </c>
      <c r="I22" s="1">
        <v>13.625516528025692</v>
      </c>
      <c r="J22" s="1">
        <v>18.609512381332891</v>
      </c>
      <c r="K22" s="1">
        <v>8.3447420822697804</v>
      </c>
      <c r="L22" s="1">
        <v>21.501951802263889</v>
      </c>
      <c r="M22" s="1">
        <v>2.4952872530779149</v>
      </c>
      <c r="N22" s="1">
        <v>22.929068739290532</v>
      </c>
      <c r="O22" s="1">
        <v>-3.5242172790134805</v>
      </c>
      <c r="P22" s="1">
        <v>22.793607531428332</v>
      </c>
      <c r="Q22" s="1">
        <v>-9.303552227218125</v>
      </c>
      <c r="R22" s="1">
        <v>21.104799636146943</v>
      </c>
      <c r="S22" s="1">
        <v>-14.448865447039854</v>
      </c>
      <c r="T22" s="1">
        <v>17.977734535247244</v>
      </c>
      <c r="U22" s="1">
        <v>-18.609512384127534</v>
      </c>
      <c r="V22" s="1">
        <v>13.62551652420882</v>
      </c>
      <c r="W22" s="1">
        <v>-21.501951803975427</v>
      </c>
      <c r="X22" s="1">
        <v>8.3447420778596584</v>
      </c>
      <c r="Y22" s="1">
        <v>-22.929068739802325</v>
      </c>
      <c r="Z22" s="1">
        <v>2.4952872483750861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6B84-38A6-4D8A-9526-A26937F053BE}">
  <sheetPr codeName="Sheet18"/>
  <dimension ref="A1:Z30"/>
  <sheetViews>
    <sheetView workbookViewId="0">
      <selection activeCell="G1" sqref="G1"/>
    </sheetView>
  </sheetViews>
  <sheetFormatPr defaultRowHeight="15"/>
  <cols>
    <col min="1" max="1" width="10.5703125" customWidth="1"/>
    <col min="2" max="2" width="10" customWidth="1"/>
    <col min="5" max="5" width="9.85546875" customWidth="1"/>
    <col min="6" max="6" width="10.28515625" customWidth="1"/>
    <col min="10" max="10" width="9.85546875" customWidth="1"/>
    <col min="12" max="12" width="10.5703125" customWidth="1"/>
    <col min="14" max="14" width="10.42578125" customWidth="1"/>
    <col min="16" max="16" width="11.140625" customWidth="1"/>
    <col min="18" max="18" width="9.85546875" customWidth="1"/>
    <col min="20" max="20" width="10.7109375" customWidth="1"/>
    <col min="22" max="22" width="10.85546875" customWidth="1"/>
  </cols>
  <sheetData>
    <row r="1" spans="1:22" ht="26.25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173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2">
      <c r="A2" s="86" t="str">
        <f>Enter!B2</f>
        <v>Tehran</v>
      </c>
      <c r="B2" s="86">
        <v>59.575672149658203</v>
      </c>
      <c r="C2" s="86">
        <v>36.310432434082003</v>
      </c>
      <c r="D2" s="86">
        <v>1065</v>
      </c>
      <c r="E2" s="86">
        <v>3.5</v>
      </c>
      <c r="K2">
        <v>0</v>
      </c>
      <c r="L2">
        <v>0</v>
      </c>
      <c r="M2">
        <v>10</v>
      </c>
      <c r="N2">
        <v>10</v>
      </c>
      <c r="O2">
        <v>90</v>
      </c>
      <c r="P2">
        <v>0</v>
      </c>
      <c r="Q2">
        <v>0</v>
      </c>
      <c r="R2">
        <v>0</v>
      </c>
    </row>
    <row r="5" spans="1:22">
      <c r="B5" s="82" t="s">
        <v>21</v>
      </c>
      <c r="D5" s="82" t="s">
        <v>22</v>
      </c>
      <c r="F5" s="82" t="s">
        <v>23</v>
      </c>
      <c r="H5" s="82" t="s">
        <v>24</v>
      </c>
      <c r="J5" s="82" t="s">
        <v>25</v>
      </c>
      <c r="L5" s="82" t="s">
        <v>26</v>
      </c>
      <c r="N5" s="82" t="s">
        <v>27</v>
      </c>
      <c r="P5" s="82" t="s">
        <v>28</v>
      </c>
      <c r="R5" s="82" t="s">
        <v>4</v>
      </c>
      <c r="T5" s="82" t="s">
        <v>5</v>
      </c>
      <c r="V5" s="82" t="s">
        <v>6</v>
      </c>
    </row>
    <row r="6" spans="1:22">
      <c r="A6">
        <v>-80.563676043910434</v>
      </c>
      <c r="B6">
        <v>-35.193239854441231</v>
      </c>
      <c r="C6">
        <v>-80.563676043910434</v>
      </c>
      <c r="D6">
        <v>-8.1438185133044545</v>
      </c>
      <c r="E6">
        <v>-80.563676043910434</v>
      </c>
      <c r="F6">
        <v>-16.590943080150215</v>
      </c>
      <c r="G6">
        <v>-80.563676043910434</v>
      </c>
      <c r="H6">
        <v>-23.709177276393056</v>
      </c>
      <c r="I6">
        <v>-80.563676043910434</v>
      </c>
      <c r="J6">
        <v>-29.875241664645966</v>
      </c>
      <c r="K6">
        <v>-80.563676043910434</v>
      </c>
      <c r="L6">
        <v>0.15876648182681408</v>
      </c>
      <c r="M6">
        <v>-80.563676043910434</v>
      </c>
      <c r="N6">
        <v>7.8678383980929034</v>
      </c>
      <c r="O6">
        <v>-80.563676043910434</v>
      </c>
      <c r="P6">
        <v>16.41692399876446</v>
      </c>
      <c r="Q6">
        <v>-80.563676043910434</v>
      </c>
      <c r="R6">
        <v>23.740615210316495</v>
      </c>
      <c r="S6">
        <v>-80.563676043910434</v>
      </c>
      <c r="T6">
        <v>29.784483994170255</v>
      </c>
      <c r="U6">
        <v>-80.563676043910434</v>
      </c>
      <c r="V6">
        <v>35.196252404387721</v>
      </c>
    </row>
    <row r="7" spans="1:22">
      <c r="A7">
        <v>-24.657059320007669</v>
      </c>
      <c r="B7">
        <v>-11.534731150997059</v>
      </c>
      <c r="C7">
        <v>-24.657059320007669</v>
      </c>
      <c r="D7">
        <v>-2.6691704850704463</v>
      </c>
      <c r="E7">
        <v>-24.657059320007669</v>
      </c>
      <c r="F7">
        <v>-5.437750794258787</v>
      </c>
      <c r="G7">
        <v>-24.657059320007669</v>
      </c>
      <c r="H7">
        <v>-7.7707817417671139</v>
      </c>
      <c r="I7">
        <v>-24.657059320007669</v>
      </c>
      <c r="J7">
        <v>-9.7917350632686855</v>
      </c>
      <c r="K7">
        <v>-24.657059320007669</v>
      </c>
      <c r="L7">
        <v>5.2036376623360393E-2</v>
      </c>
      <c r="M7">
        <v>-24.657059320007669</v>
      </c>
      <c r="N7">
        <v>2.5787168512148324</v>
      </c>
      <c r="O7">
        <v>-24.657059320007669</v>
      </c>
      <c r="P7">
        <v>5.380715314512388</v>
      </c>
      <c r="Q7">
        <v>-24.657059320007669</v>
      </c>
      <c r="R7">
        <v>7.7810856557360895</v>
      </c>
      <c r="S7">
        <v>-24.657059320007669</v>
      </c>
      <c r="T7">
        <v>9.7619888582259566</v>
      </c>
      <c r="U7">
        <v>-24.657059320007669</v>
      </c>
      <c r="V7">
        <v>11.535718526807171</v>
      </c>
    </row>
    <row r="8" spans="1:22">
      <c r="A8">
        <v>-13.234046052435676</v>
      </c>
      <c r="B8">
        <v>-7.1907918837493465</v>
      </c>
      <c r="C8">
        <v>-13.234046052435676</v>
      </c>
      <c r="D8">
        <v>-1.6639702485591783</v>
      </c>
      <c r="E8">
        <v>-13.234046052435676</v>
      </c>
      <c r="F8">
        <v>-3.3899129303787636</v>
      </c>
      <c r="G8">
        <v>-13.234046052435676</v>
      </c>
      <c r="H8">
        <v>-4.8443326114502883</v>
      </c>
      <c r="I8">
        <v>-13.234046052435676</v>
      </c>
      <c r="J8">
        <v>-6.1042020051494745</v>
      </c>
      <c r="K8">
        <v>-13.234046052435676</v>
      </c>
      <c r="L8">
        <v>3.2439659822555977E-2</v>
      </c>
      <c r="M8">
        <v>-13.234046052435676</v>
      </c>
      <c r="N8">
        <v>1.6075811357424168</v>
      </c>
      <c r="O8">
        <v>-13.234046052435676</v>
      </c>
      <c r="P8">
        <v>3.3543568121236187</v>
      </c>
      <c r="Q8">
        <v>-13.234046052435676</v>
      </c>
      <c r="R8">
        <v>4.8507561075828844</v>
      </c>
      <c r="S8">
        <v>-13.234046052435676</v>
      </c>
      <c r="T8">
        <v>6.0856581165235912</v>
      </c>
      <c r="U8">
        <v>-13.234046052435676</v>
      </c>
      <c r="V8">
        <v>7.1914074172948297</v>
      </c>
    </row>
    <row r="9" spans="1:22">
      <c r="A9">
        <v>-7.7916090687395734</v>
      </c>
      <c r="B9">
        <v>-5.4956644050647636</v>
      </c>
      <c r="C9">
        <v>-7.7916090687395734</v>
      </c>
      <c r="D9">
        <v>-1.271712797968692</v>
      </c>
      <c r="E9">
        <v>-7.7916090687395734</v>
      </c>
      <c r="F9">
        <v>-2.5907889046063715</v>
      </c>
      <c r="G9">
        <v>-7.7916090687395734</v>
      </c>
      <c r="H9">
        <v>-3.7023497174500877</v>
      </c>
      <c r="I9">
        <v>-7.7916090687395734</v>
      </c>
      <c r="J9">
        <v>-4.6652227214137341</v>
      </c>
      <c r="K9">
        <v>-7.7916090687395734</v>
      </c>
      <c r="L9">
        <v>2.4792468852022295E-2</v>
      </c>
      <c r="M9">
        <v>-7.7916090687395734</v>
      </c>
      <c r="N9">
        <v>1.2286166209202922</v>
      </c>
      <c r="O9">
        <v>-7.7916090687395734</v>
      </c>
      <c r="P9">
        <v>2.5636146383174703</v>
      </c>
      <c r="Q9">
        <v>-7.7916090687395734</v>
      </c>
      <c r="R9">
        <v>3.7072589652245584</v>
      </c>
      <c r="S9">
        <v>-7.7916090687395734</v>
      </c>
      <c r="T9">
        <v>4.6510502922431645</v>
      </c>
      <c r="U9">
        <v>-7.7916090687395734</v>
      </c>
      <c r="V9">
        <v>5.4961348352831205</v>
      </c>
    </row>
    <row r="10" spans="1:22">
      <c r="A10">
        <v>-4.2291699364649054</v>
      </c>
      <c r="B10">
        <v>-4.7068544056743109</v>
      </c>
      <c r="C10">
        <v>-4.2291699364649054</v>
      </c>
      <c r="D10">
        <v>-1.0891798597372329</v>
      </c>
      <c r="E10">
        <v>-4.2291699364649054</v>
      </c>
      <c r="F10">
        <v>-2.2189248234627086</v>
      </c>
      <c r="G10">
        <v>-4.2291699364649054</v>
      </c>
      <c r="H10">
        <v>-3.1709398162789793</v>
      </c>
      <c r="I10">
        <v>-4.2291699364649054</v>
      </c>
      <c r="J10">
        <v>-3.9956086291406954</v>
      </c>
      <c r="K10">
        <v>-4.2291699364649054</v>
      </c>
      <c r="L10">
        <v>2.1233927809736607E-2</v>
      </c>
      <c r="M10">
        <v>-4.2291699364649054</v>
      </c>
      <c r="N10">
        <v>1.0522694125452541</v>
      </c>
      <c r="O10">
        <v>-4.2291699364649054</v>
      </c>
      <c r="P10">
        <v>2.195650965094464</v>
      </c>
      <c r="Q10">
        <v>-4.2291699364649054</v>
      </c>
      <c r="R10">
        <v>3.1751444242776992</v>
      </c>
      <c r="S10">
        <v>-4.2291699364649054</v>
      </c>
      <c r="T10">
        <v>3.9834704133102075</v>
      </c>
      <c r="U10">
        <v>-4.2291699364649054</v>
      </c>
      <c r="V10">
        <v>4.7072573135636278</v>
      </c>
    </row>
    <row r="11" spans="1:22">
      <c r="A11">
        <v>-1.3919426924394402</v>
      </c>
      <c r="B11">
        <v>-4.3769024920638921</v>
      </c>
      <c r="C11">
        <v>-1.3919426924394402</v>
      </c>
      <c r="D11">
        <v>-1.0128280230301141</v>
      </c>
      <c r="E11">
        <v>-1.3919426924394402</v>
      </c>
      <c r="F11">
        <v>-2.063377524022862</v>
      </c>
      <c r="G11">
        <v>-1.3919426924394402</v>
      </c>
      <c r="H11">
        <v>-2.9486559786774991</v>
      </c>
      <c r="I11">
        <v>-1.3919426924394402</v>
      </c>
      <c r="J11">
        <v>-3.7155152590050187</v>
      </c>
      <c r="K11">
        <v>-1.3919426924394402</v>
      </c>
      <c r="L11">
        <v>1.9745423065285227E-2</v>
      </c>
      <c r="M11">
        <v>-1.3919426924394402</v>
      </c>
      <c r="N11">
        <v>0.97850500931993745</v>
      </c>
      <c r="O11">
        <v>-1.3919426924394402</v>
      </c>
      <c r="P11">
        <v>2.0417351701465436</v>
      </c>
      <c r="Q11">
        <v>-1.3919426924394402</v>
      </c>
      <c r="R11">
        <v>2.9525658423872332</v>
      </c>
      <c r="S11">
        <v>-1.3919426924394402</v>
      </c>
      <c r="T11">
        <v>3.7042279357656116</v>
      </c>
      <c r="U11">
        <v>-1.3919426924394402</v>
      </c>
      <c r="V11">
        <v>4.3772771559886339</v>
      </c>
    </row>
    <row r="12" spans="1:22">
      <c r="A12">
        <v>1.2412541864807753</v>
      </c>
      <c r="B12">
        <v>-4.3683756232964681</v>
      </c>
      <c r="C12">
        <v>1.2412541864807753</v>
      </c>
      <c r="D12">
        <v>-1.0108548806875544</v>
      </c>
      <c r="E12">
        <v>1.2412541864807753</v>
      </c>
      <c r="F12">
        <v>-2.0593577521872102</v>
      </c>
      <c r="G12">
        <v>1.2412541864807753</v>
      </c>
      <c r="H12">
        <v>-2.9429115503709395</v>
      </c>
      <c r="I12">
        <v>1.2412541864807753</v>
      </c>
      <c r="J12">
        <v>-3.7082768727091531</v>
      </c>
      <c r="K12">
        <v>1.2412541864807753</v>
      </c>
      <c r="L12">
        <v>1.9706955991472132E-2</v>
      </c>
      <c r="M12">
        <v>1.2412541864807753</v>
      </c>
      <c r="N12">
        <v>0.97659873340498027</v>
      </c>
      <c r="O12">
        <v>1.2412541864807753</v>
      </c>
      <c r="P12">
        <v>2.0377575608931413</v>
      </c>
      <c r="Q12">
        <v>1.2412541864807753</v>
      </c>
      <c r="R12">
        <v>2.9468137970741695</v>
      </c>
      <c r="S12">
        <v>1.2412541864807753</v>
      </c>
      <c r="T12">
        <v>3.6970115388844458</v>
      </c>
      <c r="U12">
        <v>1.2412541864807753</v>
      </c>
      <c r="V12">
        <v>4.3687495573191573</v>
      </c>
    </row>
    <row r="13" spans="1:22">
      <c r="A13">
        <v>4.0556336731423182</v>
      </c>
      <c r="B13">
        <v>-4.6780644042969186</v>
      </c>
      <c r="C13">
        <v>4.0556336731423182</v>
      </c>
      <c r="D13">
        <v>-1.0825177693134755</v>
      </c>
      <c r="E13">
        <v>4.0556336731423182</v>
      </c>
      <c r="F13">
        <v>-2.2053525216199308</v>
      </c>
      <c r="G13">
        <v>4.0556336731423182</v>
      </c>
      <c r="H13">
        <v>-3.1515444082612074</v>
      </c>
      <c r="I13">
        <v>4.0556336731423182</v>
      </c>
      <c r="J13">
        <v>-3.9711690420997616</v>
      </c>
      <c r="K13">
        <v>4.0556336731423182</v>
      </c>
      <c r="L13">
        <v>2.1104048115528774E-2</v>
      </c>
      <c r="M13">
        <v>4.0556336731423182</v>
      </c>
      <c r="N13">
        <v>1.0458330889997365</v>
      </c>
      <c r="O13">
        <v>4.0556336731423182</v>
      </c>
      <c r="P13">
        <v>2.1822210204092967</v>
      </c>
      <c r="Q13">
        <v>4.0556336731423182</v>
      </c>
      <c r="R13">
        <v>3.1557232983048684</v>
      </c>
      <c r="S13">
        <v>4.0556336731423182</v>
      </c>
      <c r="T13">
        <v>3.9591050710239144</v>
      </c>
      <c r="U13">
        <v>4.0556336731423182</v>
      </c>
      <c r="V13">
        <v>4.6784648477550697</v>
      </c>
    </row>
    <row r="14" spans="1:22">
      <c r="A14">
        <v>7.5562681017145934</v>
      </c>
      <c r="B14">
        <v>-5.4335551322494826</v>
      </c>
      <c r="C14">
        <v>7.5562681017145934</v>
      </c>
      <c r="D14">
        <v>-1.2573405307976961</v>
      </c>
      <c r="E14">
        <v>7.5562681017145934</v>
      </c>
      <c r="F14">
        <v>-2.5615090936458067</v>
      </c>
      <c r="G14">
        <v>7.5562681017145934</v>
      </c>
      <c r="H14">
        <v>-3.6605075976061676</v>
      </c>
      <c r="I14">
        <v>7.5562681017145934</v>
      </c>
      <c r="J14">
        <v>-4.612498688541331</v>
      </c>
      <c r="K14">
        <v>7.5562681017145934</v>
      </c>
      <c r="L14">
        <v>2.4512276668111736E-2</v>
      </c>
      <c r="M14">
        <v>7.5562681017145934</v>
      </c>
      <c r="N14">
        <v>1.2147314053631337</v>
      </c>
      <c r="O14">
        <v>7.5562681017145934</v>
      </c>
      <c r="P14">
        <v>2.5346419374338849</v>
      </c>
      <c r="Q14">
        <v>7.5562681017145934</v>
      </c>
      <c r="R14">
        <v>3.6653613634976727</v>
      </c>
      <c r="S14">
        <v>7.5562681017145934</v>
      </c>
      <c r="T14">
        <v>4.5984864291345833</v>
      </c>
      <c r="U14">
        <v>7.5562681017145934</v>
      </c>
      <c r="V14">
        <v>5.4340202458988829</v>
      </c>
    </row>
    <row r="15" spans="1:22">
      <c r="A15">
        <v>12.834319452351824</v>
      </c>
      <c r="B15">
        <v>-7.0533112621205056</v>
      </c>
      <c r="C15">
        <v>12.834319452351824</v>
      </c>
      <c r="D15">
        <v>-1.632156831088315</v>
      </c>
      <c r="E15">
        <v>12.834319452351824</v>
      </c>
      <c r="F15">
        <v>-3.3251012455920921</v>
      </c>
      <c r="G15">
        <v>12.834319452351824</v>
      </c>
      <c r="H15">
        <v>-4.751713902750879</v>
      </c>
      <c r="I15">
        <v>12.834319452351824</v>
      </c>
      <c r="J15">
        <v>-5.9874958760077703</v>
      </c>
      <c r="K15">
        <v>12.834319452351824</v>
      </c>
      <c r="L15">
        <v>3.1819446545641089E-2</v>
      </c>
      <c r="M15">
        <v>12.834319452351824</v>
      </c>
      <c r="N15">
        <v>1.5768458207126306</v>
      </c>
      <c r="O15">
        <v>12.834319452351824</v>
      </c>
      <c r="P15">
        <v>3.2902249241269881</v>
      </c>
      <c r="Q15">
        <v>12.834319452351824</v>
      </c>
      <c r="R15">
        <v>4.7580145881756124</v>
      </c>
      <c r="S15">
        <v>12.834319452351824</v>
      </c>
      <c r="T15">
        <v>5.9693065276574115</v>
      </c>
      <c r="U15">
        <v>12.834319452351824</v>
      </c>
      <c r="V15">
        <v>7.0539150272911231</v>
      </c>
    </row>
    <row r="16" spans="1:22">
      <c r="A16">
        <v>23.645301929096721</v>
      </c>
      <c r="B16">
        <v>-11.129499354881426</v>
      </c>
      <c r="C16">
        <v>23.645301929096721</v>
      </c>
      <c r="D16">
        <v>-2.5753986636344144</v>
      </c>
      <c r="E16">
        <v>23.645301929096721</v>
      </c>
      <c r="F16">
        <v>-5.2467147404192298</v>
      </c>
      <c r="G16">
        <v>23.645301929096721</v>
      </c>
      <c r="H16">
        <v>-7.4977829348407248</v>
      </c>
      <c r="I16">
        <v>23.645301929096721</v>
      </c>
      <c r="J16">
        <v>-9.4477372418340853</v>
      </c>
      <c r="K16">
        <v>23.645301929096721</v>
      </c>
      <c r="L16">
        <v>5.02082634158314E-2</v>
      </c>
      <c r="M16">
        <v>23.645301929096721</v>
      </c>
      <c r="N16">
        <v>2.4881227968227533</v>
      </c>
      <c r="O16">
        <v>23.645301929096721</v>
      </c>
      <c r="P16">
        <v>5.191682999606785</v>
      </c>
      <c r="Q16">
        <v>23.645301929096721</v>
      </c>
      <c r="R16">
        <v>7.5077248574021844</v>
      </c>
      <c r="S16">
        <v>23.645301929096721</v>
      </c>
      <c r="T16">
        <v>9.4190360640173321</v>
      </c>
      <c r="U16">
        <v>23.645301929096721</v>
      </c>
      <c r="V16">
        <v>11.130452042750594</v>
      </c>
    </row>
    <row r="17" spans="1:26">
      <c r="A17">
        <v>71.842038248680339</v>
      </c>
      <c r="B17">
        <v>-31.444559623662123</v>
      </c>
      <c r="C17">
        <v>71.842038248680339</v>
      </c>
      <c r="D17">
        <v>-7.2763629567787405</v>
      </c>
      <c r="E17">
        <v>71.842038248680339</v>
      </c>
      <c r="F17">
        <v>-14.823724699808574</v>
      </c>
      <c r="G17">
        <v>71.842038248680339</v>
      </c>
      <c r="H17">
        <v>-21.183745559630104</v>
      </c>
      <c r="I17">
        <v>71.842038248680339</v>
      </c>
      <c r="J17">
        <v>-26.693018934337331</v>
      </c>
      <c r="K17">
        <v>71.842038248680339</v>
      </c>
      <c r="L17">
        <v>0.14185514390520979</v>
      </c>
      <c r="M17">
        <v>71.842038248680339</v>
      </c>
      <c r="N17">
        <v>7.0297794304081318</v>
      </c>
      <c r="O17">
        <v>71.842038248680339</v>
      </c>
      <c r="P17">
        <v>14.668241618315617</v>
      </c>
      <c r="Q17">
        <v>71.842038248680339</v>
      </c>
      <c r="R17">
        <v>21.211834817447489</v>
      </c>
      <c r="S17">
        <v>71.842038248680339</v>
      </c>
      <c r="T17">
        <v>26.61192850355058</v>
      </c>
      <c r="U17">
        <v>71.842038248680339</v>
      </c>
      <c r="V17">
        <v>31.447251285663221</v>
      </c>
    </row>
    <row r="18" spans="1:26">
      <c r="A18">
        <v>99999</v>
      </c>
      <c r="B18">
        <v>99999</v>
      </c>
      <c r="C18">
        <v>99999</v>
      </c>
      <c r="D18">
        <v>99999</v>
      </c>
      <c r="E18">
        <v>99999</v>
      </c>
      <c r="F18">
        <v>99999</v>
      </c>
      <c r="G18">
        <v>99999</v>
      </c>
      <c r="H18">
        <v>99999</v>
      </c>
      <c r="I18">
        <v>99999</v>
      </c>
      <c r="J18">
        <v>99999</v>
      </c>
      <c r="K18">
        <v>99999</v>
      </c>
      <c r="L18">
        <v>99999</v>
      </c>
      <c r="M18">
        <v>99999</v>
      </c>
      <c r="N18">
        <v>99999</v>
      </c>
      <c r="O18">
        <v>99999</v>
      </c>
      <c r="P18">
        <v>99999</v>
      </c>
      <c r="Q18">
        <v>99999</v>
      </c>
      <c r="R18">
        <v>99999</v>
      </c>
      <c r="S18">
        <v>99999</v>
      </c>
      <c r="T18">
        <v>99999</v>
      </c>
      <c r="U18">
        <v>99999</v>
      </c>
      <c r="V18">
        <v>99999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-80.563676043910434</v>
      </c>
      <c r="B20">
        <v>-35.193239854441231</v>
      </c>
      <c r="C20">
        <v>-24.657059320007669</v>
      </c>
      <c r="D20">
        <v>-11.534731150997059</v>
      </c>
      <c r="E20">
        <v>-13.234046052435676</v>
      </c>
      <c r="F20">
        <v>-7.1907918837493465</v>
      </c>
      <c r="G20">
        <v>-7.7916090687395734</v>
      </c>
      <c r="H20">
        <v>-5.4956644050647636</v>
      </c>
      <c r="I20">
        <v>-4.2291699364649054</v>
      </c>
      <c r="J20">
        <v>-4.7068544056743109</v>
      </c>
      <c r="K20">
        <v>-1.3919426924394402</v>
      </c>
      <c r="L20">
        <v>-4.3769024920638921</v>
      </c>
      <c r="M20">
        <v>1.2412541864807753</v>
      </c>
      <c r="N20">
        <v>-4.3683756232964681</v>
      </c>
      <c r="O20">
        <v>4.0556336731423182</v>
      </c>
      <c r="P20">
        <v>-4.6780644042969186</v>
      </c>
      <c r="Q20">
        <v>7.5562681017145934</v>
      </c>
      <c r="R20">
        <v>-5.4335551322494826</v>
      </c>
      <c r="S20">
        <v>12.834319452351824</v>
      </c>
      <c r="T20">
        <v>-7.0533112621205056</v>
      </c>
      <c r="U20">
        <v>23.645301929096721</v>
      </c>
      <c r="V20">
        <v>-11.129499354881426</v>
      </c>
      <c r="W20">
        <v>71.842038248680339</v>
      </c>
      <c r="X20">
        <v>-31.444559623662123</v>
      </c>
      <c r="Y20">
        <v>99999</v>
      </c>
      <c r="Z20">
        <v>99999</v>
      </c>
    </row>
    <row r="21" spans="1:26">
      <c r="A21">
        <v>-80.563676043910434</v>
      </c>
      <c r="B21">
        <v>-8.1438185133044545</v>
      </c>
      <c r="C21">
        <v>-24.657059320007669</v>
      </c>
      <c r="D21">
        <v>-2.6691704850704463</v>
      </c>
      <c r="E21">
        <v>-13.234046052435676</v>
      </c>
      <c r="F21">
        <v>-1.6639702485591783</v>
      </c>
      <c r="G21">
        <v>-7.7916090687395734</v>
      </c>
      <c r="H21">
        <v>-1.271712797968692</v>
      </c>
      <c r="I21">
        <v>-4.2291699364649054</v>
      </c>
      <c r="J21">
        <v>-1.0891798597372329</v>
      </c>
      <c r="K21">
        <v>-1.3919426924394402</v>
      </c>
      <c r="L21">
        <v>-1.0128280230301141</v>
      </c>
      <c r="M21">
        <v>1.2412541864807753</v>
      </c>
      <c r="N21">
        <v>-1.0108548806875544</v>
      </c>
      <c r="O21">
        <v>4.0556336731423182</v>
      </c>
      <c r="P21">
        <v>-1.0825177693134755</v>
      </c>
      <c r="Q21">
        <v>7.5562681017145934</v>
      </c>
      <c r="R21">
        <v>-1.2573405307976961</v>
      </c>
      <c r="S21">
        <v>12.834319452351824</v>
      </c>
      <c r="T21">
        <v>-1.632156831088315</v>
      </c>
      <c r="U21">
        <v>23.645301929096721</v>
      </c>
      <c r="V21">
        <v>-2.5753986636344144</v>
      </c>
      <c r="W21">
        <v>71.842038248680339</v>
      </c>
      <c r="X21">
        <v>-7.2763629567787405</v>
      </c>
      <c r="Y21">
        <v>99999</v>
      </c>
      <c r="Z21">
        <v>99999</v>
      </c>
    </row>
    <row r="22" spans="1:26">
      <c r="A22">
        <v>-80.563676043910434</v>
      </c>
      <c r="B22">
        <v>-16.590943080150215</v>
      </c>
      <c r="C22">
        <v>-24.657059320007669</v>
      </c>
      <c r="D22">
        <v>-5.437750794258787</v>
      </c>
      <c r="E22">
        <v>-13.234046052435676</v>
      </c>
      <c r="F22">
        <v>-3.3899129303787636</v>
      </c>
      <c r="G22">
        <v>-7.7916090687395734</v>
      </c>
      <c r="H22">
        <v>-2.5907889046063715</v>
      </c>
      <c r="I22">
        <v>-4.2291699364649054</v>
      </c>
      <c r="J22">
        <v>-2.2189248234627086</v>
      </c>
      <c r="K22">
        <v>-1.3919426924394402</v>
      </c>
      <c r="L22">
        <v>-2.063377524022862</v>
      </c>
      <c r="M22">
        <v>1.2412541864807753</v>
      </c>
      <c r="N22">
        <v>-2.0593577521872102</v>
      </c>
      <c r="O22">
        <v>4.0556336731423182</v>
      </c>
      <c r="P22">
        <v>-2.2053525216199308</v>
      </c>
      <c r="Q22">
        <v>7.5562681017145934</v>
      </c>
      <c r="R22">
        <v>-2.5615090936458067</v>
      </c>
      <c r="S22">
        <v>12.834319452351824</v>
      </c>
      <c r="T22">
        <v>-3.3251012455920921</v>
      </c>
      <c r="U22">
        <v>23.645301929096721</v>
      </c>
      <c r="V22">
        <v>-5.2467147404192298</v>
      </c>
      <c r="W22">
        <v>71.842038248680339</v>
      </c>
      <c r="X22">
        <v>-14.823724699808574</v>
      </c>
      <c r="Y22">
        <v>99999</v>
      </c>
      <c r="Z22">
        <v>99999</v>
      </c>
    </row>
    <row r="23" spans="1:26">
      <c r="A23">
        <v>-80.563676043910434</v>
      </c>
      <c r="B23">
        <v>-23.709177276393056</v>
      </c>
      <c r="C23">
        <v>-24.657059320007669</v>
      </c>
      <c r="D23">
        <v>-7.7707817417671139</v>
      </c>
      <c r="E23">
        <v>-13.234046052435676</v>
      </c>
      <c r="F23">
        <v>-4.8443326114502883</v>
      </c>
      <c r="G23">
        <v>-7.7916090687395734</v>
      </c>
      <c r="H23">
        <v>-3.7023497174500877</v>
      </c>
      <c r="I23">
        <v>-4.2291699364649054</v>
      </c>
      <c r="J23">
        <v>-3.1709398162789793</v>
      </c>
      <c r="K23">
        <v>-1.3919426924394402</v>
      </c>
      <c r="L23">
        <v>-2.9486559786774991</v>
      </c>
      <c r="M23">
        <v>1.2412541864807753</v>
      </c>
      <c r="N23">
        <v>-2.9429115503709395</v>
      </c>
      <c r="O23">
        <v>4.0556336731423182</v>
      </c>
      <c r="P23">
        <v>-3.1515444082612074</v>
      </c>
      <c r="Q23">
        <v>7.5562681017145934</v>
      </c>
      <c r="R23">
        <v>-3.6605075976061676</v>
      </c>
      <c r="S23">
        <v>12.834319452351824</v>
      </c>
      <c r="T23">
        <v>-4.751713902750879</v>
      </c>
      <c r="U23">
        <v>23.645301929096721</v>
      </c>
      <c r="V23">
        <v>-7.4977829348407248</v>
      </c>
      <c r="W23">
        <v>71.842038248680339</v>
      </c>
      <c r="X23">
        <v>-21.183745559630104</v>
      </c>
      <c r="Y23">
        <v>99999</v>
      </c>
      <c r="Z23">
        <v>99999</v>
      </c>
    </row>
    <row r="24" spans="1:26">
      <c r="A24">
        <v>-80.563676043910434</v>
      </c>
      <c r="B24">
        <v>-29.875241664645966</v>
      </c>
      <c r="C24">
        <v>-24.657059320007669</v>
      </c>
      <c r="D24">
        <v>-9.7917350632686855</v>
      </c>
      <c r="E24">
        <v>-13.234046052435676</v>
      </c>
      <c r="F24">
        <v>-6.1042020051494745</v>
      </c>
      <c r="G24">
        <v>-7.7916090687395734</v>
      </c>
      <c r="H24">
        <v>-4.6652227214137341</v>
      </c>
      <c r="I24">
        <v>-4.2291699364649054</v>
      </c>
      <c r="J24">
        <v>-3.9956086291406954</v>
      </c>
      <c r="K24">
        <v>-1.3919426924394402</v>
      </c>
      <c r="L24">
        <v>-3.7155152590050187</v>
      </c>
      <c r="M24">
        <v>1.2412541864807753</v>
      </c>
      <c r="N24">
        <v>-3.7082768727091531</v>
      </c>
      <c r="O24">
        <v>4.0556336731423182</v>
      </c>
      <c r="P24">
        <v>-3.9711690420997616</v>
      </c>
      <c r="Q24">
        <v>7.5562681017145934</v>
      </c>
      <c r="R24">
        <v>-4.612498688541331</v>
      </c>
      <c r="S24">
        <v>12.834319452351824</v>
      </c>
      <c r="T24">
        <v>-5.9874958760077703</v>
      </c>
      <c r="U24">
        <v>23.645301929096721</v>
      </c>
      <c r="V24">
        <v>-9.4477372418340853</v>
      </c>
      <c r="W24">
        <v>71.842038248680339</v>
      </c>
      <c r="X24">
        <v>-26.693018934337331</v>
      </c>
      <c r="Y24">
        <v>99999</v>
      </c>
      <c r="Z24">
        <v>99999</v>
      </c>
    </row>
    <row r="25" spans="1:26">
      <c r="A25">
        <v>-80.563676043910434</v>
      </c>
      <c r="B25">
        <v>0.15876648182681408</v>
      </c>
      <c r="C25">
        <v>-24.657059320007669</v>
      </c>
      <c r="D25">
        <v>5.2036376623360393E-2</v>
      </c>
      <c r="E25">
        <v>-13.234046052435676</v>
      </c>
      <c r="F25">
        <v>3.2439659822555977E-2</v>
      </c>
      <c r="G25">
        <v>-7.7916090687395734</v>
      </c>
      <c r="H25">
        <v>2.4792468852022295E-2</v>
      </c>
      <c r="I25">
        <v>-4.2291699364649054</v>
      </c>
      <c r="J25">
        <v>2.1233927809736607E-2</v>
      </c>
      <c r="K25">
        <v>-1.3919426924394402</v>
      </c>
      <c r="L25">
        <v>1.9745423065285227E-2</v>
      </c>
      <c r="M25">
        <v>1.2412541864807753</v>
      </c>
      <c r="N25">
        <v>1.9706955991472132E-2</v>
      </c>
      <c r="O25">
        <v>4.0556336731423182</v>
      </c>
      <c r="P25">
        <v>2.1104048115528774E-2</v>
      </c>
      <c r="Q25">
        <v>7.5562681017145934</v>
      </c>
      <c r="R25">
        <v>2.4512276668111736E-2</v>
      </c>
      <c r="S25">
        <v>12.834319452351824</v>
      </c>
      <c r="T25">
        <v>3.1819446545641089E-2</v>
      </c>
      <c r="U25">
        <v>23.645301929096721</v>
      </c>
      <c r="V25">
        <v>5.02082634158314E-2</v>
      </c>
      <c r="W25">
        <v>71.842038248680339</v>
      </c>
      <c r="X25">
        <v>0.14185514390520979</v>
      </c>
      <c r="Y25">
        <v>99999</v>
      </c>
      <c r="Z25">
        <v>99999</v>
      </c>
    </row>
    <row r="26" spans="1:26">
      <c r="A26">
        <v>-80.563676043910434</v>
      </c>
      <c r="B26">
        <v>7.8678383980929034</v>
      </c>
      <c r="C26">
        <v>-24.657059320007669</v>
      </c>
      <c r="D26">
        <v>2.5787168512148324</v>
      </c>
      <c r="E26">
        <v>-13.234046052435676</v>
      </c>
      <c r="F26">
        <v>1.6075811357424168</v>
      </c>
      <c r="G26">
        <v>-7.7916090687395734</v>
      </c>
      <c r="H26">
        <v>1.2286166209202922</v>
      </c>
      <c r="I26">
        <v>-4.2291699364649054</v>
      </c>
      <c r="J26">
        <v>1.0522694125452541</v>
      </c>
      <c r="K26">
        <v>-1.3919426924394402</v>
      </c>
      <c r="L26">
        <v>0.97850500931993745</v>
      </c>
      <c r="M26">
        <v>1.2412541864807753</v>
      </c>
      <c r="N26">
        <v>0.97659873340498027</v>
      </c>
      <c r="O26">
        <v>4.0556336731423182</v>
      </c>
      <c r="P26">
        <v>1.0458330889997365</v>
      </c>
      <c r="Q26">
        <v>7.5562681017145934</v>
      </c>
      <c r="R26">
        <v>1.2147314053631337</v>
      </c>
      <c r="S26">
        <v>12.834319452351824</v>
      </c>
      <c r="T26">
        <v>1.5768458207126306</v>
      </c>
      <c r="U26">
        <v>23.645301929096721</v>
      </c>
      <c r="V26">
        <v>2.4881227968227533</v>
      </c>
      <c r="W26">
        <v>71.842038248680339</v>
      </c>
      <c r="X26">
        <v>7.0297794304081318</v>
      </c>
      <c r="Y26">
        <v>99999</v>
      </c>
      <c r="Z26">
        <v>99999</v>
      </c>
    </row>
    <row r="27" spans="1:26">
      <c r="A27">
        <v>-80.563676043910434</v>
      </c>
      <c r="B27">
        <v>16.41692399876446</v>
      </c>
      <c r="C27">
        <v>-24.657059320007669</v>
      </c>
      <c r="D27">
        <v>5.380715314512388</v>
      </c>
      <c r="E27">
        <v>-13.234046052435676</v>
      </c>
      <c r="F27">
        <v>3.3543568121236187</v>
      </c>
      <c r="G27">
        <v>-7.7916090687395734</v>
      </c>
      <c r="H27">
        <v>2.5636146383174703</v>
      </c>
      <c r="I27">
        <v>-4.2291699364649054</v>
      </c>
      <c r="J27">
        <v>2.195650965094464</v>
      </c>
      <c r="K27">
        <v>-1.3919426924394402</v>
      </c>
      <c r="L27">
        <v>2.0417351701465436</v>
      </c>
      <c r="M27">
        <v>1.2412541864807753</v>
      </c>
      <c r="N27">
        <v>2.0377575608931413</v>
      </c>
      <c r="O27">
        <v>4.0556336731423182</v>
      </c>
      <c r="P27">
        <v>2.1822210204092967</v>
      </c>
      <c r="Q27">
        <v>7.5562681017145934</v>
      </c>
      <c r="R27">
        <v>2.5346419374338849</v>
      </c>
      <c r="S27">
        <v>12.834319452351824</v>
      </c>
      <c r="T27">
        <v>3.2902249241269881</v>
      </c>
      <c r="U27">
        <v>23.645301929096721</v>
      </c>
      <c r="V27">
        <v>5.191682999606785</v>
      </c>
      <c r="W27">
        <v>71.842038248680339</v>
      </c>
      <c r="X27">
        <v>14.668241618315617</v>
      </c>
      <c r="Y27">
        <v>99999</v>
      </c>
      <c r="Z27">
        <v>99999</v>
      </c>
    </row>
    <row r="28" spans="1:26">
      <c r="A28">
        <v>-80.563676043910434</v>
      </c>
      <c r="B28">
        <v>23.740615210316495</v>
      </c>
      <c r="C28">
        <v>-24.657059320007669</v>
      </c>
      <c r="D28">
        <v>7.7810856557360895</v>
      </c>
      <c r="E28">
        <v>-13.234046052435676</v>
      </c>
      <c r="F28">
        <v>4.8507561075828844</v>
      </c>
      <c r="G28">
        <v>-7.7916090687395734</v>
      </c>
      <c r="H28">
        <v>3.7072589652245584</v>
      </c>
      <c r="I28">
        <v>-4.2291699364649054</v>
      </c>
      <c r="J28">
        <v>3.1751444242776992</v>
      </c>
      <c r="K28">
        <v>-1.3919426924394402</v>
      </c>
      <c r="L28">
        <v>2.9525658423872332</v>
      </c>
      <c r="M28">
        <v>1.2412541864807753</v>
      </c>
      <c r="N28">
        <v>2.9468137970741695</v>
      </c>
      <c r="O28">
        <v>4.0556336731423182</v>
      </c>
      <c r="P28">
        <v>3.1557232983048684</v>
      </c>
      <c r="Q28">
        <v>7.5562681017145934</v>
      </c>
      <c r="R28">
        <v>3.6653613634976727</v>
      </c>
      <c r="S28">
        <v>12.834319452351824</v>
      </c>
      <c r="T28">
        <v>4.7580145881756124</v>
      </c>
      <c r="U28">
        <v>23.645301929096721</v>
      </c>
      <c r="V28">
        <v>7.5077248574021844</v>
      </c>
      <c r="W28">
        <v>71.842038248680339</v>
      </c>
      <c r="X28">
        <v>21.211834817447489</v>
      </c>
      <c r="Y28">
        <v>99999</v>
      </c>
      <c r="Z28">
        <v>99999</v>
      </c>
    </row>
    <row r="29" spans="1:26">
      <c r="A29">
        <v>-80.563676043910434</v>
      </c>
      <c r="B29">
        <v>29.784483994170255</v>
      </c>
      <c r="C29">
        <v>-24.657059320007669</v>
      </c>
      <c r="D29">
        <v>9.7619888582259566</v>
      </c>
      <c r="E29">
        <v>-13.234046052435676</v>
      </c>
      <c r="F29">
        <v>6.0856581165235912</v>
      </c>
      <c r="G29">
        <v>-7.7916090687395734</v>
      </c>
      <c r="H29">
        <v>4.6510502922431645</v>
      </c>
      <c r="I29">
        <v>-4.2291699364649054</v>
      </c>
      <c r="J29">
        <v>3.9834704133102075</v>
      </c>
      <c r="K29">
        <v>-1.3919426924394402</v>
      </c>
      <c r="L29">
        <v>3.7042279357656116</v>
      </c>
      <c r="M29">
        <v>1.2412541864807753</v>
      </c>
      <c r="N29">
        <v>3.6970115388844458</v>
      </c>
      <c r="O29">
        <v>4.0556336731423182</v>
      </c>
      <c r="P29">
        <v>3.9591050710239144</v>
      </c>
      <c r="Q29">
        <v>7.5562681017145934</v>
      </c>
      <c r="R29">
        <v>4.5984864291345833</v>
      </c>
      <c r="S29">
        <v>12.834319452351824</v>
      </c>
      <c r="T29">
        <v>5.9693065276574115</v>
      </c>
      <c r="U29">
        <v>23.645301929096721</v>
      </c>
      <c r="V29">
        <v>9.4190360640173321</v>
      </c>
      <c r="W29">
        <v>71.842038248680339</v>
      </c>
      <c r="X29">
        <v>26.61192850355058</v>
      </c>
      <c r="Y29">
        <v>99999</v>
      </c>
      <c r="Z29">
        <v>99999</v>
      </c>
    </row>
    <row r="30" spans="1:26">
      <c r="A30">
        <v>-80.563676043910434</v>
      </c>
      <c r="B30">
        <v>35.196252404387721</v>
      </c>
      <c r="C30">
        <v>-24.657059320007669</v>
      </c>
      <c r="D30">
        <v>11.535718526807171</v>
      </c>
      <c r="E30">
        <v>-13.234046052435676</v>
      </c>
      <c r="F30">
        <v>7.1914074172948297</v>
      </c>
      <c r="G30">
        <v>-7.7916090687395734</v>
      </c>
      <c r="H30">
        <v>5.4961348352831205</v>
      </c>
      <c r="I30">
        <v>-4.2291699364649054</v>
      </c>
      <c r="J30">
        <v>4.7072573135636278</v>
      </c>
      <c r="K30">
        <v>-1.3919426924394402</v>
      </c>
      <c r="L30">
        <v>4.3772771559886339</v>
      </c>
      <c r="M30">
        <v>1.2412541864807753</v>
      </c>
      <c r="N30">
        <v>4.3687495573191573</v>
      </c>
      <c r="O30">
        <v>4.0556336731423182</v>
      </c>
      <c r="P30">
        <v>4.6784648477550697</v>
      </c>
      <c r="Q30">
        <v>7.5562681017145934</v>
      </c>
      <c r="R30">
        <v>5.4340202458988829</v>
      </c>
      <c r="S30">
        <v>12.834319452351824</v>
      </c>
      <c r="T30">
        <v>7.0539150272911231</v>
      </c>
      <c r="U30">
        <v>23.645301929096721</v>
      </c>
      <c r="V30">
        <v>11.130452042750594</v>
      </c>
      <c r="W30">
        <v>71.842038248680339</v>
      </c>
      <c r="X30">
        <v>31.447251285663221</v>
      </c>
      <c r="Y30">
        <v>99999</v>
      </c>
      <c r="Z30">
        <v>99999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0779-9D3F-4AAB-A818-F5D0CDDAA628}">
  <sheetPr codeName="Sheet7"/>
  <dimension ref="A1:Z30"/>
  <sheetViews>
    <sheetView topLeftCell="C1" zoomScaleNormal="100" workbookViewId="0">
      <selection activeCell="A5" sqref="A5"/>
    </sheetView>
  </sheetViews>
  <sheetFormatPr defaultRowHeight="15"/>
  <cols>
    <col min="2" max="2" width="9.7109375" customWidth="1"/>
    <col min="4" max="4" width="10" customWidth="1"/>
    <col min="5" max="5" width="10.85546875" customWidth="1"/>
    <col min="6" max="6" width="9.5703125" customWidth="1"/>
    <col min="10" max="10" width="9.5703125" customWidth="1"/>
    <col min="11" max="11" width="10" customWidth="1"/>
    <col min="12" max="12" width="10.42578125" customWidth="1"/>
    <col min="13" max="13" width="11.5703125" customWidth="1"/>
    <col min="14" max="14" width="12.140625" customWidth="1"/>
    <col min="15" max="15" width="13.140625" customWidth="1"/>
    <col min="16" max="16" width="11" customWidth="1"/>
    <col min="17" max="17" width="10" customWidth="1"/>
    <col min="18" max="18" width="9.7109375" customWidth="1"/>
    <col min="20" max="20" width="10.5703125" customWidth="1"/>
    <col min="22" max="22" width="10.85546875" customWidth="1"/>
  </cols>
  <sheetData>
    <row r="1" spans="1:24" s="23" customFormat="1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155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4" s="2" customFormat="1">
      <c r="A2" s="10" t="str">
        <f>Enter!B2</f>
        <v>Tehran</v>
      </c>
      <c r="B2" s="2">
        <v>51.349758148193303</v>
      </c>
      <c r="C2" s="2">
        <v>35.702907562255803</v>
      </c>
      <c r="D2" s="2">
        <v>1368</v>
      </c>
      <c r="E2" s="2">
        <v>3.5</v>
      </c>
      <c r="K2" s="2">
        <v>0</v>
      </c>
      <c r="L2" s="2">
        <v>0</v>
      </c>
      <c r="M2" s="2">
        <v>15</v>
      </c>
      <c r="N2" s="2">
        <v>25.703310208587919</v>
      </c>
      <c r="O2" s="2">
        <v>35.702907562255803</v>
      </c>
      <c r="P2" s="2">
        <v>90</v>
      </c>
      <c r="Q2" s="2">
        <v>0</v>
      </c>
      <c r="R2" s="2">
        <v>-20.872473635841533</v>
      </c>
    </row>
    <row r="4" spans="1:24" ht="15.75" thickBot="1"/>
    <row r="5" spans="1:24" s="38" customFormat="1">
      <c r="A5" s="51"/>
      <c r="B5" s="83">
        <v>45098</v>
      </c>
      <c r="C5" s="52"/>
      <c r="D5" s="83">
        <v>45020</v>
      </c>
      <c r="E5" s="52"/>
      <c r="F5" s="83">
        <v>45036</v>
      </c>
      <c r="G5" s="52"/>
      <c r="H5" s="83">
        <v>45051</v>
      </c>
      <c r="I5" s="52"/>
      <c r="J5" s="83">
        <v>45067</v>
      </c>
      <c r="K5" s="52"/>
      <c r="L5" s="83">
        <v>45192</v>
      </c>
      <c r="M5" s="52"/>
      <c r="N5" s="83">
        <v>45207</v>
      </c>
      <c r="O5" s="52"/>
      <c r="P5" s="83">
        <v>45223</v>
      </c>
      <c r="Q5" s="52"/>
      <c r="R5" s="83">
        <v>45238</v>
      </c>
      <c r="S5" s="52"/>
      <c r="T5" s="83">
        <v>45253</v>
      </c>
      <c r="U5" s="52"/>
      <c r="V5" s="83">
        <v>45282</v>
      </c>
      <c r="W5" s="52"/>
      <c r="X5" s="83"/>
    </row>
    <row r="6" spans="1:24">
      <c r="A6" s="42">
        <v>-59.289733599161131</v>
      </c>
      <c r="B6" s="28">
        <v>-20.872473656679254</v>
      </c>
      <c r="C6" s="29">
        <v>-260.01464296889969</v>
      </c>
      <c r="D6" s="28">
        <v>-20.872473727225191</v>
      </c>
      <c r="E6" s="29">
        <v>-126.60870374510408</v>
      </c>
      <c r="F6" s="28">
        <v>-20.872473680338899</v>
      </c>
      <c r="G6" s="29">
        <v>-88.365098427930221</v>
      </c>
      <c r="H6" s="28">
        <v>-20.872473666897964</v>
      </c>
      <c r="I6" s="29">
        <v>-70.009458274108653</v>
      </c>
      <c r="J6" s="28">
        <v>-20.872473660446769</v>
      </c>
      <c r="K6" s="29">
        <v>999999.99899999995</v>
      </c>
      <c r="L6" s="28">
        <v>9999999.9989999998</v>
      </c>
      <c r="M6" s="29">
        <v>999999.99899999995</v>
      </c>
      <c r="N6" s="28">
        <v>9999999.9989999998</v>
      </c>
      <c r="O6" s="29">
        <v>999999.99899999995</v>
      </c>
      <c r="P6" s="28">
        <v>9999999.9989999998</v>
      </c>
      <c r="Q6" s="29">
        <v>999999.99899999995</v>
      </c>
      <c r="R6" s="28">
        <v>9999999.9989999998</v>
      </c>
      <c r="S6" s="29">
        <v>999999.99899999995</v>
      </c>
      <c r="T6" s="28">
        <v>9999999.9989999998</v>
      </c>
      <c r="U6" s="29">
        <v>999999.99899999995</v>
      </c>
      <c r="V6" s="28">
        <v>9999999.9989999998</v>
      </c>
      <c r="W6" s="29"/>
      <c r="X6" s="28"/>
    </row>
    <row r="7" spans="1:24">
      <c r="A7" s="42">
        <v>-31.282013213959516</v>
      </c>
      <c r="B7" s="28">
        <v>-6.5094807215401209</v>
      </c>
      <c r="C7" s="29">
        <v>-54.090445960628976</v>
      </c>
      <c r="D7" s="28">
        <v>3.9629065793048386</v>
      </c>
      <c r="E7" s="29">
        <v>-44.086033164304844</v>
      </c>
      <c r="F7" s="28">
        <v>-0.63057367794494512</v>
      </c>
      <c r="G7" s="29">
        <v>-38.136148176026055</v>
      </c>
      <c r="H7" s="28">
        <v>-3.3624360853625461</v>
      </c>
      <c r="I7" s="29">
        <v>-34.137140478988883</v>
      </c>
      <c r="J7" s="28">
        <v>-5.1985621308291536</v>
      </c>
      <c r="K7" s="29">
        <v>-69.029119114453479</v>
      </c>
      <c r="L7" s="28">
        <v>10.821929852196284</v>
      </c>
      <c r="M7" s="29">
        <v>-96.241377206408117</v>
      </c>
      <c r="N7" s="28">
        <v>23.31631336529033</v>
      </c>
      <c r="O7" s="29">
        <v>-162.32029170882271</v>
      </c>
      <c r="P7" s="28">
        <v>53.656143934742964</v>
      </c>
      <c r="Q7" s="29">
        <v>-391.81177094877052</v>
      </c>
      <c r="R7" s="28">
        <v>159.02610422697271</v>
      </c>
      <c r="S7" s="29">
        <v>999999.99899999995</v>
      </c>
      <c r="T7" s="28">
        <v>9999999.9989999998</v>
      </c>
      <c r="U7" s="29">
        <v>999999.99899999995</v>
      </c>
      <c r="V7" s="28">
        <v>9999999.9989999998</v>
      </c>
      <c r="W7" s="29"/>
      <c r="X7" s="28"/>
    </row>
    <row r="8" spans="1:24">
      <c r="A8" s="42">
        <v>-19.711608945564194</v>
      </c>
      <c r="B8" s="28">
        <v>-1.3713674922179095</v>
      </c>
      <c r="C8" s="29">
        <v>-28.013656244199741</v>
      </c>
      <c r="D8" s="28">
        <v>6.8420211777368367</v>
      </c>
      <c r="E8" s="29">
        <v>-24.767065724538138</v>
      </c>
      <c r="F8" s="28">
        <v>3.6301014149388569</v>
      </c>
      <c r="G8" s="29">
        <v>-22.561470433990685</v>
      </c>
      <c r="H8" s="28">
        <v>1.4480599595902144</v>
      </c>
      <c r="I8" s="29">
        <v>-20.942643844699472</v>
      </c>
      <c r="J8" s="28">
        <v>-0.1534789727754412</v>
      </c>
      <c r="K8" s="29">
        <v>-32.015944788598532</v>
      </c>
      <c r="L8" s="28">
        <v>10.801568769071006</v>
      </c>
      <c r="M8" s="29">
        <v>-37.501173605714513</v>
      </c>
      <c r="N8" s="28">
        <v>16.228220123612687</v>
      </c>
      <c r="O8" s="29">
        <v>-45.562213646480878</v>
      </c>
      <c r="P8" s="28">
        <v>24.203175283138634</v>
      </c>
      <c r="Q8" s="29">
        <v>-55.793142302176605</v>
      </c>
      <c r="R8" s="28">
        <v>34.324846538567066</v>
      </c>
      <c r="S8" s="29">
        <v>-68.369868755982807</v>
      </c>
      <c r="T8" s="28">
        <v>46.767264516333718</v>
      </c>
      <c r="U8" s="29">
        <v>-84.903917706353525</v>
      </c>
      <c r="V8" s="28">
        <v>63.124744235796534</v>
      </c>
      <c r="W8" s="29"/>
      <c r="X8" s="28"/>
    </row>
    <row r="9" spans="1:24">
      <c r="A9" s="42">
        <v>-12.822236395956352</v>
      </c>
      <c r="B9" s="28">
        <v>1.0991210251644412</v>
      </c>
      <c r="C9" s="29">
        <v>-16.785309650305212</v>
      </c>
      <c r="D9" s="28">
        <v>7.8900611129549922</v>
      </c>
      <c r="E9" s="29">
        <v>-15.312321693791262</v>
      </c>
      <c r="F9" s="28">
        <v>5.3660166856291642</v>
      </c>
      <c r="G9" s="29">
        <v>-14.256968718507336</v>
      </c>
      <c r="H9" s="28">
        <v>3.5576123573064069</v>
      </c>
      <c r="I9" s="29">
        <v>-13.452206161895228</v>
      </c>
      <c r="J9" s="28">
        <v>2.178608247086419</v>
      </c>
      <c r="K9" s="29">
        <v>-18.480682703470208</v>
      </c>
      <c r="L9" s="28">
        <v>10.795174415582968</v>
      </c>
      <c r="M9" s="29">
        <v>-20.612105269340638</v>
      </c>
      <c r="N9" s="28">
        <v>14.447482111562982</v>
      </c>
      <c r="O9" s="29">
        <v>-23.398898871589857</v>
      </c>
      <c r="P9" s="28">
        <v>19.22280347842019</v>
      </c>
      <c r="Q9" s="29">
        <v>-26.449519915775923</v>
      </c>
      <c r="R9" s="28">
        <v>24.450207417746157</v>
      </c>
      <c r="S9" s="29">
        <v>-29.612207177813136</v>
      </c>
      <c r="T9" s="28">
        <v>29.869642874646853</v>
      </c>
      <c r="U9" s="29">
        <v>-33.023563517747334</v>
      </c>
      <c r="V9" s="28">
        <v>35.715186228450904</v>
      </c>
      <c r="W9" s="29"/>
      <c r="X9" s="28"/>
    </row>
    <row r="10" spans="1:24">
      <c r="A10" s="42">
        <v>-7.8431026951365723</v>
      </c>
      <c r="B10" s="28">
        <v>2.4055619163429669</v>
      </c>
      <c r="C10" s="29">
        <v>-9.8561219585409834</v>
      </c>
      <c r="D10" s="28">
        <v>8.3801278250383859</v>
      </c>
      <c r="E10" s="29">
        <v>-9.1270346172712422</v>
      </c>
      <c r="F10" s="28">
        <v>6.2162238561092691</v>
      </c>
      <c r="G10" s="29">
        <v>-8.5909708685616319</v>
      </c>
      <c r="H10" s="28">
        <v>4.6252066929096269</v>
      </c>
      <c r="I10" s="29">
        <v>-8.1742436450277296</v>
      </c>
      <c r="J10" s="28">
        <v>3.3883758745396815</v>
      </c>
      <c r="K10" s="29">
        <v>-10.668872969341479</v>
      </c>
      <c r="L10" s="28">
        <v>10.792342437020894</v>
      </c>
      <c r="M10" s="29">
        <v>-11.652627145133657</v>
      </c>
      <c r="N10" s="28">
        <v>13.712088049034907</v>
      </c>
      <c r="O10" s="29">
        <v>-12.878954728735277</v>
      </c>
      <c r="P10" s="28">
        <v>17.351782465812644</v>
      </c>
      <c r="Q10" s="29">
        <v>-14.149248073468263</v>
      </c>
      <c r="R10" s="28">
        <v>21.12196561778563</v>
      </c>
      <c r="S10" s="29">
        <v>-15.393017253887285</v>
      </c>
      <c r="T10" s="28">
        <v>24.813426041790855</v>
      </c>
      <c r="U10" s="29">
        <v>-16.65802957190289</v>
      </c>
      <c r="V10" s="28">
        <v>28.567935303919782</v>
      </c>
      <c r="W10" s="29"/>
      <c r="X10" s="28"/>
    </row>
    <row r="11" spans="1:24">
      <c r="A11" s="42">
        <v>-3.7423994891794781</v>
      </c>
      <c r="B11" s="28">
        <v>3.0604354466111459</v>
      </c>
      <c r="C11" s="29">
        <v>-4.6103913952967233</v>
      </c>
      <c r="D11" s="28">
        <v>8.6113049979436873</v>
      </c>
      <c r="E11" s="29">
        <v>-4.2999905719871743</v>
      </c>
      <c r="F11" s="28">
        <v>6.626269807322001</v>
      </c>
      <c r="G11" s="29">
        <v>-4.0689097875172111</v>
      </c>
      <c r="H11" s="28">
        <v>5.1484918679513374</v>
      </c>
      <c r="I11" s="29">
        <v>-3.887570398041285</v>
      </c>
      <c r="J11" s="28">
        <v>3.988813663114271</v>
      </c>
      <c r="K11" s="29">
        <v>-4.9512374148744929</v>
      </c>
      <c r="L11" s="28">
        <v>10.791039369235831</v>
      </c>
      <c r="M11" s="29">
        <v>-5.3566780409342165</v>
      </c>
      <c r="N11" s="28">
        <v>13.383860811702279</v>
      </c>
      <c r="O11" s="29">
        <v>-5.8514870473152412</v>
      </c>
      <c r="P11" s="28">
        <v>16.54819935897272</v>
      </c>
      <c r="Q11" s="29">
        <v>-6.3520315718429234</v>
      </c>
      <c r="R11" s="28">
        <v>19.749216949926652</v>
      </c>
      <c r="S11" s="29">
        <v>-6.8306994360655642</v>
      </c>
      <c r="T11" s="28">
        <v>22.810331752944109</v>
      </c>
      <c r="U11" s="29">
        <v>-7.3063485659795111</v>
      </c>
      <c r="V11" s="28">
        <v>25.852141536825329</v>
      </c>
      <c r="W11" s="29"/>
      <c r="X11" s="28"/>
    </row>
    <row r="12" spans="1:24">
      <c r="A12" s="42">
        <v>0</v>
      </c>
      <c r="B12" s="28">
        <v>3.26098389015706</v>
      </c>
      <c r="C12" s="29">
        <v>0</v>
      </c>
      <c r="D12" s="28">
        <v>8.680291992215837</v>
      </c>
      <c r="E12" s="29">
        <v>0</v>
      </c>
      <c r="F12" s="28">
        <v>6.7497769587993437</v>
      </c>
      <c r="G12" s="29">
        <v>0</v>
      </c>
      <c r="H12" s="28">
        <v>5.3071968553528128</v>
      </c>
      <c r="I12" s="29">
        <v>0</v>
      </c>
      <c r="J12" s="28">
        <v>4.1719020772763793</v>
      </c>
      <c r="K12" s="29">
        <v>0</v>
      </c>
      <c r="L12" s="28">
        <v>10.790654482897132</v>
      </c>
      <c r="M12" s="29">
        <v>0</v>
      </c>
      <c r="N12" s="28">
        <v>13.288095972261793</v>
      </c>
      <c r="O12" s="29">
        <v>0</v>
      </c>
      <c r="P12" s="28">
        <v>16.317257089290219</v>
      </c>
      <c r="Q12" s="29">
        <v>0</v>
      </c>
      <c r="R12" s="28">
        <v>19.360733486308604</v>
      </c>
      <c r="S12" s="29">
        <v>0</v>
      </c>
      <c r="T12" s="28">
        <v>22.251823137528817</v>
      </c>
      <c r="U12" s="29">
        <v>0</v>
      </c>
      <c r="V12" s="28">
        <v>25.106106999982046</v>
      </c>
      <c r="W12" s="29"/>
      <c r="X12" s="28"/>
    </row>
    <row r="13" spans="1:24">
      <c r="A13" s="42">
        <v>3.7423994891794781</v>
      </c>
      <c r="B13" s="28">
        <v>3.0604354466111459</v>
      </c>
      <c r="C13" s="29">
        <v>4.6103913952967233</v>
      </c>
      <c r="D13" s="28">
        <v>8.6113049979436873</v>
      </c>
      <c r="E13" s="29">
        <v>4.2999905719871743</v>
      </c>
      <c r="F13" s="28">
        <v>6.626269807322001</v>
      </c>
      <c r="G13" s="29">
        <v>4.0689097875172111</v>
      </c>
      <c r="H13" s="28">
        <v>5.1484918679513374</v>
      </c>
      <c r="I13" s="29">
        <v>3.887570398041285</v>
      </c>
      <c r="J13" s="28">
        <v>3.988813663114271</v>
      </c>
      <c r="K13" s="29">
        <v>4.9512374148744929</v>
      </c>
      <c r="L13" s="28">
        <v>10.791039369235831</v>
      </c>
      <c r="M13" s="29">
        <v>5.3566780409342165</v>
      </c>
      <c r="N13" s="28">
        <v>13.383860811702279</v>
      </c>
      <c r="O13" s="29">
        <v>5.8514870473152412</v>
      </c>
      <c r="P13" s="28">
        <v>16.54819935897272</v>
      </c>
      <c r="Q13" s="29">
        <v>6.3520315718429234</v>
      </c>
      <c r="R13" s="28">
        <v>19.749216949926652</v>
      </c>
      <c r="S13" s="29">
        <v>6.8306994360655642</v>
      </c>
      <c r="T13" s="28">
        <v>22.810331752944109</v>
      </c>
      <c r="U13" s="29">
        <v>7.3063485659795111</v>
      </c>
      <c r="V13" s="28">
        <v>25.852141536825329</v>
      </c>
      <c r="W13" s="29"/>
      <c r="X13" s="28"/>
    </row>
    <row r="14" spans="1:24">
      <c r="A14" s="42">
        <v>7.8431026951365723</v>
      </c>
      <c r="B14" s="28">
        <v>2.4055619163429669</v>
      </c>
      <c r="C14" s="29">
        <v>9.8561219585409834</v>
      </c>
      <c r="D14" s="28">
        <v>8.3801278250383859</v>
      </c>
      <c r="E14" s="29">
        <v>9.1270346172712422</v>
      </c>
      <c r="F14" s="28">
        <v>6.2162238561092691</v>
      </c>
      <c r="G14" s="29">
        <v>8.5909708685616319</v>
      </c>
      <c r="H14" s="28">
        <v>4.6252066929096269</v>
      </c>
      <c r="I14" s="29">
        <v>8.1742436450277296</v>
      </c>
      <c r="J14" s="28">
        <v>3.3883758745396815</v>
      </c>
      <c r="K14" s="29">
        <v>10.668872969341479</v>
      </c>
      <c r="L14" s="28">
        <v>10.792342437020894</v>
      </c>
      <c r="M14" s="29">
        <v>11.652627145133657</v>
      </c>
      <c r="N14" s="28">
        <v>13.712088049034907</v>
      </c>
      <c r="O14" s="29">
        <v>12.878954728735277</v>
      </c>
      <c r="P14" s="28">
        <v>17.351782465812644</v>
      </c>
      <c r="Q14" s="29">
        <v>14.149248073468263</v>
      </c>
      <c r="R14" s="28">
        <v>21.12196561778563</v>
      </c>
      <c r="S14" s="29">
        <v>15.393017253887285</v>
      </c>
      <c r="T14" s="28">
        <v>24.813426041790855</v>
      </c>
      <c r="U14" s="29">
        <v>16.65802957190289</v>
      </c>
      <c r="V14" s="28">
        <v>28.567935303919782</v>
      </c>
      <c r="W14" s="29"/>
      <c r="X14" s="28"/>
    </row>
    <row r="15" spans="1:24">
      <c r="A15" s="42">
        <v>12.822236395956352</v>
      </c>
      <c r="B15" s="28">
        <v>1.0991210251644412</v>
      </c>
      <c r="C15" s="29">
        <v>16.785309650305212</v>
      </c>
      <c r="D15" s="28">
        <v>7.8900611129549922</v>
      </c>
      <c r="E15" s="29">
        <v>15.312321693791262</v>
      </c>
      <c r="F15" s="28">
        <v>5.3660166856291642</v>
      </c>
      <c r="G15" s="29">
        <v>14.256968718507336</v>
      </c>
      <c r="H15" s="28">
        <v>3.5576123573064069</v>
      </c>
      <c r="I15" s="29">
        <v>13.452206161895228</v>
      </c>
      <c r="J15" s="28">
        <v>2.178608247086419</v>
      </c>
      <c r="K15" s="29">
        <v>18.480682703470208</v>
      </c>
      <c r="L15" s="28">
        <v>10.795174415582968</v>
      </c>
      <c r="M15" s="29">
        <v>20.612105269340638</v>
      </c>
      <c r="N15" s="28">
        <v>14.447482111562982</v>
      </c>
      <c r="O15" s="29">
        <v>23.398898871589857</v>
      </c>
      <c r="P15" s="28">
        <v>19.22280347842019</v>
      </c>
      <c r="Q15" s="29">
        <v>26.449519915775923</v>
      </c>
      <c r="R15" s="28">
        <v>24.450207417746157</v>
      </c>
      <c r="S15" s="29">
        <v>29.612207177813136</v>
      </c>
      <c r="T15" s="28">
        <v>29.869642874646853</v>
      </c>
      <c r="U15" s="29">
        <v>33.023563517747334</v>
      </c>
      <c r="V15" s="28">
        <v>35.715186228450904</v>
      </c>
      <c r="W15" s="29"/>
      <c r="X15" s="28"/>
    </row>
    <row r="16" spans="1:24">
      <c r="A16" s="42">
        <v>19.711608945564194</v>
      </c>
      <c r="B16" s="28">
        <v>-1.3713674922179095</v>
      </c>
      <c r="C16" s="29">
        <v>28.013656244199741</v>
      </c>
      <c r="D16" s="28">
        <v>6.8420211777368367</v>
      </c>
      <c r="E16" s="29">
        <v>24.767065724538138</v>
      </c>
      <c r="F16" s="28">
        <v>3.6301014149388569</v>
      </c>
      <c r="G16" s="29">
        <v>22.561470433990685</v>
      </c>
      <c r="H16" s="28">
        <v>1.4480599595902144</v>
      </c>
      <c r="I16" s="29">
        <v>20.942643844699472</v>
      </c>
      <c r="J16" s="28">
        <v>-0.1534789727754412</v>
      </c>
      <c r="K16" s="29">
        <v>32.015944788598532</v>
      </c>
      <c r="L16" s="28">
        <v>10.801568769071006</v>
      </c>
      <c r="M16" s="29">
        <v>37.501173605714513</v>
      </c>
      <c r="N16" s="28">
        <v>16.228220123612687</v>
      </c>
      <c r="O16" s="29">
        <v>45.562213646480878</v>
      </c>
      <c r="P16" s="28">
        <v>24.203175283138634</v>
      </c>
      <c r="Q16" s="29">
        <v>55.793142302176605</v>
      </c>
      <c r="R16" s="28">
        <v>34.324846538567066</v>
      </c>
      <c r="S16" s="29">
        <v>68.369868755982807</v>
      </c>
      <c r="T16" s="28">
        <v>46.767264516333718</v>
      </c>
      <c r="U16" s="29">
        <v>84.903917706353525</v>
      </c>
      <c r="V16" s="28">
        <v>63.124744235796534</v>
      </c>
      <c r="W16" s="29"/>
      <c r="X16" s="28"/>
    </row>
    <row r="17" spans="1:26">
      <c r="A17" s="42">
        <v>31.282013213959516</v>
      </c>
      <c r="B17" s="28">
        <v>-6.5094807215401209</v>
      </c>
      <c r="C17" s="29">
        <v>54.090445960628976</v>
      </c>
      <c r="D17" s="28">
        <v>3.9629065793048386</v>
      </c>
      <c r="E17" s="29">
        <v>44.086033164304844</v>
      </c>
      <c r="F17" s="28">
        <v>-0.63057367794494512</v>
      </c>
      <c r="G17" s="29">
        <v>38.136148176026055</v>
      </c>
      <c r="H17" s="28">
        <v>-3.3624360853625461</v>
      </c>
      <c r="I17" s="29">
        <v>34.137140478988883</v>
      </c>
      <c r="J17" s="28">
        <v>-5.1985621308291536</v>
      </c>
      <c r="K17" s="29">
        <v>69.029119114453479</v>
      </c>
      <c r="L17" s="28">
        <v>10.821929852196284</v>
      </c>
      <c r="M17" s="29">
        <v>96.241377206408117</v>
      </c>
      <c r="N17" s="28">
        <v>23.31631336529033</v>
      </c>
      <c r="O17" s="29">
        <v>162.32029170882271</v>
      </c>
      <c r="P17" s="28">
        <v>53.656143934742964</v>
      </c>
      <c r="Q17" s="29">
        <v>391.81177094877052</v>
      </c>
      <c r="R17" s="28">
        <v>159.02610422697271</v>
      </c>
      <c r="S17" s="29">
        <v>999999.99899999995</v>
      </c>
      <c r="T17" s="28">
        <v>9999999.9989999998</v>
      </c>
      <c r="U17" s="29">
        <v>999999.99899999995</v>
      </c>
      <c r="V17" s="28">
        <v>9999999.9989999998</v>
      </c>
      <c r="W17" s="29"/>
      <c r="X17" s="28"/>
    </row>
    <row r="18" spans="1:26" ht="15.75" thickBot="1">
      <c r="A18" s="42">
        <v>59.289733599161131</v>
      </c>
      <c r="B18" s="28">
        <v>-20.872473656679254</v>
      </c>
      <c r="C18" s="29">
        <v>260.01464296889969</v>
      </c>
      <c r="D18" s="28">
        <v>-20.872473727225191</v>
      </c>
      <c r="E18" s="29">
        <v>126.60870374510408</v>
      </c>
      <c r="F18" s="28">
        <v>-20.872473680338899</v>
      </c>
      <c r="G18" s="29">
        <v>88.365098427930221</v>
      </c>
      <c r="H18" s="28">
        <v>-20.872473666897964</v>
      </c>
      <c r="I18" s="29">
        <v>70.009458274108653</v>
      </c>
      <c r="J18" s="28">
        <v>-20.872473660446769</v>
      </c>
      <c r="K18" s="29">
        <v>999999.99899999995</v>
      </c>
      <c r="L18" s="28">
        <v>9999999.9989999998</v>
      </c>
      <c r="M18" s="29">
        <v>999999.99899999995</v>
      </c>
      <c r="N18" s="28">
        <v>9999999.9989999998</v>
      </c>
      <c r="O18" s="29">
        <v>999999.99899999995</v>
      </c>
      <c r="P18" s="28">
        <v>9999999.9989999998</v>
      </c>
      <c r="Q18" s="29">
        <v>999999.99899999995</v>
      </c>
      <c r="R18" s="28">
        <v>9999999.9989999998</v>
      </c>
      <c r="S18" s="29">
        <v>999999.99899999995</v>
      </c>
      <c r="T18" s="28">
        <v>9999999.9989999998</v>
      </c>
      <c r="U18" s="29">
        <v>999999.99899999995</v>
      </c>
      <c r="V18" s="28">
        <v>9999999.9989999998</v>
      </c>
      <c r="W18" s="29"/>
      <c r="X18" s="28"/>
    </row>
    <row r="19" spans="1:26" s="8" customFormat="1">
      <c r="A19" s="49"/>
      <c r="B19" s="37">
        <v>6</v>
      </c>
      <c r="C19" s="50"/>
      <c r="D19" s="37">
        <v>7</v>
      </c>
      <c r="E19" s="50"/>
      <c r="F19" s="37">
        <v>8</v>
      </c>
      <c r="G19" s="50"/>
      <c r="H19" s="37">
        <v>9</v>
      </c>
      <c r="I19" s="50"/>
      <c r="J19" s="53">
        <v>10</v>
      </c>
      <c r="K19" s="50"/>
      <c r="L19" s="37">
        <v>11</v>
      </c>
      <c r="M19" s="50"/>
      <c r="N19" s="37">
        <v>12</v>
      </c>
      <c r="O19" s="50"/>
      <c r="P19" s="37">
        <v>13</v>
      </c>
      <c r="Q19" s="50"/>
      <c r="R19" s="37">
        <v>14</v>
      </c>
      <c r="S19" s="50"/>
      <c r="T19" s="37">
        <v>15</v>
      </c>
      <c r="U19" s="50"/>
      <c r="V19" s="37">
        <v>16</v>
      </c>
      <c r="W19" s="50"/>
      <c r="X19" s="37">
        <v>17</v>
      </c>
      <c r="Y19" s="36"/>
      <c r="Z19" s="26">
        <v>18</v>
      </c>
    </row>
    <row r="20" spans="1:26">
      <c r="A20" s="42">
        <v>-59.289733599161131</v>
      </c>
      <c r="B20" s="28">
        <v>-20.872473656679254</v>
      </c>
      <c r="C20" s="29">
        <v>-31.282013213959516</v>
      </c>
      <c r="D20" s="28">
        <v>-6.5094807215401209</v>
      </c>
      <c r="E20" s="29">
        <v>-19.711608945564194</v>
      </c>
      <c r="F20" s="28">
        <v>-1.3713674922179095</v>
      </c>
      <c r="G20" s="29">
        <v>-12.822236395956352</v>
      </c>
      <c r="H20" s="28">
        <v>1.0991210251644412</v>
      </c>
      <c r="I20" s="29">
        <v>-7.8431026951365723</v>
      </c>
      <c r="J20" s="28">
        <v>2.4055619163429669</v>
      </c>
      <c r="K20" s="29">
        <v>-3.7423994891794781</v>
      </c>
      <c r="L20" s="28">
        <v>3.0604354466111459</v>
      </c>
      <c r="M20" s="29">
        <v>0</v>
      </c>
      <c r="N20" s="28">
        <v>3.26098389015706</v>
      </c>
      <c r="O20" s="29">
        <v>3.7423994891794781</v>
      </c>
      <c r="P20" s="28">
        <v>3.0604354466111459</v>
      </c>
      <c r="Q20" s="29">
        <v>7.8431026951365723</v>
      </c>
      <c r="R20" s="28">
        <v>2.4055619163429669</v>
      </c>
      <c r="S20" s="29">
        <v>12.822236395956352</v>
      </c>
      <c r="T20" s="28">
        <v>1.0991210251644412</v>
      </c>
      <c r="U20" s="29">
        <v>19.711608945564194</v>
      </c>
      <c r="V20" s="28">
        <v>-1.3713674922179095</v>
      </c>
      <c r="W20" s="29">
        <v>31.282013213959516</v>
      </c>
      <c r="X20" s="28">
        <v>-6.5094807215401209</v>
      </c>
      <c r="Y20">
        <v>59.289733599161131</v>
      </c>
      <c r="Z20" s="43">
        <v>-20.872473656679254</v>
      </c>
    </row>
    <row r="21" spans="1:26">
      <c r="A21" s="42">
        <v>-260.01464296889969</v>
      </c>
      <c r="B21" s="28">
        <v>-20.872473727225191</v>
      </c>
      <c r="C21" s="29">
        <v>-54.090445960628976</v>
      </c>
      <c r="D21" s="28">
        <v>3.9629065793048386</v>
      </c>
      <c r="E21" s="29">
        <v>-28.013656244199741</v>
      </c>
      <c r="F21" s="28">
        <v>6.8420211777368367</v>
      </c>
      <c r="G21" s="29">
        <v>-16.785309650305212</v>
      </c>
      <c r="H21" s="28">
        <v>7.8900611129549922</v>
      </c>
      <c r="I21" s="29">
        <v>-9.8561219585409834</v>
      </c>
      <c r="J21" s="28">
        <v>8.3801278250383859</v>
      </c>
      <c r="K21" s="29">
        <v>-4.6103913952967233</v>
      </c>
      <c r="L21" s="28">
        <v>8.6113049979436873</v>
      </c>
      <c r="M21" s="29">
        <v>0</v>
      </c>
      <c r="N21" s="28">
        <v>8.680291992215837</v>
      </c>
      <c r="O21" s="29">
        <v>4.6103913952967233</v>
      </c>
      <c r="P21" s="28">
        <v>8.6113049979436873</v>
      </c>
      <c r="Q21" s="29">
        <v>9.8561219585409834</v>
      </c>
      <c r="R21" s="28">
        <v>8.3801278250383859</v>
      </c>
      <c r="S21" s="29">
        <v>16.785309650305212</v>
      </c>
      <c r="T21" s="28">
        <v>7.8900611129549922</v>
      </c>
      <c r="U21" s="29">
        <v>28.013656244199741</v>
      </c>
      <c r="V21" s="28">
        <v>6.8420211777368367</v>
      </c>
      <c r="W21" s="29">
        <v>54.090445960628976</v>
      </c>
      <c r="X21" s="28">
        <v>3.9629065793048386</v>
      </c>
      <c r="Y21">
        <v>260.01464296889969</v>
      </c>
      <c r="Z21" s="43">
        <v>-20.872473727225191</v>
      </c>
    </row>
    <row r="22" spans="1:26">
      <c r="A22" s="42">
        <v>-126.60870374510408</v>
      </c>
      <c r="B22" s="28">
        <v>-20.872473680338899</v>
      </c>
      <c r="C22" s="29">
        <v>-44.086033164304844</v>
      </c>
      <c r="D22" s="28">
        <v>-0.63057367794494512</v>
      </c>
      <c r="E22" s="29">
        <v>-24.767065724538138</v>
      </c>
      <c r="F22" s="28">
        <v>3.6301014149388569</v>
      </c>
      <c r="G22" s="29">
        <v>-15.312321693791262</v>
      </c>
      <c r="H22" s="28">
        <v>5.3660166856291642</v>
      </c>
      <c r="I22" s="29">
        <v>-9.1270346172712422</v>
      </c>
      <c r="J22" s="28">
        <v>6.2162238561092691</v>
      </c>
      <c r="K22" s="29">
        <v>-4.2999905719871743</v>
      </c>
      <c r="L22" s="28">
        <v>6.626269807322001</v>
      </c>
      <c r="M22" s="29">
        <v>0</v>
      </c>
      <c r="N22" s="28">
        <v>6.7497769587993437</v>
      </c>
      <c r="O22" s="29">
        <v>4.2999905719871743</v>
      </c>
      <c r="P22" s="28">
        <v>6.626269807322001</v>
      </c>
      <c r="Q22" s="29">
        <v>9.1270346172712422</v>
      </c>
      <c r="R22" s="28">
        <v>6.2162238561092691</v>
      </c>
      <c r="S22" s="29">
        <v>15.312321693791262</v>
      </c>
      <c r="T22" s="28">
        <v>5.3660166856291642</v>
      </c>
      <c r="U22" s="29">
        <v>24.767065724538138</v>
      </c>
      <c r="V22" s="28">
        <v>3.6301014149388569</v>
      </c>
      <c r="W22" s="29">
        <v>44.086033164304844</v>
      </c>
      <c r="X22" s="28">
        <v>-0.63057367794494512</v>
      </c>
      <c r="Y22">
        <v>126.60870374510408</v>
      </c>
      <c r="Z22" s="43">
        <v>-20.872473680338899</v>
      </c>
    </row>
    <row r="23" spans="1:26">
      <c r="A23" s="42">
        <v>-88.365098427930221</v>
      </c>
      <c r="B23" s="28">
        <v>-20.872473666897964</v>
      </c>
      <c r="C23" s="29">
        <v>-38.136148176026055</v>
      </c>
      <c r="D23" s="28">
        <v>-3.3624360853625461</v>
      </c>
      <c r="E23" s="29">
        <v>-22.561470433990685</v>
      </c>
      <c r="F23" s="28">
        <v>1.4480599595902144</v>
      </c>
      <c r="G23" s="29">
        <v>-14.256968718507336</v>
      </c>
      <c r="H23" s="28">
        <v>3.5576123573064069</v>
      </c>
      <c r="I23" s="29">
        <v>-8.5909708685616319</v>
      </c>
      <c r="J23" s="28">
        <v>4.6252066929096269</v>
      </c>
      <c r="K23" s="29">
        <v>-4.0689097875172111</v>
      </c>
      <c r="L23" s="28">
        <v>5.1484918679513374</v>
      </c>
      <c r="M23" s="29">
        <v>0</v>
      </c>
      <c r="N23" s="28">
        <v>5.3071968553528128</v>
      </c>
      <c r="O23" s="29">
        <v>4.0689097875172111</v>
      </c>
      <c r="P23" s="28">
        <v>5.1484918679513374</v>
      </c>
      <c r="Q23" s="29">
        <v>8.5909708685616319</v>
      </c>
      <c r="R23" s="28">
        <v>4.6252066929096269</v>
      </c>
      <c r="S23" s="29">
        <v>14.256968718507336</v>
      </c>
      <c r="T23" s="28">
        <v>3.5576123573064069</v>
      </c>
      <c r="U23" s="29">
        <v>22.561470433990685</v>
      </c>
      <c r="V23" s="28">
        <v>1.4480599595902144</v>
      </c>
      <c r="W23" s="29">
        <v>38.136148176026055</v>
      </c>
      <c r="X23" s="28">
        <v>-3.3624360853625461</v>
      </c>
      <c r="Y23">
        <v>88.365098427930221</v>
      </c>
      <c r="Z23" s="43">
        <v>-20.872473666897964</v>
      </c>
    </row>
    <row r="24" spans="1:26">
      <c r="A24" s="42">
        <v>-70.009458274108653</v>
      </c>
      <c r="B24" s="28">
        <v>-20.872473660446769</v>
      </c>
      <c r="C24" s="29">
        <v>-34.137140478988883</v>
      </c>
      <c r="D24" s="28">
        <v>-5.1985621308291536</v>
      </c>
      <c r="E24" s="29">
        <v>-20.942643844699472</v>
      </c>
      <c r="F24" s="28">
        <v>-0.1534789727754412</v>
      </c>
      <c r="G24" s="29">
        <v>-13.452206161895228</v>
      </c>
      <c r="H24" s="28">
        <v>2.178608247086419</v>
      </c>
      <c r="I24" s="29">
        <v>-8.1742436450277296</v>
      </c>
      <c r="J24" s="28">
        <v>3.3883758745396815</v>
      </c>
      <c r="K24" s="29">
        <v>-3.887570398041285</v>
      </c>
      <c r="L24" s="28">
        <v>3.988813663114271</v>
      </c>
      <c r="M24" s="29">
        <v>0</v>
      </c>
      <c r="N24" s="28">
        <v>4.1719020772763793</v>
      </c>
      <c r="O24" s="29">
        <v>3.887570398041285</v>
      </c>
      <c r="P24" s="28">
        <v>3.988813663114271</v>
      </c>
      <c r="Q24" s="29">
        <v>8.1742436450277296</v>
      </c>
      <c r="R24" s="28">
        <v>3.3883758745396815</v>
      </c>
      <c r="S24" s="29">
        <v>13.452206161895228</v>
      </c>
      <c r="T24" s="28">
        <v>2.178608247086419</v>
      </c>
      <c r="U24" s="29">
        <v>20.942643844699472</v>
      </c>
      <c r="V24" s="28">
        <v>-0.1534789727754412</v>
      </c>
      <c r="W24" s="29">
        <v>34.137140478988883</v>
      </c>
      <c r="X24" s="28">
        <v>-5.1985621308291536</v>
      </c>
      <c r="Y24">
        <v>70.009458274108653</v>
      </c>
      <c r="Z24" s="43">
        <v>-20.872473660446769</v>
      </c>
    </row>
    <row r="25" spans="1:26">
      <c r="A25" s="42">
        <v>999999.99899999995</v>
      </c>
      <c r="B25" s="28">
        <v>9999999.9989999998</v>
      </c>
      <c r="C25" s="29">
        <v>-69.029119114453479</v>
      </c>
      <c r="D25" s="28">
        <v>10.821929852196284</v>
      </c>
      <c r="E25" s="29">
        <v>-32.015944788598532</v>
      </c>
      <c r="F25" s="28">
        <v>10.801568769071006</v>
      </c>
      <c r="G25" s="29">
        <v>-18.480682703470208</v>
      </c>
      <c r="H25" s="28">
        <v>10.795174415582968</v>
      </c>
      <c r="I25" s="29">
        <v>-10.668872969341479</v>
      </c>
      <c r="J25" s="28">
        <v>10.792342437020894</v>
      </c>
      <c r="K25" s="29">
        <v>-4.9512374148744929</v>
      </c>
      <c r="L25" s="28">
        <v>10.791039369235831</v>
      </c>
      <c r="M25" s="29">
        <v>0</v>
      </c>
      <c r="N25" s="28">
        <v>10.790654482897132</v>
      </c>
      <c r="O25" s="29">
        <v>4.9512374148744929</v>
      </c>
      <c r="P25" s="28">
        <v>10.791039369235831</v>
      </c>
      <c r="Q25" s="29">
        <v>10.668872969341479</v>
      </c>
      <c r="R25" s="28">
        <v>10.792342437020894</v>
      </c>
      <c r="S25" s="29">
        <v>18.480682703470208</v>
      </c>
      <c r="T25" s="28">
        <v>10.795174415582968</v>
      </c>
      <c r="U25" s="29">
        <v>32.015944788598532</v>
      </c>
      <c r="V25" s="28">
        <v>10.801568769071006</v>
      </c>
      <c r="W25" s="29">
        <v>69.029119114453479</v>
      </c>
      <c r="X25" s="28">
        <v>10.821929852196284</v>
      </c>
      <c r="Y25">
        <v>999999.99899999995</v>
      </c>
      <c r="Z25" s="43">
        <v>9999999.9989999998</v>
      </c>
    </row>
    <row r="26" spans="1:26">
      <c r="A26" s="42">
        <v>999999.99899999995</v>
      </c>
      <c r="B26" s="28">
        <v>9999999.9989999998</v>
      </c>
      <c r="C26" s="29">
        <v>-96.241377206408117</v>
      </c>
      <c r="D26" s="28">
        <v>23.31631336529033</v>
      </c>
      <c r="E26" s="29">
        <v>-37.501173605714513</v>
      </c>
      <c r="F26" s="28">
        <v>16.228220123612687</v>
      </c>
      <c r="G26" s="29">
        <v>-20.612105269340638</v>
      </c>
      <c r="H26" s="28">
        <v>14.447482111562982</v>
      </c>
      <c r="I26" s="29">
        <v>-11.652627145133657</v>
      </c>
      <c r="J26" s="28">
        <v>13.712088049034907</v>
      </c>
      <c r="K26" s="29">
        <v>-5.3566780409342165</v>
      </c>
      <c r="L26" s="28">
        <v>13.383860811702279</v>
      </c>
      <c r="M26" s="29">
        <v>0</v>
      </c>
      <c r="N26" s="28">
        <v>13.288095972261793</v>
      </c>
      <c r="O26" s="29">
        <v>5.3566780409342165</v>
      </c>
      <c r="P26" s="28">
        <v>13.383860811702279</v>
      </c>
      <c r="Q26" s="29">
        <v>11.652627145133657</v>
      </c>
      <c r="R26" s="28">
        <v>13.712088049034907</v>
      </c>
      <c r="S26" s="29">
        <v>20.612105269340638</v>
      </c>
      <c r="T26" s="28">
        <v>14.447482111562982</v>
      </c>
      <c r="U26" s="29">
        <v>37.501173605714513</v>
      </c>
      <c r="V26" s="28">
        <v>16.228220123612687</v>
      </c>
      <c r="W26" s="29">
        <v>96.241377206408117</v>
      </c>
      <c r="X26" s="28">
        <v>23.31631336529033</v>
      </c>
      <c r="Y26">
        <v>999999.99899999995</v>
      </c>
      <c r="Z26" s="43">
        <v>9999999.9989999998</v>
      </c>
    </row>
    <row r="27" spans="1:26">
      <c r="A27" s="42">
        <v>999999.99899999995</v>
      </c>
      <c r="B27" s="28">
        <v>9999999.9989999998</v>
      </c>
      <c r="C27" s="29">
        <v>-162.32029170882271</v>
      </c>
      <c r="D27" s="28">
        <v>53.656143934742964</v>
      </c>
      <c r="E27" s="29">
        <v>-45.562213646480878</v>
      </c>
      <c r="F27" s="28">
        <v>24.203175283138634</v>
      </c>
      <c r="G27" s="29">
        <v>-23.398898871589857</v>
      </c>
      <c r="H27" s="28">
        <v>19.22280347842019</v>
      </c>
      <c r="I27" s="29">
        <v>-12.878954728735277</v>
      </c>
      <c r="J27" s="28">
        <v>17.351782465812644</v>
      </c>
      <c r="K27" s="29">
        <v>-5.8514870473152412</v>
      </c>
      <c r="L27" s="28">
        <v>16.54819935897272</v>
      </c>
      <c r="M27" s="29">
        <v>0</v>
      </c>
      <c r="N27" s="28">
        <v>16.317257089290219</v>
      </c>
      <c r="O27" s="29">
        <v>5.8514870473152412</v>
      </c>
      <c r="P27" s="28">
        <v>16.54819935897272</v>
      </c>
      <c r="Q27" s="29">
        <v>12.878954728735277</v>
      </c>
      <c r="R27" s="28">
        <v>17.351782465812644</v>
      </c>
      <c r="S27" s="29">
        <v>23.398898871589857</v>
      </c>
      <c r="T27" s="28">
        <v>19.22280347842019</v>
      </c>
      <c r="U27" s="29">
        <v>45.562213646480878</v>
      </c>
      <c r="V27" s="28">
        <v>24.203175283138634</v>
      </c>
      <c r="W27" s="29">
        <v>162.32029170882271</v>
      </c>
      <c r="X27" s="28">
        <v>53.656143934742964</v>
      </c>
      <c r="Y27">
        <v>999999.99899999995</v>
      </c>
      <c r="Z27" s="43">
        <v>9999999.9989999998</v>
      </c>
    </row>
    <row r="28" spans="1:26">
      <c r="A28" s="42">
        <v>999999.99899999995</v>
      </c>
      <c r="B28" s="28">
        <v>9999999.9989999998</v>
      </c>
      <c r="C28" s="29">
        <v>-391.81177094877052</v>
      </c>
      <c r="D28" s="28">
        <v>159.02610422697271</v>
      </c>
      <c r="E28" s="29">
        <v>-55.793142302176605</v>
      </c>
      <c r="F28" s="28">
        <v>34.324846538567066</v>
      </c>
      <c r="G28" s="29">
        <v>-26.449519915775923</v>
      </c>
      <c r="H28" s="28">
        <v>24.450207417746157</v>
      </c>
      <c r="I28" s="29">
        <v>-14.149248073468263</v>
      </c>
      <c r="J28" s="28">
        <v>21.12196561778563</v>
      </c>
      <c r="K28" s="29">
        <v>-6.3520315718429234</v>
      </c>
      <c r="L28" s="28">
        <v>19.749216949926652</v>
      </c>
      <c r="M28" s="29">
        <v>0</v>
      </c>
      <c r="N28" s="28">
        <v>19.360733486308604</v>
      </c>
      <c r="O28" s="29">
        <v>6.3520315718429234</v>
      </c>
      <c r="P28" s="28">
        <v>19.749216949926652</v>
      </c>
      <c r="Q28" s="29">
        <v>14.149248073468263</v>
      </c>
      <c r="R28" s="28">
        <v>21.12196561778563</v>
      </c>
      <c r="S28" s="29">
        <v>26.449519915775923</v>
      </c>
      <c r="T28" s="28">
        <v>24.450207417746157</v>
      </c>
      <c r="U28" s="29">
        <v>55.793142302176605</v>
      </c>
      <c r="V28" s="28">
        <v>34.324846538567066</v>
      </c>
      <c r="W28" s="29">
        <v>391.81177094877052</v>
      </c>
      <c r="X28" s="28">
        <v>159.02610422697271</v>
      </c>
      <c r="Y28">
        <v>999999.99899999995</v>
      </c>
      <c r="Z28" s="43">
        <v>9999999.9989999998</v>
      </c>
    </row>
    <row r="29" spans="1:26">
      <c r="A29" s="42">
        <v>999999.99899999995</v>
      </c>
      <c r="B29" s="28">
        <v>9999999.9989999998</v>
      </c>
      <c r="C29" s="29">
        <v>999999.99899999995</v>
      </c>
      <c r="D29" s="28">
        <v>9999999.9989999998</v>
      </c>
      <c r="E29" s="29">
        <v>-68.369868755982807</v>
      </c>
      <c r="F29" s="28">
        <v>46.767264516333718</v>
      </c>
      <c r="G29" s="29">
        <v>-29.612207177813136</v>
      </c>
      <c r="H29" s="28">
        <v>29.869642874646853</v>
      </c>
      <c r="I29" s="29">
        <v>-15.393017253887285</v>
      </c>
      <c r="J29" s="28">
        <v>24.813426041790855</v>
      </c>
      <c r="K29" s="29">
        <v>-6.8306994360655642</v>
      </c>
      <c r="L29" s="28">
        <v>22.810331752944109</v>
      </c>
      <c r="M29" s="29">
        <v>0</v>
      </c>
      <c r="N29" s="28">
        <v>22.251823137528817</v>
      </c>
      <c r="O29" s="29">
        <v>6.8306994360655642</v>
      </c>
      <c r="P29" s="28">
        <v>22.810331752944109</v>
      </c>
      <c r="Q29" s="29">
        <v>15.393017253887285</v>
      </c>
      <c r="R29" s="28">
        <v>24.813426041790855</v>
      </c>
      <c r="S29" s="29">
        <v>29.612207177813136</v>
      </c>
      <c r="T29" s="28">
        <v>29.869642874646853</v>
      </c>
      <c r="U29" s="29">
        <v>68.369868755982807</v>
      </c>
      <c r="V29" s="28">
        <v>46.767264516333718</v>
      </c>
      <c r="W29" s="29">
        <v>999999.99899999995</v>
      </c>
      <c r="X29" s="28">
        <v>9999999.9989999998</v>
      </c>
      <c r="Y29">
        <v>999999.99899999995</v>
      </c>
      <c r="Z29" s="43">
        <v>9999999.9989999998</v>
      </c>
    </row>
    <row r="30" spans="1:26" ht="15.75" thickBot="1">
      <c r="A30" s="44">
        <v>999999.99899999995</v>
      </c>
      <c r="B30" s="46">
        <v>9999999.9989999998</v>
      </c>
      <c r="C30" s="48">
        <v>999999.99899999995</v>
      </c>
      <c r="D30" s="46">
        <v>9999999.9989999998</v>
      </c>
      <c r="E30" s="48">
        <v>-84.903917706353525</v>
      </c>
      <c r="F30" s="46">
        <v>63.124744235796534</v>
      </c>
      <c r="G30" s="48">
        <v>-33.023563517747334</v>
      </c>
      <c r="H30" s="46">
        <v>35.715186228450904</v>
      </c>
      <c r="I30" s="48">
        <v>-16.65802957190289</v>
      </c>
      <c r="J30" s="46">
        <v>28.567935303919782</v>
      </c>
      <c r="K30" s="48">
        <v>-7.3063485659795111</v>
      </c>
      <c r="L30" s="46">
        <v>25.852141536825329</v>
      </c>
      <c r="M30" s="48">
        <v>0</v>
      </c>
      <c r="N30" s="46">
        <v>25.106106999982046</v>
      </c>
      <c r="O30" s="48">
        <v>7.3063485659795111</v>
      </c>
      <c r="P30" s="46">
        <v>25.852141536825329</v>
      </c>
      <c r="Q30" s="48">
        <v>16.65802957190289</v>
      </c>
      <c r="R30" s="46">
        <v>28.567935303919782</v>
      </c>
      <c r="S30" s="48">
        <v>33.023563517747334</v>
      </c>
      <c r="T30" s="46">
        <v>35.715186228450904</v>
      </c>
      <c r="U30" s="48">
        <v>84.903917706353525</v>
      </c>
      <c r="V30" s="46">
        <v>63.124744235796534</v>
      </c>
      <c r="W30" s="48">
        <v>999999.99899999995</v>
      </c>
      <c r="X30" s="46">
        <v>9999999.9989999998</v>
      </c>
      <c r="Y30" s="4">
        <v>999999.99899999995</v>
      </c>
      <c r="Z30" s="21">
        <v>9999999.9989999998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7D708-BF70-4117-9561-0E006B71F584}">
  <sheetPr codeName="Sheet8"/>
  <dimension ref="A1:Z31"/>
  <sheetViews>
    <sheetView workbookViewId="0">
      <selection sqref="A1:R1"/>
    </sheetView>
  </sheetViews>
  <sheetFormatPr defaultRowHeight="15"/>
  <cols>
    <col min="2" max="2" width="9.42578125" customWidth="1"/>
    <col min="5" max="5" width="10.42578125" customWidth="1"/>
    <col min="6" max="6" width="9.85546875" customWidth="1"/>
    <col min="10" max="10" width="10" customWidth="1"/>
    <col min="11" max="11" width="9.28515625" customWidth="1"/>
    <col min="12" max="12" width="10" customWidth="1"/>
    <col min="13" max="13" width="11" customWidth="1"/>
    <col min="14" max="14" width="10.5703125" customWidth="1"/>
    <col min="15" max="15" width="11.5703125" customWidth="1"/>
    <col min="16" max="16" width="10.85546875" customWidth="1"/>
    <col min="17" max="17" width="10.5703125" customWidth="1"/>
    <col min="18" max="18" width="9.85546875" customWidth="1"/>
    <col min="20" max="20" width="10.5703125" customWidth="1"/>
    <col min="22" max="22" width="10.85546875" customWidth="1"/>
  </cols>
  <sheetData>
    <row r="1" spans="1:24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174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4">
      <c r="A2" s="92" t="str">
        <f>Enter!B2</f>
        <v>Tehran</v>
      </c>
      <c r="B2">
        <v>51.375</v>
      </c>
      <c r="C2">
        <v>35.755000000000003</v>
      </c>
      <c r="D2">
        <v>1510</v>
      </c>
      <c r="E2">
        <v>3.5</v>
      </c>
      <c r="K2">
        <v>0</v>
      </c>
      <c r="L2">
        <v>-130</v>
      </c>
      <c r="M2">
        <v>20</v>
      </c>
      <c r="N2">
        <v>38.340844051801263</v>
      </c>
      <c r="O2">
        <v>31.4421173870982</v>
      </c>
      <c r="P2">
        <v>136.77354603876901</v>
      </c>
      <c r="Q2">
        <v>-23.835071851884308</v>
      </c>
      <c r="R2">
        <v>-22.403340653127085</v>
      </c>
    </row>
    <row r="4" spans="1:24" ht="15.75" thickBot="1"/>
    <row r="5" spans="1:24" s="38" customFormat="1">
      <c r="A5" s="51"/>
      <c r="B5" s="83" t="s">
        <v>21</v>
      </c>
      <c r="C5" s="52"/>
      <c r="D5" s="83" t="s">
        <v>22</v>
      </c>
      <c r="E5" s="52"/>
      <c r="F5" s="83" t="s">
        <v>23</v>
      </c>
      <c r="G5" s="52"/>
      <c r="H5" s="83" t="s">
        <v>24</v>
      </c>
      <c r="I5" s="52"/>
      <c r="J5" s="83" t="s">
        <v>25</v>
      </c>
      <c r="K5" s="52"/>
      <c r="L5" s="83" t="s">
        <v>26</v>
      </c>
      <c r="M5" s="52"/>
      <c r="N5" s="83" t="s">
        <v>27</v>
      </c>
      <c r="O5" s="52"/>
      <c r="P5" s="83" t="s">
        <v>28</v>
      </c>
      <c r="Q5" s="52"/>
      <c r="R5" s="83" t="s">
        <v>4</v>
      </c>
      <c r="S5" s="52"/>
      <c r="T5" s="83" t="s">
        <v>5</v>
      </c>
      <c r="U5" s="52"/>
      <c r="V5" s="83" t="s">
        <v>6</v>
      </c>
      <c r="W5" s="54"/>
      <c r="X5" s="84"/>
    </row>
    <row r="6" spans="1:24">
      <c r="A6" s="42">
        <v>7.2918774433972597</v>
      </c>
      <c r="B6" s="28">
        <v>-4.7503463485230375</v>
      </c>
      <c r="C6" s="29">
        <v>13.841144915066614</v>
      </c>
      <c r="D6" s="28">
        <v>-1.0360671147970002</v>
      </c>
      <c r="E6" s="29">
        <v>11.517446201581421</v>
      </c>
      <c r="F6" s="28">
        <v>-2.3539039437659075</v>
      </c>
      <c r="G6" s="29">
        <v>9.7710320240398509</v>
      </c>
      <c r="H6" s="28">
        <v>-3.3443459956728199</v>
      </c>
      <c r="I6" s="29">
        <v>8.3922364180932902</v>
      </c>
      <c r="J6" s="28">
        <v>-4.1263009103061448</v>
      </c>
      <c r="K6" s="29">
        <v>16.451994148356402</v>
      </c>
      <c r="L6" s="28">
        <v>0.44462108911995152</v>
      </c>
      <c r="M6" s="29">
        <v>19.213533336462813</v>
      </c>
      <c r="N6" s="28">
        <v>2.0107699300207571</v>
      </c>
      <c r="O6" s="29">
        <v>22.754859972853801</v>
      </c>
      <c r="P6" s="28">
        <v>4.0191588135542018</v>
      </c>
      <c r="Q6" s="29">
        <v>26.286630466302988</v>
      </c>
      <c r="R6" s="28">
        <v>6.0221281317031545</v>
      </c>
      <c r="S6" s="29">
        <v>29.63064562192104</v>
      </c>
      <c r="T6" s="28">
        <v>7.9186159608391629</v>
      </c>
      <c r="U6" s="29">
        <v>33.023993763924167</v>
      </c>
      <c r="V6" s="28">
        <v>9.843081955115073</v>
      </c>
      <c r="X6" s="43"/>
    </row>
    <row r="7" spans="1:24">
      <c r="A7" s="42">
        <v>10.500020949203503</v>
      </c>
      <c r="B7" s="28">
        <v>-10.182711472963033</v>
      </c>
      <c r="C7" s="29">
        <v>18.94856394446396</v>
      </c>
      <c r="D7" s="28">
        <v>-7.1756856391933477</v>
      </c>
      <c r="E7" s="29">
        <v>15.894613312640931</v>
      </c>
      <c r="F7" s="28">
        <v>-8.2626551261333852</v>
      </c>
      <c r="G7" s="29">
        <v>13.640630221957494</v>
      </c>
      <c r="H7" s="28">
        <v>-9.0648982331836034</v>
      </c>
      <c r="I7" s="29">
        <v>11.885524844609918</v>
      </c>
      <c r="J7" s="28">
        <v>-9.6895795792610251</v>
      </c>
      <c r="K7" s="29">
        <v>22.45697054815885</v>
      </c>
      <c r="L7" s="28">
        <v>-5.9269650848211857</v>
      </c>
      <c r="M7" s="29">
        <v>26.259764672051837</v>
      </c>
      <c r="N7" s="28">
        <v>-4.5734654130471624</v>
      </c>
      <c r="O7" s="29">
        <v>31.280395734410028</v>
      </c>
      <c r="P7" s="28">
        <v>-2.7865102759534666</v>
      </c>
      <c r="Q7" s="29">
        <v>36.456222239069639</v>
      </c>
      <c r="R7" s="28">
        <v>-0.94431760209805093</v>
      </c>
      <c r="S7" s="29">
        <v>41.520041865076912</v>
      </c>
      <c r="T7" s="28">
        <v>0.85800931290918592</v>
      </c>
      <c r="U7" s="29">
        <v>46.828990169088371</v>
      </c>
      <c r="V7" s="28">
        <v>2.7475830191998365</v>
      </c>
      <c r="X7" s="43"/>
    </row>
    <row r="8" spans="1:24">
      <c r="A8" s="42">
        <v>14.241262203592424</v>
      </c>
      <c r="B8" s="28">
        <v>-18.033085498610866</v>
      </c>
      <c r="C8" s="29">
        <v>26.449461293384715</v>
      </c>
      <c r="D8" s="28">
        <v>-16.631875368407936</v>
      </c>
      <c r="E8" s="29">
        <v>21.871439607904271</v>
      </c>
      <c r="F8" s="28">
        <v>-17.157323087174866</v>
      </c>
      <c r="G8" s="29">
        <v>18.615032196517753</v>
      </c>
      <c r="H8" s="28">
        <v>-17.53108100341969</v>
      </c>
      <c r="I8" s="29">
        <v>16.147941352704635</v>
      </c>
      <c r="J8" s="28">
        <v>-17.814244200305321</v>
      </c>
      <c r="K8" s="29">
        <v>31.959412141025776</v>
      </c>
      <c r="L8" s="28">
        <v>-15.999464405263469</v>
      </c>
      <c r="M8" s="29">
        <v>38.257852730552962</v>
      </c>
      <c r="N8" s="28">
        <v>-15.276553622631649</v>
      </c>
      <c r="O8" s="29">
        <v>47.142758637555495</v>
      </c>
      <c r="P8" s="28">
        <v>-14.256778300225466</v>
      </c>
      <c r="Q8" s="29">
        <v>57.057440952120679</v>
      </c>
      <c r="R8" s="28">
        <v>-13.11880920300386</v>
      </c>
      <c r="S8" s="29">
        <v>67.594933123254535</v>
      </c>
      <c r="T8" s="28">
        <v>-11.909356386210218</v>
      </c>
      <c r="U8" s="29">
        <v>79.653874369995009</v>
      </c>
      <c r="V8" s="28">
        <v>-10.525277497082087</v>
      </c>
      <c r="X8" s="43"/>
    </row>
    <row r="9" spans="1:24">
      <c r="A9" s="42">
        <v>19.462283521626386</v>
      </c>
      <c r="B9" s="28">
        <v>-31.495415764082392</v>
      </c>
      <c r="C9" s="29">
        <v>41.3096197791482</v>
      </c>
      <c r="D9" s="28">
        <v>-36.083169923986858</v>
      </c>
      <c r="E9" s="29">
        <v>32.439091840612051</v>
      </c>
      <c r="F9" s="28">
        <v>-34.220434761636945</v>
      </c>
      <c r="G9" s="29">
        <v>26.647134967432461</v>
      </c>
      <c r="H9" s="28">
        <v>-33.004173249217168</v>
      </c>
      <c r="I9" s="29">
        <v>22.515514116073266</v>
      </c>
      <c r="J9" s="28">
        <v>-32.13656813138752</v>
      </c>
      <c r="K9" s="29">
        <v>53.297255694127216</v>
      </c>
      <c r="L9" s="28">
        <v>-38.60047115870514</v>
      </c>
      <c r="M9" s="29">
        <v>69.134207512154489</v>
      </c>
      <c r="N9" s="28">
        <v>-41.926095881414597</v>
      </c>
      <c r="O9" s="29">
        <v>96.541445718700984</v>
      </c>
      <c r="P9" s="28">
        <v>-47.681382000118703</v>
      </c>
      <c r="Q9" s="29">
        <v>137.20677732290278</v>
      </c>
      <c r="R9" s="28">
        <v>-56.220754582295157</v>
      </c>
      <c r="S9" s="29">
        <v>199.4385951234222</v>
      </c>
      <c r="T9" s="28">
        <v>-69.288905208413411</v>
      </c>
      <c r="U9" s="29">
        <v>317.38909928634286</v>
      </c>
      <c r="V9" s="28">
        <v>-94.057504444394098</v>
      </c>
      <c r="X9" s="43"/>
    </row>
    <row r="10" spans="1:24">
      <c r="A10" s="42">
        <v>29.671527310506953</v>
      </c>
      <c r="B10" s="28">
        <v>-63.077442508020297</v>
      </c>
      <c r="C10" s="29">
        <v>102.94675901372881</v>
      </c>
      <c r="D10" s="28">
        <v>-118.77906220342068</v>
      </c>
      <c r="E10" s="29">
        <v>64.959401543161633</v>
      </c>
      <c r="F10" s="28">
        <v>-89.902219512171683</v>
      </c>
      <c r="G10" s="29">
        <v>47.060784716374222</v>
      </c>
      <c r="H10" s="28">
        <v>-76.296231180434063</v>
      </c>
      <c r="I10" s="29">
        <v>36.523650027138331</v>
      </c>
      <c r="J10" s="28">
        <v>-68.286219400243112</v>
      </c>
      <c r="K10" s="29">
        <v>195.43598549374414</v>
      </c>
      <c r="L10" s="28">
        <v>-189.08658085006655</v>
      </c>
      <c r="M10" s="29">
        <v>651.51696733709161</v>
      </c>
      <c r="N10" s="28">
        <v>-535.78557873021839</v>
      </c>
      <c r="O10" s="29">
        <v>999999.99899999995</v>
      </c>
      <c r="P10" s="28">
        <v>9999999.9989999998</v>
      </c>
      <c r="Q10" s="29">
        <v>999999.99899999995</v>
      </c>
      <c r="R10" s="28">
        <v>9999999.9989999998</v>
      </c>
      <c r="S10" s="29">
        <v>999999.99899999995</v>
      </c>
      <c r="T10" s="28">
        <v>9999999.9989999998</v>
      </c>
      <c r="U10" s="29">
        <v>999999.99899999995</v>
      </c>
      <c r="V10" s="28">
        <v>9999999.9989999998</v>
      </c>
      <c r="X10" s="43"/>
    </row>
    <row r="11" spans="1:24">
      <c r="A11" s="42">
        <v>86.848043263885657</v>
      </c>
      <c r="B11" s="28">
        <v>-264.59444733232164</v>
      </c>
      <c r="C11" s="29">
        <v>999999.99899999995</v>
      </c>
      <c r="D11" s="28">
        <v>9999999.9989999998</v>
      </c>
      <c r="E11" s="29">
        <v>999999.99899999995</v>
      </c>
      <c r="F11" s="28">
        <v>9999999.9989999998</v>
      </c>
      <c r="G11" s="29">
        <v>1963.8947561349378</v>
      </c>
      <c r="H11" s="28">
        <v>-4371.8516401145034</v>
      </c>
      <c r="I11" s="29">
        <v>172.78166832230883</v>
      </c>
      <c r="J11" s="28">
        <v>-452.62999125503842</v>
      </c>
      <c r="K11" s="29">
        <v>999999.99899999995</v>
      </c>
      <c r="L11" s="28">
        <v>9999999.9989999998</v>
      </c>
      <c r="M11" s="29">
        <v>999999.99899999995</v>
      </c>
      <c r="N11" s="28">
        <v>9999999.9989999998</v>
      </c>
      <c r="O11" s="29">
        <v>999999.99899999995</v>
      </c>
      <c r="P11" s="28">
        <v>9999999.9989999998</v>
      </c>
      <c r="Q11" s="29">
        <v>999999.99899999995</v>
      </c>
      <c r="R11" s="28">
        <v>9999999.9989999998</v>
      </c>
      <c r="S11" s="29">
        <v>999999.99899999995</v>
      </c>
      <c r="T11" s="28">
        <v>9999999.9989999998</v>
      </c>
      <c r="U11" s="29">
        <v>999999.99899999995</v>
      </c>
      <c r="V11" s="28">
        <v>9999999.9989999998</v>
      </c>
      <c r="X11" s="43"/>
    </row>
    <row r="12" spans="1:24">
      <c r="A12" s="42">
        <v>999999.99899999995</v>
      </c>
      <c r="B12" s="28">
        <v>9999999.9989999998</v>
      </c>
      <c r="C12" s="29">
        <v>999999.99899999995</v>
      </c>
      <c r="D12" s="28">
        <v>9999999.9989999998</v>
      </c>
      <c r="E12" s="29">
        <v>999999.99899999995</v>
      </c>
      <c r="F12" s="28">
        <v>9999999.9989999998</v>
      </c>
      <c r="G12" s="29">
        <v>999999.99899999995</v>
      </c>
      <c r="H12" s="28">
        <v>9999999.9989999998</v>
      </c>
      <c r="I12" s="29">
        <v>999999.99899999995</v>
      </c>
      <c r="J12" s="28">
        <v>9999999.9989999998</v>
      </c>
      <c r="K12" s="29">
        <v>999999.99899999995</v>
      </c>
      <c r="L12" s="28">
        <v>9999999.9989999998</v>
      </c>
      <c r="M12" s="29">
        <v>999999.99899999995</v>
      </c>
      <c r="N12" s="28">
        <v>9999999.9989999998</v>
      </c>
      <c r="O12" s="29">
        <v>999999.99899999995</v>
      </c>
      <c r="P12" s="28">
        <v>9999999.9989999998</v>
      </c>
      <c r="Q12" s="29">
        <v>999999.99899999995</v>
      </c>
      <c r="R12" s="28">
        <v>9999999.9989999998</v>
      </c>
      <c r="S12" s="29">
        <v>999999.99899999995</v>
      </c>
      <c r="T12" s="28">
        <v>9999999.9989999998</v>
      </c>
      <c r="U12" s="29">
        <v>999999.99899999995</v>
      </c>
      <c r="V12" s="28">
        <v>9999999.9989999998</v>
      </c>
      <c r="X12" s="43"/>
    </row>
    <row r="13" spans="1:24">
      <c r="A13" s="42">
        <v>999999.99899999995</v>
      </c>
      <c r="B13" s="28">
        <v>9999999.9989999998</v>
      </c>
      <c r="C13" s="29">
        <v>999999.99899999995</v>
      </c>
      <c r="D13" s="28">
        <v>9999999.9989999998</v>
      </c>
      <c r="E13" s="29">
        <v>999999.99899999995</v>
      </c>
      <c r="F13" s="28">
        <v>9999999.9989999998</v>
      </c>
      <c r="G13" s="29">
        <v>999999.99899999995</v>
      </c>
      <c r="H13" s="28">
        <v>9999999.9989999998</v>
      </c>
      <c r="I13" s="29">
        <v>999999.99899999995</v>
      </c>
      <c r="J13" s="28">
        <v>9999999.9989999998</v>
      </c>
      <c r="K13" s="29">
        <v>999999.99899999995</v>
      </c>
      <c r="L13" s="28">
        <v>9999999.9989999998</v>
      </c>
      <c r="M13" s="29">
        <v>999999.99899999995</v>
      </c>
      <c r="N13" s="28">
        <v>9999999.9989999998</v>
      </c>
      <c r="O13" s="29">
        <v>999999.99899999995</v>
      </c>
      <c r="P13" s="28">
        <v>9999999.9989999998</v>
      </c>
      <c r="Q13" s="29">
        <v>999999.99899999995</v>
      </c>
      <c r="R13" s="28">
        <v>9999999.9989999998</v>
      </c>
      <c r="S13" s="29">
        <v>999999.99899999995</v>
      </c>
      <c r="T13" s="28">
        <v>9999999.9989999998</v>
      </c>
      <c r="U13" s="29">
        <v>999999.99899999995</v>
      </c>
      <c r="V13" s="28">
        <v>9999999.9989999998</v>
      </c>
      <c r="X13" s="43"/>
    </row>
    <row r="14" spans="1:24">
      <c r="A14" s="42">
        <v>999999.99899999995</v>
      </c>
      <c r="B14" s="28">
        <v>9999999.9989999998</v>
      </c>
      <c r="C14" s="29">
        <v>999999.99899999995</v>
      </c>
      <c r="D14" s="28">
        <v>9999999.9989999998</v>
      </c>
      <c r="E14" s="29">
        <v>999999.99899999995</v>
      </c>
      <c r="F14" s="28">
        <v>9999999.9989999998</v>
      </c>
      <c r="G14" s="29">
        <v>999999.99899999995</v>
      </c>
      <c r="H14" s="28">
        <v>9999999.9989999998</v>
      </c>
      <c r="I14" s="29">
        <v>999999.99899999995</v>
      </c>
      <c r="J14" s="28">
        <v>9999999.9989999998</v>
      </c>
      <c r="K14" s="29">
        <v>999999.99899999995</v>
      </c>
      <c r="L14" s="28">
        <v>9999999.9989999998</v>
      </c>
      <c r="M14" s="29">
        <v>999999.99899999995</v>
      </c>
      <c r="N14" s="28">
        <v>9999999.9989999998</v>
      </c>
      <c r="O14" s="29">
        <v>999999.99899999995</v>
      </c>
      <c r="P14" s="28">
        <v>9999999.9989999998</v>
      </c>
      <c r="Q14" s="29">
        <v>999999.99899999995</v>
      </c>
      <c r="R14" s="28">
        <v>9999999.9989999998</v>
      </c>
      <c r="S14" s="29">
        <v>999999.99899999995</v>
      </c>
      <c r="T14" s="28">
        <v>9999999.9989999998</v>
      </c>
      <c r="U14" s="29">
        <v>999999.99899999995</v>
      </c>
      <c r="V14" s="28">
        <v>9999999.9989999998</v>
      </c>
      <c r="X14" s="43"/>
    </row>
    <row r="15" spans="1:24">
      <c r="A15" s="42">
        <v>999999.99899999995</v>
      </c>
      <c r="B15" s="28">
        <v>9999999.9989999998</v>
      </c>
      <c r="C15" s="29">
        <v>999999.99899999995</v>
      </c>
      <c r="D15" s="28">
        <v>9999999.9989999998</v>
      </c>
      <c r="E15" s="29">
        <v>999999.99899999995</v>
      </c>
      <c r="F15" s="28">
        <v>9999999.9989999998</v>
      </c>
      <c r="G15" s="29">
        <v>999999.99899999995</v>
      </c>
      <c r="H15" s="28">
        <v>9999999.9989999998</v>
      </c>
      <c r="I15" s="29">
        <v>999999.99899999995</v>
      </c>
      <c r="J15" s="28">
        <v>9999999.9989999998</v>
      </c>
      <c r="K15" s="29">
        <v>999999.99899999995</v>
      </c>
      <c r="L15" s="28">
        <v>9999999.9989999998</v>
      </c>
      <c r="M15" s="29">
        <v>999999.99899999995</v>
      </c>
      <c r="N15" s="28">
        <v>9999999.9989999998</v>
      </c>
      <c r="O15" s="29">
        <v>999999.99899999995</v>
      </c>
      <c r="P15" s="28">
        <v>9999999.9989999998</v>
      </c>
      <c r="Q15" s="29">
        <v>999999.99899999995</v>
      </c>
      <c r="R15" s="28">
        <v>9999999.9989999998</v>
      </c>
      <c r="S15" s="29">
        <v>999999.99899999995</v>
      </c>
      <c r="T15" s="28">
        <v>9999999.9989999998</v>
      </c>
      <c r="U15" s="29">
        <v>999999.99899999995</v>
      </c>
      <c r="V15" s="28">
        <v>9999999.9989999998</v>
      </c>
      <c r="X15" s="43"/>
    </row>
    <row r="16" spans="1:24">
      <c r="A16" s="42">
        <v>999999.99899999995</v>
      </c>
      <c r="B16" s="28">
        <v>9999999.9989999998</v>
      </c>
      <c r="C16" s="29">
        <v>999999.99899999995</v>
      </c>
      <c r="D16" s="28">
        <v>9999999.9989999998</v>
      </c>
      <c r="E16" s="29">
        <v>999999.99899999995</v>
      </c>
      <c r="F16" s="28">
        <v>9999999.9989999998</v>
      </c>
      <c r="G16" s="29">
        <v>999999.99899999995</v>
      </c>
      <c r="H16" s="28">
        <v>9999999.9989999998</v>
      </c>
      <c r="I16" s="29">
        <v>999999.99899999995</v>
      </c>
      <c r="J16" s="28">
        <v>9999999.9989999998</v>
      </c>
      <c r="K16" s="29">
        <v>999999.99899999995</v>
      </c>
      <c r="L16" s="28">
        <v>9999999.9989999998</v>
      </c>
      <c r="M16" s="29">
        <v>999999.99899999995</v>
      </c>
      <c r="N16" s="28">
        <v>9999999.9989999998</v>
      </c>
      <c r="O16" s="29">
        <v>999999.99899999995</v>
      </c>
      <c r="P16" s="28">
        <v>9999999.9989999998</v>
      </c>
      <c r="Q16" s="29">
        <v>999999.99899999995</v>
      </c>
      <c r="R16" s="28">
        <v>9999999.9989999998</v>
      </c>
      <c r="S16" s="29">
        <v>999999.99899999995</v>
      </c>
      <c r="T16" s="28">
        <v>9999999.9989999998</v>
      </c>
      <c r="U16" s="29">
        <v>999999.99899999995</v>
      </c>
      <c r="V16" s="28">
        <v>9999999.9989999998</v>
      </c>
      <c r="X16" s="43"/>
    </row>
    <row r="17" spans="1:26">
      <c r="A17" s="42">
        <v>999999.99899999995</v>
      </c>
      <c r="B17" s="28">
        <v>9999999.9989999998</v>
      </c>
      <c r="C17" s="29">
        <v>999999.99899999995</v>
      </c>
      <c r="D17" s="28">
        <v>9999999.9989999998</v>
      </c>
      <c r="E17" s="29">
        <v>999999.99899999995</v>
      </c>
      <c r="F17" s="28">
        <v>9999999.9989999998</v>
      </c>
      <c r="G17" s="29">
        <v>999999.99899999995</v>
      </c>
      <c r="H17" s="28">
        <v>9999999.9989999998</v>
      </c>
      <c r="I17" s="29">
        <v>999999.99899999995</v>
      </c>
      <c r="J17" s="28">
        <v>9999999.9989999998</v>
      </c>
      <c r="K17" s="29">
        <v>999999.99899999995</v>
      </c>
      <c r="L17" s="28">
        <v>9999999.9989999998</v>
      </c>
      <c r="M17" s="29">
        <v>999999.99899999995</v>
      </c>
      <c r="N17" s="28">
        <v>9999999.9989999998</v>
      </c>
      <c r="O17" s="29">
        <v>999999.99899999995</v>
      </c>
      <c r="P17" s="28">
        <v>9999999.9989999998</v>
      </c>
      <c r="Q17" s="29">
        <v>999999.99899999995</v>
      </c>
      <c r="R17" s="28">
        <v>9999999.9989999998</v>
      </c>
      <c r="S17" s="29">
        <v>999999.99899999995</v>
      </c>
      <c r="T17" s="28">
        <v>9999999.9989999998</v>
      </c>
      <c r="U17" s="29">
        <v>999999.99899999995</v>
      </c>
      <c r="V17" s="28">
        <v>9999999.9989999998</v>
      </c>
      <c r="X17" s="43"/>
    </row>
    <row r="18" spans="1:26" ht="15.75" thickBot="1">
      <c r="A18" s="42">
        <v>999999.99899999995</v>
      </c>
      <c r="B18" s="28">
        <v>9999999.9989999998</v>
      </c>
      <c r="C18" s="29">
        <v>999999.99899999995</v>
      </c>
      <c r="D18" s="28">
        <v>9999999.9989999998</v>
      </c>
      <c r="E18" s="29">
        <v>999999.99899999995</v>
      </c>
      <c r="F18" s="28">
        <v>9999999.9989999998</v>
      </c>
      <c r="G18" s="29">
        <v>999999.99899999995</v>
      </c>
      <c r="H18" s="28">
        <v>9999999.9989999998</v>
      </c>
      <c r="I18" s="29">
        <v>999999.99899999995</v>
      </c>
      <c r="J18" s="28">
        <v>9999999.9989999998</v>
      </c>
      <c r="K18" s="29">
        <v>999999.99899999995</v>
      </c>
      <c r="L18" s="28">
        <v>9999999.9989999998</v>
      </c>
      <c r="M18" s="29">
        <v>999999.99899999995</v>
      </c>
      <c r="N18" s="28">
        <v>9999999.9989999998</v>
      </c>
      <c r="O18" s="29">
        <v>999999.99899999995</v>
      </c>
      <c r="P18" s="28">
        <v>9999999.9989999998</v>
      </c>
      <c r="Q18" s="29">
        <v>999999.99899999995</v>
      </c>
      <c r="R18" s="28">
        <v>9999999.9989999998</v>
      </c>
      <c r="S18" s="29">
        <v>999999.99899999995</v>
      </c>
      <c r="T18" s="28">
        <v>9999999.9989999998</v>
      </c>
      <c r="U18" s="29">
        <v>999999.99899999995</v>
      </c>
      <c r="V18" s="28">
        <v>9999999.9989999998</v>
      </c>
      <c r="X18" s="43"/>
    </row>
    <row r="19" spans="1:26" s="6" customFormat="1">
      <c r="A19" s="39"/>
      <c r="B19" s="45">
        <v>6</v>
      </c>
      <c r="C19" s="47"/>
      <c r="D19" s="45">
        <v>7</v>
      </c>
      <c r="E19" s="47"/>
      <c r="F19" s="45">
        <v>8</v>
      </c>
      <c r="G19" s="47"/>
      <c r="H19" s="45">
        <v>9</v>
      </c>
      <c r="I19" s="47"/>
      <c r="J19" s="45">
        <v>10</v>
      </c>
      <c r="K19" s="47"/>
      <c r="L19" s="45">
        <v>11</v>
      </c>
      <c r="M19" s="47"/>
      <c r="N19" s="45">
        <v>12</v>
      </c>
      <c r="O19" s="47"/>
      <c r="P19" s="45">
        <v>13</v>
      </c>
      <c r="Q19" s="47"/>
      <c r="R19" s="45">
        <v>14</v>
      </c>
      <c r="S19" s="47"/>
      <c r="T19" s="45">
        <v>15</v>
      </c>
      <c r="U19" s="47"/>
      <c r="V19" s="45">
        <v>16</v>
      </c>
      <c r="W19" s="47"/>
      <c r="X19" s="45">
        <v>17</v>
      </c>
      <c r="Y19" s="40"/>
      <c r="Z19" s="41">
        <v>18</v>
      </c>
    </row>
    <row r="20" spans="1:26">
      <c r="A20" s="42">
        <v>7.2918774433972597</v>
      </c>
      <c r="B20" s="28">
        <v>-4.7503463485230375</v>
      </c>
      <c r="C20" s="29">
        <v>10.500020949203503</v>
      </c>
      <c r="D20" s="28">
        <v>-10.182711472963033</v>
      </c>
      <c r="E20" s="29">
        <v>14.241262203592424</v>
      </c>
      <c r="F20" s="28">
        <v>-18.033085498610866</v>
      </c>
      <c r="G20" s="29">
        <v>19.462283521626386</v>
      </c>
      <c r="H20" s="28">
        <v>-31.495415764082392</v>
      </c>
      <c r="I20" s="29">
        <v>29.671527310506953</v>
      </c>
      <c r="J20" s="28">
        <v>-63.077442508020297</v>
      </c>
      <c r="K20" s="29">
        <v>86.848043263885657</v>
      </c>
      <c r="L20" s="28">
        <v>-264.59444733232164</v>
      </c>
      <c r="M20" s="29">
        <v>999999.99899999995</v>
      </c>
      <c r="N20" s="28">
        <v>9999999.9989999998</v>
      </c>
      <c r="O20" s="29">
        <v>999999.99899999995</v>
      </c>
      <c r="P20" s="28">
        <v>9999999.9989999998</v>
      </c>
      <c r="Q20" s="29">
        <v>999999.99899999995</v>
      </c>
      <c r="R20" s="28">
        <v>9999999.9989999998</v>
      </c>
      <c r="S20" s="29">
        <v>999999.99899999995</v>
      </c>
      <c r="T20" s="28">
        <v>9999999.9989999998</v>
      </c>
      <c r="U20" s="29">
        <v>999999.99899999995</v>
      </c>
      <c r="V20" s="28">
        <v>9999999.9989999998</v>
      </c>
      <c r="W20" s="29">
        <v>999999.99899999995</v>
      </c>
      <c r="X20" s="28">
        <v>9999999.9989999998</v>
      </c>
      <c r="Y20">
        <v>999999.99899999995</v>
      </c>
      <c r="Z20" s="43">
        <v>9999999.9989999998</v>
      </c>
    </row>
    <row r="21" spans="1:26">
      <c r="A21" s="42">
        <v>13.841144915066614</v>
      </c>
      <c r="B21" s="28">
        <v>-1.0360671147970002</v>
      </c>
      <c r="C21" s="29">
        <v>18.94856394446396</v>
      </c>
      <c r="D21" s="28">
        <v>-7.1756856391933477</v>
      </c>
      <c r="E21" s="29">
        <v>26.449461293384715</v>
      </c>
      <c r="F21" s="28">
        <v>-16.631875368407936</v>
      </c>
      <c r="G21" s="29">
        <v>41.3096197791482</v>
      </c>
      <c r="H21" s="28">
        <v>-36.083169923986858</v>
      </c>
      <c r="I21" s="29">
        <v>102.94675901372881</v>
      </c>
      <c r="J21" s="28">
        <v>-118.77906220342068</v>
      </c>
      <c r="K21" s="29">
        <v>999999.99899999995</v>
      </c>
      <c r="L21" s="28">
        <v>9999999.9989999998</v>
      </c>
      <c r="M21" s="29">
        <v>999999.99899999995</v>
      </c>
      <c r="N21" s="28">
        <v>9999999.9989999998</v>
      </c>
      <c r="O21" s="29">
        <v>999999.99899999995</v>
      </c>
      <c r="P21" s="28">
        <v>9999999.9989999998</v>
      </c>
      <c r="Q21" s="29">
        <v>999999.99899999995</v>
      </c>
      <c r="R21" s="28">
        <v>9999999.9989999998</v>
      </c>
      <c r="S21" s="29">
        <v>999999.99899999995</v>
      </c>
      <c r="T21" s="28">
        <v>9999999.9989999998</v>
      </c>
      <c r="U21" s="29">
        <v>999999.99899999995</v>
      </c>
      <c r="V21" s="28">
        <v>9999999.9989999998</v>
      </c>
      <c r="W21" s="29">
        <v>999999.99899999995</v>
      </c>
      <c r="X21" s="28">
        <v>9999999.9989999998</v>
      </c>
      <c r="Y21">
        <v>999999.99899999995</v>
      </c>
      <c r="Z21" s="43">
        <v>9999999.9989999998</v>
      </c>
    </row>
    <row r="22" spans="1:26">
      <c r="A22" s="42">
        <v>11.517446201581421</v>
      </c>
      <c r="B22" s="28">
        <v>-2.3539039437659075</v>
      </c>
      <c r="C22" s="29">
        <v>15.894613312640931</v>
      </c>
      <c r="D22" s="28">
        <v>-8.2626551261333852</v>
      </c>
      <c r="E22" s="29">
        <v>21.871439607904271</v>
      </c>
      <c r="F22" s="28">
        <v>-17.157323087174866</v>
      </c>
      <c r="G22" s="29">
        <v>32.439091840612051</v>
      </c>
      <c r="H22" s="28">
        <v>-34.220434761636945</v>
      </c>
      <c r="I22" s="29">
        <v>64.959401543161633</v>
      </c>
      <c r="J22" s="28">
        <v>-89.902219512171683</v>
      </c>
      <c r="K22" s="29">
        <v>999999.99899999995</v>
      </c>
      <c r="L22" s="28">
        <v>9999999.9989999998</v>
      </c>
      <c r="M22" s="29">
        <v>999999.99899999995</v>
      </c>
      <c r="N22" s="28">
        <v>9999999.9989999998</v>
      </c>
      <c r="O22" s="29">
        <v>999999.99899999995</v>
      </c>
      <c r="P22" s="28">
        <v>9999999.9989999998</v>
      </c>
      <c r="Q22" s="29">
        <v>999999.99899999995</v>
      </c>
      <c r="R22" s="28">
        <v>9999999.9989999998</v>
      </c>
      <c r="S22" s="29">
        <v>999999.99899999995</v>
      </c>
      <c r="T22" s="28">
        <v>9999999.9989999998</v>
      </c>
      <c r="U22" s="29">
        <v>999999.99899999995</v>
      </c>
      <c r="V22" s="28">
        <v>9999999.9989999998</v>
      </c>
      <c r="W22" s="29">
        <v>999999.99899999995</v>
      </c>
      <c r="X22" s="28">
        <v>9999999.9989999998</v>
      </c>
      <c r="Y22">
        <v>999999.99899999995</v>
      </c>
      <c r="Z22" s="43">
        <v>9999999.9989999998</v>
      </c>
    </row>
    <row r="23" spans="1:26">
      <c r="A23" s="42">
        <v>9.7710320240398509</v>
      </c>
      <c r="B23" s="28">
        <v>-3.3443459956728199</v>
      </c>
      <c r="C23" s="29">
        <v>13.640630221957494</v>
      </c>
      <c r="D23" s="28">
        <v>-9.0648982331836034</v>
      </c>
      <c r="E23" s="29">
        <v>18.615032196517753</v>
      </c>
      <c r="F23" s="28">
        <v>-17.53108100341969</v>
      </c>
      <c r="G23" s="29">
        <v>26.647134967432461</v>
      </c>
      <c r="H23" s="28">
        <v>-33.004173249217168</v>
      </c>
      <c r="I23" s="29">
        <v>47.060784716374222</v>
      </c>
      <c r="J23" s="28">
        <v>-76.296231180434063</v>
      </c>
      <c r="K23" s="29">
        <v>1963.8947561349378</v>
      </c>
      <c r="L23" s="28">
        <v>-4371.8516401145034</v>
      </c>
      <c r="M23" s="29">
        <v>999999.99899999995</v>
      </c>
      <c r="N23" s="28">
        <v>9999999.9989999998</v>
      </c>
      <c r="O23" s="29">
        <v>999999.99899999995</v>
      </c>
      <c r="P23" s="28">
        <v>9999999.9989999998</v>
      </c>
      <c r="Q23" s="29">
        <v>999999.99899999995</v>
      </c>
      <c r="R23" s="28">
        <v>9999999.9989999998</v>
      </c>
      <c r="S23" s="29">
        <v>999999.99899999995</v>
      </c>
      <c r="T23" s="28">
        <v>9999999.9989999998</v>
      </c>
      <c r="U23" s="29">
        <v>999999.99899999995</v>
      </c>
      <c r="V23" s="28">
        <v>9999999.9989999998</v>
      </c>
      <c r="W23" s="29">
        <v>999999.99899999995</v>
      </c>
      <c r="X23" s="28">
        <v>9999999.9989999998</v>
      </c>
      <c r="Y23">
        <v>999999.99899999995</v>
      </c>
      <c r="Z23" s="43">
        <v>9999999.9989999998</v>
      </c>
    </row>
    <row r="24" spans="1:26">
      <c r="A24" s="42">
        <v>8.3922364180932902</v>
      </c>
      <c r="B24" s="28">
        <v>-4.1263009103061448</v>
      </c>
      <c r="C24" s="29">
        <v>11.885524844609918</v>
      </c>
      <c r="D24" s="28">
        <v>-9.6895795792610251</v>
      </c>
      <c r="E24" s="29">
        <v>16.147941352704635</v>
      </c>
      <c r="F24" s="28">
        <v>-17.814244200305321</v>
      </c>
      <c r="G24" s="29">
        <v>22.515514116073266</v>
      </c>
      <c r="H24" s="28">
        <v>-32.13656813138752</v>
      </c>
      <c r="I24" s="29">
        <v>36.523650027138331</v>
      </c>
      <c r="J24" s="28">
        <v>-68.286219400243112</v>
      </c>
      <c r="K24" s="29">
        <v>172.78166832230883</v>
      </c>
      <c r="L24" s="28">
        <v>-452.62999125503842</v>
      </c>
      <c r="M24" s="29">
        <v>999999.99899999995</v>
      </c>
      <c r="N24" s="28">
        <v>9999999.9989999998</v>
      </c>
      <c r="O24" s="29">
        <v>999999.99899999995</v>
      </c>
      <c r="P24" s="28">
        <v>9999999.9989999998</v>
      </c>
      <c r="Q24" s="29">
        <v>999999.99899999995</v>
      </c>
      <c r="R24" s="28">
        <v>9999999.9989999998</v>
      </c>
      <c r="S24" s="29">
        <v>999999.99899999995</v>
      </c>
      <c r="T24" s="28">
        <v>9999999.9989999998</v>
      </c>
      <c r="U24" s="29">
        <v>999999.99899999995</v>
      </c>
      <c r="V24" s="28">
        <v>9999999.9989999998</v>
      </c>
      <c r="W24" s="29">
        <v>999999.99899999995</v>
      </c>
      <c r="X24" s="28">
        <v>9999999.9989999998</v>
      </c>
      <c r="Y24">
        <v>999999.99899999995</v>
      </c>
      <c r="Z24" s="43">
        <v>9999999.9989999998</v>
      </c>
    </row>
    <row r="25" spans="1:26">
      <c r="A25" s="42">
        <v>16.451994148356402</v>
      </c>
      <c r="B25" s="28">
        <v>0.44462108911995152</v>
      </c>
      <c r="C25" s="29">
        <v>22.45697054815885</v>
      </c>
      <c r="D25" s="28">
        <v>-5.9269650848211857</v>
      </c>
      <c r="E25" s="29">
        <v>31.959412141025776</v>
      </c>
      <c r="F25" s="28">
        <v>-15.999464405263469</v>
      </c>
      <c r="G25" s="29">
        <v>53.297255694127216</v>
      </c>
      <c r="H25" s="28">
        <v>-38.60047115870514</v>
      </c>
      <c r="I25" s="29">
        <v>195.43598549374414</v>
      </c>
      <c r="J25" s="28">
        <v>-189.08658085006655</v>
      </c>
      <c r="K25" s="29">
        <v>999999.99899999995</v>
      </c>
      <c r="L25" s="28">
        <v>9999999.9989999998</v>
      </c>
      <c r="M25" s="29">
        <v>999999.99899999995</v>
      </c>
      <c r="N25" s="28">
        <v>9999999.9989999998</v>
      </c>
      <c r="O25" s="29">
        <v>999999.99899999995</v>
      </c>
      <c r="P25" s="28">
        <v>9999999.9989999998</v>
      </c>
      <c r="Q25" s="29">
        <v>999999.99899999995</v>
      </c>
      <c r="R25" s="28">
        <v>9999999.9989999998</v>
      </c>
      <c r="S25" s="29">
        <v>999999.99899999995</v>
      </c>
      <c r="T25" s="28">
        <v>9999999.9989999998</v>
      </c>
      <c r="U25" s="29">
        <v>999999.99899999995</v>
      </c>
      <c r="V25" s="28">
        <v>9999999.9989999998</v>
      </c>
      <c r="W25" s="29">
        <v>999999.99899999995</v>
      </c>
      <c r="X25" s="28">
        <v>9999999.9989999998</v>
      </c>
      <c r="Y25">
        <v>999999.99899999995</v>
      </c>
      <c r="Z25" s="43">
        <v>9999999.9989999998</v>
      </c>
    </row>
    <row r="26" spans="1:26">
      <c r="A26" s="42">
        <v>19.213533336462813</v>
      </c>
      <c r="B26" s="28">
        <v>2.0107699300207571</v>
      </c>
      <c r="C26" s="29">
        <v>26.259764672051837</v>
      </c>
      <c r="D26" s="28">
        <v>-4.5734654130471624</v>
      </c>
      <c r="E26" s="29">
        <v>38.257852730552962</v>
      </c>
      <c r="F26" s="28">
        <v>-15.276553622631649</v>
      </c>
      <c r="G26" s="29">
        <v>69.134207512154489</v>
      </c>
      <c r="H26" s="28">
        <v>-41.926095881414597</v>
      </c>
      <c r="I26" s="29">
        <v>651.51696733709161</v>
      </c>
      <c r="J26" s="28">
        <v>-535.78557873021839</v>
      </c>
      <c r="K26" s="29">
        <v>999999.99899999995</v>
      </c>
      <c r="L26" s="28">
        <v>9999999.9989999998</v>
      </c>
      <c r="M26" s="29">
        <v>999999.99899999995</v>
      </c>
      <c r="N26" s="28">
        <v>9999999.9989999998</v>
      </c>
      <c r="O26" s="29">
        <v>999999.99899999995</v>
      </c>
      <c r="P26" s="28">
        <v>9999999.9989999998</v>
      </c>
      <c r="Q26" s="29">
        <v>999999.99899999995</v>
      </c>
      <c r="R26" s="28">
        <v>9999999.9989999998</v>
      </c>
      <c r="S26" s="29">
        <v>999999.99899999995</v>
      </c>
      <c r="T26" s="28">
        <v>9999999.9989999998</v>
      </c>
      <c r="U26" s="29">
        <v>999999.99899999995</v>
      </c>
      <c r="V26" s="28">
        <v>9999999.9989999998</v>
      </c>
      <c r="W26" s="29">
        <v>999999.99899999995</v>
      </c>
      <c r="X26" s="28">
        <v>9999999.9989999998</v>
      </c>
      <c r="Y26">
        <v>999999.99899999995</v>
      </c>
      <c r="Z26" s="43">
        <v>9999999.9989999998</v>
      </c>
    </row>
    <row r="27" spans="1:26">
      <c r="A27" s="42">
        <v>22.754859972853801</v>
      </c>
      <c r="B27" s="28">
        <v>4.0191588135542018</v>
      </c>
      <c r="C27" s="29">
        <v>31.280395734410028</v>
      </c>
      <c r="D27" s="28">
        <v>-2.7865102759534666</v>
      </c>
      <c r="E27" s="29">
        <v>47.142758637555495</v>
      </c>
      <c r="F27" s="28">
        <v>-14.256778300225466</v>
      </c>
      <c r="G27" s="29">
        <v>96.541445718700984</v>
      </c>
      <c r="H27" s="28">
        <v>-47.681382000118703</v>
      </c>
      <c r="I27" s="29">
        <v>999999.99899999995</v>
      </c>
      <c r="J27" s="28">
        <v>9999999.9989999998</v>
      </c>
      <c r="K27" s="29">
        <v>999999.99899999995</v>
      </c>
      <c r="L27" s="28">
        <v>9999999.9989999998</v>
      </c>
      <c r="M27" s="29">
        <v>999999.99899999995</v>
      </c>
      <c r="N27" s="28">
        <v>9999999.9989999998</v>
      </c>
      <c r="O27" s="29">
        <v>999999.99899999995</v>
      </c>
      <c r="P27" s="28">
        <v>9999999.9989999998</v>
      </c>
      <c r="Q27" s="29">
        <v>999999.99899999995</v>
      </c>
      <c r="R27" s="28">
        <v>9999999.9989999998</v>
      </c>
      <c r="S27" s="29">
        <v>999999.99899999995</v>
      </c>
      <c r="T27" s="28">
        <v>9999999.9989999998</v>
      </c>
      <c r="U27" s="29">
        <v>999999.99899999995</v>
      </c>
      <c r="V27" s="28">
        <v>9999999.9989999998</v>
      </c>
      <c r="W27" s="29">
        <v>999999.99899999995</v>
      </c>
      <c r="X27" s="28">
        <v>9999999.9989999998</v>
      </c>
      <c r="Y27">
        <v>999999.99899999995</v>
      </c>
      <c r="Z27" s="43">
        <v>9999999.9989999998</v>
      </c>
    </row>
    <row r="28" spans="1:26">
      <c r="A28" s="42">
        <v>26.286630466302988</v>
      </c>
      <c r="B28" s="28">
        <v>6.0221281317031545</v>
      </c>
      <c r="C28" s="29">
        <v>36.456222239069639</v>
      </c>
      <c r="D28" s="28">
        <v>-0.94431760209805093</v>
      </c>
      <c r="E28" s="29">
        <v>57.057440952120679</v>
      </c>
      <c r="F28" s="28">
        <v>-13.11880920300386</v>
      </c>
      <c r="G28" s="29">
        <v>137.20677732290278</v>
      </c>
      <c r="H28" s="28">
        <v>-56.220754582295157</v>
      </c>
      <c r="I28" s="29">
        <v>999999.99899999995</v>
      </c>
      <c r="J28" s="28">
        <v>9999999.9989999998</v>
      </c>
      <c r="K28" s="29">
        <v>999999.99899999995</v>
      </c>
      <c r="L28" s="28">
        <v>9999999.9989999998</v>
      </c>
      <c r="M28" s="29">
        <v>999999.99899999995</v>
      </c>
      <c r="N28" s="28">
        <v>9999999.9989999998</v>
      </c>
      <c r="O28" s="29">
        <v>999999.99899999995</v>
      </c>
      <c r="P28" s="28">
        <v>9999999.9989999998</v>
      </c>
      <c r="Q28" s="29">
        <v>999999.99899999995</v>
      </c>
      <c r="R28" s="28">
        <v>9999999.9989999998</v>
      </c>
      <c r="S28" s="29">
        <v>999999.99899999995</v>
      </c>
      <c r="T28" s="28">
        <v>9999999.9989999998</v>
      </c>
      <c r="U28" s="29">
        <v>999999.99899999995</v>
      </c>
      <c r="V28" s="28">
        <v>9999999.9989999998</v>
      </c>
      <c r="W28" s="29">
        <v>999999.99899999995</v>
      </c>
      <c r="X28" s="28">
        <v>9999999.9989999998</v>
      </c>
      <c r="Y28">
        <v>999999.99899999995</v>
      </c>
      <c r="Z28" s="43">
        <v>9999999.9989999998</v>
      </c>
    </row>
    <row r="29" spans="1:26">
      <c r="A29" s="42">
        <v>29.63064562192104</v>
      </c>
      <c r="B29" s="28">
        <v>7.9186159608391629</v>
      </c>
      <c r="C29" s="29">
        <v>41.520041865076912</v>
      </c>
      <c r="D29" s="28">
        <v>0.85800931290918592</v>
      </c>
      <c r="E29" s="29">
        <v>67.594933123254535</v>
      </c>
      <c r="F29" s="28">
        <v>-11.909356386210218</v>
      </c>
      <c r="G29" s="29">
        <v>199.4385951234222</v>
      </c>
      <c r="H29" s="28">
        <v>-69.288905208413411</v>
      </c>
      <c r="I29" s="29">
        <v>999999.99899999995</v>
      </c>
      <c r="J29" s="28">
        <v>9999999.9989999998</v>
      </c>
      <c r="K29" s="29">
        <v>999999.99899999995</v>
      </c>
      <c r="L29" s="28">
        <v>9999999.9989999998</v>
      </c>
      <c r="M29" s="29">
        <v>999999.99899999995</v>
      </c>
      <c r="N29" s="28">
        <v>9999999.9989999998</v>
      </c>
      <c r="O29" s="29">
        <v>999999.99899999995</v>
      </c>
      <c r="P29" s="28">
        <v>9999999.9989999998</v>
      </c>
      <c r="Q29" s="29">
        <v>999999.99899999995</v>
      </c>
      <c r="R29" s="28">
        <v>9999999.9989999998</v>
      </c>
      <c r="S29" s="29">
        <v>999999.99899999995</v>
      </c>
      <c r="T29" s="28">
        <v>9999999.9989999998</v>
      </c>
      <c r="U29" s="29">
        <v>999999.99899999995</v>
      </c>
      <c r="V29" s="28">
        <v>9999999.9989999998</v>
      </c>
      <c r="W29" s="29">
        <v>999999.99899999995</v>
      </c>
      <c r="X29" s="28">
        <v>9999999.9989999998</v>
      </c>
      <c r="Y29">
        <v>999999.99899999995</v>
      </c>
      <c r="Z29" s="43">
        <v>9999999.9989999998</v>
      </c>
    </row>
    <row r="30" spans="1:26">
      <c r="A30" s="42">
        <v>33.023993763924167</v>
      </c>
      <c r="B30" s="28">
        <v>9.843081955115073</v>
      </c>
      <c r="C30" s="29">
        <v>46.828990169088371</v>
      </c>
      <c r="D30" s="28">
        <v>2.7475830191998365</v>
      </c>
      <c r="E30" s="29">
        <v>79.653874369995009</v>
      </c>
      <c r="F30" s="28">
        <v>-10.525277497082087</v>
      </c>
      <c r="G30" s="29">
        <v>317.38909928634286</v>
      </c>
      <c r="H30" s="28">
        <v>-94.057504444394098</v>
      </c>
      <c r="I30" s="29">
        <v>999999.99899999995</v>
      </c>
      <c r="J30" s="28">
        <v>9999999.9989999998</v>
      </c>
      <c r="K30" s="29">
        <v>999999.99899999995</v>
      </c>
      <c r="L30" s="28">
        <v>9999999.9989999998</v>
      </c>
      <c r="M30" s="29">
        <v>999999.99899999995</v>
      </c>
      <c r="N30" s="28">
        <v>9999999.9989999998</v>
      </c>
      <c r="O30" s="29">
        <v>999999.99899999995</v>
      </c>
      <c r="P30" s="28">
        <v>9999999.9989999998</v>
      </c>
      <c r="Q30" s="29">
        <v>999999.99899999995</v>
      </c>
      <c r="R30" s="28">
        <v>9999999.9989999998</v>
      </c>
      <c r="S30" s="29">
        <v>999999.99899999995</v>
      </c>
      <c r="T30" s="28">
        <v>9999999.9989999998</v>
      </c>
      <c r="U30" s="29">
        <v>999999.99899999995</v>
      </c>
      <c r="V30" s="28">
        <v>9999999.9989999998</v>
      </c>
      <c r="W30" s="29">
        <v>999999.99899999995</v>
      </c>
      <c r="X30" s="28">
        <v>9999999.9989999998</v>
      </c>
      <c r="Y30">
        <v>999999.99899999995</v>
      </c>
      <c r="Z30" s="43">
        <v>9999999.9989999998</v>
      </c>
    </row>
    <row r="31" spans="1:26" ht="15.75" thickBot="1">
      <c r="A31" s="44"/>
      <c r="B31" s="46"/>
      <c r="C31" s="48"/>
      <c r="D31" s="46"/>
      <c r="E31" s="48"/>
      <c r="F31" s="46"/>
      <c r="G31" s="48"/>
      <c r="H31" s="46"/>
      <c r="I31" s="48"/>
      <c r="J31" s="46"/>
      <c r="K31" s="48"/>
      <c r="L31" s="46"/>
      <c r="M31" s="48"/>
      <c r="N31" s="46"/>
      <c r="O31" s="48"/>
      <c r="P31" s="46"/>
      <c r="Q31" s="48"/>
      <c r="R31" s="46"/>
      <c r="S31" s="48"/>
      <c r="T31" s="46"/>
      <c r="U31" s="48"/>
      <c r="V31" s="46"/>
      <c r="W31" s="48"/>
      <c r="X31" s="46"/>
      <c r="Y31" s="4"/>
      <c r="Z31" s="2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1CD-BD73-4B51-A6B3-C8DD326D620E}">
  <sheetPr codeName="Sheet16"/>
  <dimension ref="A1:Z30"/>
  <sheetViews>
    <sheetView workbookViewId="0">
      <selection activeCell="A5" sqref="A5"/>
    </sheetView>
  </sheetViews>
  <sheetFormatPr defaultRowHeight="15"/>
  <cols>
    <col min="2" max="2" width="10" customWidth="1"/>
    <col min="6" max="6" width="10.140625" customWidth="1"/>
    <col min="10" max="10" width="10.140625" customWidth="1"/>
    <col min="12" max="12" width="9.85546875" customWidth="1"/>
    <col min="14" max="14" width="9.85546875" customWidth="1"/>
    <col min="16" max="16" width="10.7109375" customWidth="1"/>
    <col min="18" max="18" width="9.7109375" customWidth="1"/>
    <col min="20" max="20" width="10.7109375" customWidth="1"/>
    <col min="22" max="22" width="10.5703125" customWidth="1"/>
  </cols>
  <sheetData>
    <row r="1" spans="1:24" ht="29.25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178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4">
      <c r="A2" t="str">
        <f>Enter!B2</f>
        <v>Tehran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0</v>
      </c>
      <c r="M2">
        <v>15</v>
      </c>
      <c r="N2">
        <v>80.768276747692724</v>
      </c>
      <c r="O2">
        <v>10.702907562255801</v>
      </c>
      <c r="P2">
        <v>90</v>
      </c>
      <c r="Q2">
        <v>0</v>
      </c>
      <c r="R2">
        <v>-79.363181191229231</v>
      </c>
    </row>
    <row r="5" spans="1:24">
      <c r="B5" s="82">
        <v>45098</v>
      </c>
      <c r="D5" s="82">
        <v>45020</v>
      </c>
      <c r="F5" s="82">
        <v>45036</v>
      </c>
      <c r="H5" s="82">
        <v>45051</v>
      </c>
      <c r="J5" s="82">
        <v>45067</v>
      </c>
      <c r="L5" s="82">
        <v>45192</v>
      </c>
      <c r="N5" s="82">
        <v>45207</v>
      </c>
      <c r="P5" s="82">
        <v>45223</v>
      </c>
      <c r="R5" s="82">
        <v>45238</v>
      </c>
      <c r="T5" s="82">
        <v>45253</v>
      </c>
      <c r="V5" s="82">
        <v>45282</v>
      </c>
      <c r="X5" s="82"/>
    </row>
    <row r="6" spans="1:24">
      <c r="A6">
        <v>-186.30789503791115</v>
      </c>
      <c r="B6">
        <v>-79.363181396985823</v>
      </c>
      <c r="C6">
        <v>-817.05175875193879</v>
      </c>
      <c r="D6">
        <v>-79.363182093573059</v>
      </c>
      <c r="E6">
        <v>-397.846299953222</v>
      </c>
      <c r="F6">
        <v>-79.363181630606718</v>
      </c>
      <c r="G6">
        <v>-277.67227981022035</v>
      </c>
      <c r="H6">
        <v>-79.363181497887723</v>
      </c>
      <c r="I6">
        <v>-219.9928051005582</v>
      </c>
      <c r="J6">
        <v>-79.363181434187098</v>
      </c>
      <c r="K6">
        <v>999999.99899999995</v>
      </c>
      <c r="L6">
        <v>9999999.9989999998</v>
      </c>
      <c r="M6">
        <v>999999.99899999995</v>
      </c>
      <c r="N6">
        <v>9999999.9989999998</v>
      </c>
      <c r="O6">
        <v>999999.99899999995</v>
      </c>
      <c r="P6">
        <v>9999999.9989999998</v>
      </c>
      <c r="Q6">
        <v>999999.99899999995</v>
      </c>
      <c r="R6">
        <v>9999999.9989999998</v>
      </c>
      <c r="S6">
        <v>999999.99899999995</v>
      </c>
      <c r="T6">
        <v>9999999.9989999998</v>
      </c>
      <c r="U6">
        <v>999999.99899999995</v>
      </c>
      <c r="V6">
        <v>9999999.9989999998</v>
      </c>
    </row>
    <row r="7" spans="1:24">
      <c r="A7">
        <v>-43.272582103535584</v>
      </c>
      <c r="B7">
        <v>-16.930092485185241</v>
      </c>
      <c r="C7">
        <v>-53.136074260259946</v>
      </c>
      <c r="D7">
        <v>-2.6991811127430827</v>
      </c>
      <c r="E7">
        <v>-49.616169169678791</v>
      </c>
      <c r="F7">
        <v>-7.7776519613581847</v>
      </c>
      <c r="G7">
        <v>-46.990429838559152</v>
      </c>
      <c r="H7">
        <v>-11.566032700610336</v>
      </c>
      <c r="I7">
        <v>-44.926710863697515</v>
      </c>
      <c r="J7">
        <v>-14.543538168474612</v>
      </c>
      <c r="K7">
        <v>-56.991829298963637</v>
      </c>
      <c r="L7">
        <v>2.8638494405109629</v>
      </c>
      <c r="M7">
        <v>-61.565542966476904</v>
      </c>
      <c r="N7">
        <v>9.4627408687294583</v>
      </c>
      <c r="O7">
        <v>-67.128715767355587</v>
      </c>
      <c r="P7">
        <v>17.489210380839573</v>
      </c>
      <c r="Q7">
        <v>-72.735576048525942</v>
      </c>
      <c r="R7">
        <v>25.57871159107825</v>
      </c>
      <c r="S7">
        <v>-78.077925463159104</v>
      </c>
      <c r="T7">
        <v>33.286580146378135</v>
      </c>
      <c r="U7">
        <v>-83.367839948941935</v>
      </c>
      <c r="V7">
        <v>40.918796304592597</v>
      </c>
    </row>
    <row r="8" spans="1:24">
      <c r="A8">
        <v>-22.717860625446633</v>
      </c>
      <c r="B8">
        <v>-8.7385225716543502</v>
      </c>
      <c r="C8">
        <v>-25.488308762167364</v>
      </c>
      <c r="D8">
        <v>-0.12582980515437497</v>
      </c>
      <c r="E8">
        <v>-24.556268242499698</v>
      </c>
      <c r="F8">
        <v>-3.0233316697185204</v>
      </c>
      <c r="G8">
        <v>-23.821478327252308</v>
      </c>
      <c r="H8">
        <v>-5.3076262948614295</v>
      </c>
      <c r="I8">
        <v>-23.218431212629099</v>
      </c>
      <c r="J8">
        <v>-7.1823625345088304</v>
      </c>
      <c r="K8">
        <v>-26.445533402925545</v>
      </c>
      <c r="L8">
        <v>2.8499637605508323</v>
      </c>
      <c r="M8">
        <v>-27.50299379610604</v>
      </c>
      <c r="N8">
        <v>6.1373674691747278</v>
      </c>
      <c r="O8">
        <v>-28.687571061049493</v>
      </c>
      <c r="P8">
        <v>9.8199486032200518</v>
      </c>
      <c r="Q8">
        <v>-29.781837101146998</v>
      </c>
      <c r="R8">
        <v>13.221772691986379</v>
      </c>
      <c r="S8">
        <v>-30.742477017826506</v>
      </c>
      <c r="T8">
        <v>16.208183573292384</v>
      </c>
      <c r="U8">
        <v>-31.623701475123884</v>
      </c>
      <c r="V8">
        <v>18.947709864519634</v>
      </c>
    </row>
    <row r="9" spans="1:24">
      <c r="A9">
        <v>-13.680335024931294</v>
      </c>
      <c r="B9">
        <v>-5.7007087796882034</v>
      </c>
      <c r="C9">
        <v>-14.872594176539367</v>
      </c>
      <c r="D9">
        <v>0.71907236621819492</v>
      </c>
      <c r="E9">
        <v>-14.479834089046937</v>
      </c>
      <c r="F9">
        <v>-1.3957646649319926</v>
      </c>
      <c r="G9">
        <v>-14.164306996881873</v>
      </c>
      <c r="H9">
        <v>-3.0947366330413479</v>
      </c>
      <c r="I9">
        <v>-13.901372063875193</v>
      </c>
      <c r="J9">
        <v>-4.5105233965480487</v>
      </c>
      <c r="K9">
        <v>-15.267525453131526</v>
      </c>
      <c r="L9">
        <v>2.8456002775162363</v>
      </c>
      <c r="M9">
        <v>-15.694188423770953</v>
      </c>
      <c r="N9">
        <v>5.1429891387156115</v>
      </c>
      <c r="O9">
        <v>-16.160558305887129</v>
      </c>
      <c r="P9">
        <v>7.6541819210816433</v>
      </c>
      <c r="Q9">
        <v>-16.580885381418756</v>
      </c>
      <c r="R9">
        <v>9.9174548269531577</v>
      </c>
      <c r="S9">
        <v>-16.941866842581124</v>
      </c>
      <c r="T9">
        <v>11.861178198894786</v>
      </c>
      <c r="U9">
        <v>-17.266616818964522</v>
      </c>
      <c r="V9">
        <v>13.609811264707506</v>
      </c>
    </row>
    <row r="10" spans="1:24">
      <c r="A10">
        <v>-8.0517772781728247</v>
      </c>
      <c r="B10">
        <v>-4.2697518219428794</v>
      </c>
      <c r="C10">
        <v>-8.6274510717313788</v>
      </c>
      <c r="D10">
        <v>1.0991646126344745</v>
      </c>
      <c r="E10">
        <v>-8.4396496162637273</v>
      </c>
      <c r="F10">
        <v>-0.65233134215795929</v>
      </c>
      <c r="G10">
        <v>-8.2874759742947557</v>
      </c>
      <c r="H10">
        <v>-2.0715510051312012</v>
      </c>
      <c r="I10">
        <v>-8.159770210310505</v>
      </c>
      <c r="J10">
        <v>-3.2625754754427208</v>
      </c>
      <c r="K10">
        <v>-8.8145026881792816</v>
      </c>
      <c r="L10">
        <v>2.8436673308379179</v>
      </c>
      <c r="M10">
        <v>-9.0145978589503901</v>
      </c>
      <c r="N10">
        <v>4.7098183748028708</v>
      </c>
      <c r="O10">
        <v>-9.2309917474132508</v>
      </c>
      <c r="P10">
        <v>6.7279764308238637</v>
      </c>
      <c r="Q10">
        <v>-9.4239755226513111</v>
      </c>
      <c r="R10">
        <v>8.5278043439161344</v>
      </c>
      <c r="S10">
        <v>-9.5881862503763102</v>
      </c>
      <c r="T10">
        <v>10.059285687485351</v>
      </c>
      <c r="U10">
        <v>-9.7347261229134698</v>
      </c>
      <c r="V10">
        <v>11.42596302939147</v>
      </c>
    </row>
    <row r="11" spans="1:24">
      <c r="A11">
        <v>-3.7705497312128102</v>
      </c>
      <c r="B11">
        <v>-3.5923976398788735</v>
      </c>
      <c r="C11">
        <v>-4.0127785679036316</v>
      </c>
      <c r="D11">
        <v>1.2752927668703822</v>
      </c>
      <c r="E11">
        <v>-3.9341177681668138</v>
      </c>
      <c r="F11">
        <v>-0.30542910545920049</v>
      </c>
      <c r="G11">
        <v>-3.8701238460048835</v>
      </c>
      <c r="H11">
        <v>-1.5914139008842292</v>
      </c>
      <c r="I11">
        <v>-3.8162417105767465</v>
      </c>
      <c r="J11">
        <v>-2.6741980867054931</v>
      </c>
      <c r="K11">
        <v>-4.0907806706330225</v>
      </c>
      <c r="L11">
        <v>2.8427778456463852</v>
      </c>
      <c r="M11">
        <v>-4.1738438599558387</v>
      </c>
      <c r="N11">
        <v>4.5119675892967139</v>
      </c>
      <c r="O11">
        <v>-4.2632360594975971</v>
      </c>
      <c r="P11">
        <v>6.3083414566370131</v>
      </c>
      <c r="Q11">
        <v>-4.3425773021755631</v>
      </c>
      <c r="R11">
        <v>7.9027371162093409</v>
      </c>
      <c r="S11">
        <v>-4.4098086772952598</v>
      </c>
      <c r="T11">
        <v>9.2537798911883637</v>
      </c>
      <c r="U11">
        <v>-4.4695887860009931</v>
      </c>
      <c r="V11">
        <v>10.455086331976613</v>
      </c>
    </row>
    <row r="12" spans="1:24">
      <c r="A12">
        <v>0</v>
      </c>
      <c r="B12">
        <v>-3.3899731827519686</v>
      </c>
      <c r="C12">
        <v>0</v>
      </c>
      <c r="D12">
        <v>1.3274660218959347</v>
      </c>
      <c r="E12">
        <v>0</v>
      </c>
      <c r="F12">
        <v>-0.20237356277001803</v>
      </c>
      <c r="G12">
        <v>0</v>
      </c>
      <c r="H12">
        <v>-1.4484451756253791</v>
      </c>
      <c r="I12">
        <v>0</v>
      </c>
      <c r="J12">
        <v>-2.4986555167105085</v>
      </c>
      <c r="K12">
        <v>0</v>
      </c>
      <c r="L12">
        <v>2.8425151086233624</v>
      </c>
      <c r="M12">
        <v>0</v>
      </c>
      <c r="N12">
        <v>4.4537034425582824</v>
      </c>
      <c r="O12">
        <v>0</v>
      </c>
      <c r="P12">
        <v>6.1851690554136374</v>
      </c>
      <c r="Q12">
        <v>0</v>
      </c>
      <c r="R12">
        <v>7.7197989514720744</v>
      </c>
      <c r="S12">
        <v>0</v>
      </c>
      <c r="T12">
        <v>9.0186144587713191</v>
      </c>
      <c r="U12">
        <v>0</v>
      </c>
      <c r="V12">
        <v>10.172263939464479</v>
      </c>
    </row>
    <row r="13" spans="1:24">
      <c r="A13">
        <v>3.7705497312128102</v>
      </c>
      <c r="B13">
        <v>-3.5923976398788735</v>
      </c>
      <c r="C13">
        <v>4.0127785679036316</v>
      </c>
      <c r="D13">
        <v>1.2752927668703822</v>
      </c>
      <c r="E13">
        <v>3.9341177681668138</v>
      </c>
      <c r="F13">
        <v>-0.30542910545920049</v>
      </c>
      <c r="G13">
        <v>3.8701238460048835</v>
      </c>
      <c r="H13">
        <v>-1.5914139008842292</v>
      </c>
      <c r="I13">
        <v>3.8162417105767465</v>
      </c>
      <c r="J13">
        <v>-2.6741980867054931</v>
      </c>
      <c r="K13">
        <v>4.0907806706330225</v>
      </c>
      <c r="L13">
        <v>2.8427778456463852</v>
      </c>
      <c r="M13">
        <v>4.1738438599558387</v>
      </c>
      <c r="N13">
        <v>4.5119675892967139</v>
      </c>
      <c r="O13">
        <v>4.2632360594975971</v>
      </c>
      <c r="P13">
        <v>6.3083414566370131</v>
      </c>
      <c r="Q13">
        <v>4.3425773021755631</v>
      </c>
      <c r="R13">
        <v>7.9027371162093409</v>
      </c>
      <c r="S13">
        <v>4.4098086772952598</v>
      </c>
      <c r="T13">
        <v>9.2537798911883637</v>
      </c>
      <c r="U13">
        <v>4.4695887860009931</v>
      </c>
      <c r="V13">
        <v>10.455086331976613</v>
      </c>
    </row>
    <row r="14" spans="1:24">
      <c r="A14">
        <v>8.0517772781728247</v>
      </c>
      <c r="B14">
        <v>-4.2697518219428794</v>
      </c>
      <c r="C14">
        <v>8.6274510717313788</v>
      </c>
      <c r="D14">
        <v>1.0991646126344745</v>
      </c>
      <c r="E14">
        <v>8.4396496162637273</v>
      </c>
      <c r="F14">
        <v>-0.65233134215795929</v>
      </c>
      <c r="G14">
        <v>8.2874759742947557</v>
      </c>
      <c r="H14">
        <v>-2.0715510051312012</v>
      </c>
      <c r="I14">
        <v>8.159770210310505</v>
      </c>
      <c r="J14">
        <v>-3.2625754754427208</v>
      </c>
      <c r="K14">
        <v>8.8145026881792816</v>
      </c>
      <c r="L14">
        <v>2.8436673308379179</v>
      </c>
      <c r="M14">
        <v>9.0145978589503901</v>
      </c>
      <c r="N14">
        <v>4.7098183748028708</v>
      </c>
      <c r="O14">
        <v>9.2309917474132508</v>
      </c>
      <c r="P14">
        <v>6.7279764308238637</v>
      </c>
      <c r="Q14">
        <v>9.4239755226513111</v>
      </c>
      <c r="R14">
        <v>8.5278043439161344</v>
      </c>
      <c r="S14">
        <v>9.5881862503763102</v>
      </c>
      <c r="T14">
        <v>10.059285687485351</v>
      </c>
      <c r="U14">
        <v>9.7347261229134698</v>
      </c>
      <c r="V14">
        <v>11.42596302939147</v>
      </c>
    </row>
    <row r="15" spans="1:24">
      <c r="A15">
        <v>13.680335024931294</v>
      </c>
      <c r="B15">
        <v>-5.7007087796882034</v>
      </c>
      <c r="C15">
        <v>14.872594176539367</v>
      </c>
      <c r="D15">
        <v>0.71907236621819492</v>
      </c>
      <c r="E15">
        <v>14.479834089046937</v>
      </c>
      <c r="F15">
        <v>-1.3957646649319926</v>
      </c>
      <c r="G15">
        <v>14.164306996881873</v>
      </c>
      <c r="H15">
        <v>-3.0947366330413479</v>
      </c>
      <c r="I15">
        <v>13.901372063875193</v>
      </c>
      <c r="J15">
        <v>-4.5105233965480487</v>
      </c>
      <c r="K15">
        <v>15.267525453131526</v>
      </c>
      <c r="L15">
        <v>2.8456002775162363</v>
      </c>
      <c r="M15">
        <v>15.694188423770953</v>
      </c>
      <c r="N15">
        <v>5.1429891387156115</v>
      </c>
      <c r="O15">
        <v>16.160558305887129</v>
      </c>
      <c r="P15">
        <v>7.6541819210816433</v>
      </c>
      <c r="Q15">
        <v>16.580885381418756</v>
      </c>
      <c r="R15">
        <v>9.9174548269531577</v>
      </c>
      <c r="S15">
        <v>16.941866842581124</v>
      </c>
      <c r="T15">
        <v>11.861178198894786</v>
      </c>
      <c r="U15">
        <v>17.266616818964522</v>
      </c>
      <c r="V15">
        <v>13.609811264707506</v>
      </c>
    </row>
    <row r="16" spans="1:24">
      <c r="A16">
        <v>22.717860625446633</v>
      </c>
      <c r="B16">
        <v>-8.7385225716543502</v>
      </c>
      <c r="C16">
        <v>25.488308762167364</v>
      </c>
      <c r="D16">
        <v>-0.12582980515437497</v>
      </c>
      <c r="E16">
        <v>24.556268242499698</v>
      </c>
      <c r="F16">
        <v>-3.0233316697185204</v>
      </c>
      <c r="G16">
        <v>23.821478327252308</v>
      </c>
      <c r="H16">
        <v>-5.3076262948614295</v>
      </c>
      <c r="I16">
        <v>23.218431212629099</v>
      </c>
      <c r="J16">
        <v>-7.1823625345088304</v>
      </c>
      <c r="K16">
        <v>26.445533402925545</v>
      </c>
      <c r="L16">
        <v>2.8499637605508323</v>
      </c>
      <c r="M16">
        <v>27.50299379610604</v>
      </c>
      <c r="N16">
        <v>6.1373674691747278</v>
      </c>
      <c r="O16">
        <v>28.687571061049493</v>
      </c>
      <c r="P16">
        <v>9.8199486032200518</v>
      </c>
      <c r="Q16">
        <v>29.781837101146998</v>
      </c>
      <c r="R16">
        <v>13.221772691986379</v>
      </c>
      <c r="S16">
        <v>30.742477017826506</v>
      </c>
      <c r="T16">
        <v>16.208183573292384</v>
      </c>
      <c r="U16">
        <v>31.623701475123884</v>
      </c>
      <c r="V16">
        <v>18.947709864519634</v>
      </c>
    </row>
    <row r="17" spans="1:26">
      <c r="A17">
        <v>43.272582103535584</v>
      </c>
      <c r="B17">
        <v>-16.930092485185241</v>
      </c>
      <c r="C17">
        <v>53.136074260259946</v>
      </c>
      <c r="D17">
        <v>-2.6991811127430827</v>
      </c>
      <c r="E17">
        <v>49.616169169678791</v>
      </c>
      <c r="F17">
        <v>-7.7776519613581847</v>
      </c>
      <c r="G17">
        <v>46.990429838559152</v>
      </c>
      <c r="H17">
        <v>-11.566032700610336</v>
      </c>
      <c r="I17">
        <v>44.926710863697515</v>
      </c>
      <c r="J17">
        <v>-14.543538168474612</v>
      </c>
      <c r="K17">
        <v>56.991829298963637</v>
      </c>
      <c r="L17">
        <v>2.8638494405109629</v>
      </c>
      <c r="M17">
        <v>61.565542966476904</v>
      </c>
      <c r="N17">
        <v>9.4627408687294583</v>
      </c>
      <c r="O17">
        <v>67.128715767355587</v>
      </c>
      <c r="P17">
        <v>17.489210380839573</v>
      </c>
      <c r="Q17">
        <v>72.735576048525942</v>
      </c>
      <c r="R17">
        <v>25.57871159107825</v>
      </c>
      <c r="S17">
        <v>78.077925463159104</v>
      </c>
      <c r="T17">
        <v>33.286580146378135</v>
      </c>
      <c r="U17">
        <v>83.367839948941935</v>
      </c>
      <c r="V17">
        <v>40.918796304592597</v>
      </c>
    </row>
    <row r="18" spans="1:26">
      <c r="A18">
        <v>186.30789503791115</v>
      </c>
      <c r="B18">
        <v>-79.363181396985823</v>
      </c>
      <c r="C18">
        <v>817.05175875193879</v>
      </c>
      <c r="D18">
        <v>-79.363182093573059</v>
      </c>
      <c r="E18">
        <v>397.846299953222</v>
      </c>
      <c r="F18">
        <v>-79.363181630606718</v>
      </c>
      <c r="G18">
        <v>277.67227981022035</v>
      </c>
      <c r="H18">
        <v>-79.363181497887723</v>
      </c>
      <c r="I18">
        <v>219.9928051005582</v>
      </c>
      <c r="J18">
        <v>-79.363181434187098</v>
      </c>
      <c r="K18">
        <v>999999.99899999995</v>
      </c>
      <c r="L18">
        <v>9999999.9989999998</v>
      </c>
      <c r="M18">
        <v>999999.99899999995</v>
      </c>
      <c r="N18">
        <v>9999999.9989999998</v>
      </c>
      <c r="O18">
        <v>999999.99899999995</v>
      </c>
      <c r="P18">
        <v>9999999.9989999998</v>
      </c>
      <c r="Q18">
        <v>999999.99899999995</v>
      </c>
      <c r="R18">
        <v>9999999.9989999998</v>
      </c>
      <c r="S18">
        <v>999999.99899999995</v>
      </c>
      <c r="T18">
        <v>9999999.9989999998</v>
      </c>
      <c r="U18">
        <v>999999.99899999995</v>
      </c>
      <c r="V18">
        <v>9999999.9989999998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-186.30789503791115</v>
      </c>
      <c r="B20">
        <v>-79.363181396985823</v>
      </c>
      <c r="C20">
        <v>-43.272582103535584</v>
      </c>
      <c r="D20">
        <v>-16.930092485185241</v>
      </c>
      <c r="E20">
        <v>-22.717860625446633</v>
      </c>
      <c r="F20">
        <v>-8.7385225716543502</v>
      </c>
      <c r="G20">
        <v>-13.680335024931294</v>
      </c>
      <c r="H20">
        <v>-5.7007087796882034</v>
      </c>
      <c r="I20">
        <v>-8.0517772781728247</v>
      </c>
      <c r="J20">
        <v>-4.2697518219428794</v>
      </c>
      <c r="K20">
        <v>-3.7705497312128102</v>
      </c>
      <c r="L20">
        <v>-3.5923976398788735</v>
      </c>
      <c r="M20">
        <v>0</v>
      </c>
      <c r="N20">
        <v>-3.3899731827519686</v>
      </c>
      <c r="O20">
        <v>3.7705497312128102</v>
      </c>
      <c r="P20">
        <v>-3.5923976398788735</v>
      </c>
      <c r="Q20">
        <v>8.0517772781728247</v>
      </c>
      <c r="R20">
        <v>-4.2697518219428794</v>
      </c>
      <c r="S20">
        <v>13.680335024931294</v>
      </c>
      <c r="T20">
        <v>-5.7007087796882034</v>
      </c>
      <c r="U20">
        <v>22.717860625446633</v>
      </c>
      <c r="V20">
        <v>-8.7385225716543502</v>
      </c>
      <c r="W20">
        <v>43.272582103535584</v>
      </c>
      <c r="X20">
        <v>-16.930092485185241</v>
      </c>
      <c r="Y20">
        <v>186.30789503791115</v>
      </c>
      <c r="Z20">
        <v>-79.363181396985823</v>
      </c>
    </row>
    <row r="21" spans="1:26">
      <c r="A21">
        <v>-817.05175875193879</v>
      </c>
      <c r="B21">
        <v>-79.363182093573059</v>
      </c>
      <c r="C21">
        <v>-53.136074260259946</v>
      </c>
      <c r="D21">
        <v>-2.6991811127430827</v>
      </c>
      <c r="E21">
        <v>-25.488308762167364</v>
      </c>
      <c r="F21">
        <v>-0.12582980515437497</v>
      </c>
      <c r="G21">
        <v>-14.872594176539367</v>
      </c>
      <c r="H21">
        <v>0.71907236621819492</v>
      </c>
      <c r="I21">
        <v>-8.6274510717313788</v>
      </c>
      <c r="J21">
        <v>1.0991646126344745</v>
      </c>
      <c r="K21">
        <v>-4.0127785679036316</v>
      </c>
      <c r="L21">
        <v>1.2752927668703822</v>
      </c>
      <c r="M21">
        <v>0</v>
      </c>
      <c r="N21">
        <v>1.3274660218959347</v>
      </c>
      <c r="O21">
        <v>4.0127785679036316</v>
      </c>
      <c r="P21">
        <v>1.2752927668703822</v>
      </c>
      <c r="Q21">
        <v>8.6274510717313788</v>
      </c>
      <c r="R21">
        <v>1.0991646126344745</v>
      </c>
      <c r="S21">
        <v>14.872594176539367</v>
      </c>
      <c r="T21">
        <v>0.71907236621819492</v>
      </c>
      <c r="U21">
        <v>25.488308762167364</v>
      </c>
      <c r="V21">
        <v>-0.12582980515437497</v>
      </c>
      <c r="W21">
        <v>53.136074260259946</v>
      </c>
      <c r="X21">
        <v>-2.6991811127430827</v>
      </c>
      <c r="Y21">
        <v>817.05175875193879</v>
      </c>
      <c r="Z21">
        <v>-79.363182093573059</v>
      </c>
    </row>
    <row r="22" spans="1:26">
      <c r="A22">
        <v>-397.846299953222</v>
      </c>
      <c r="B22">
        <v>-79.363181630606718</v>
      </c>
      <c r="C22">
        <v>-49.616169169678791</v>
      </c>
      <c r="D22">
        <v>-7.7776519613581847</v>
      </c>
      <c r="E22">
        <v>-24.556268242499698</v>
      </c>
      <c r="F22">
        <v>-3.0233316697185204</v>
      </c>
      <c r="G22">
        <v>-14.479834089046937</v>
      </c>
      <c r="H22">
        <v>-1.3957646649319926</v>
      </c>
      <c r="I22">
        <v>-8.4396496162637273</v>
      </c>
      <c r="J22">
        <v>-0.65233134215795929</v>
      </c>
      <c r="K22">
        <v>-3.9341177681668138</v>
      </c>
      <c r="L22">
        <v>-0.30542910545920049</v>
      </c>
      <c r="M22">
        <v>0</v>
      </c>
      <c r="N22">
        <v>-0.20237356277001803</v>
      </c>
      <c r="O22">
        <v>3.9341177681668138</v>
      </c>
      <c r="P22">
        <v>-0.30542910545920049</v>
      </c>
      <c r="Q22">
        <v>8.4396496162637273</v>
      </c>
      <c r="R22">
        <v>-0.65233134215795929</v>
      </c>
      <c r="S22">
        <v>14.479834089046937</v>
      </c>
      <c r="T22">
        <v>-1.3957646649319926</v>
      </c>
      <c r="U22">
        <v>24.556268242499698</v>
      </c>
      <c r="V22">
        <v>-3.0233316697185204</v>
      </c>
      <c r="W22">
        <v>49.616169169678791</v>
      </c>
      <c r="X22">
        <v>-7.7776519613581847</v>
      </c>
      <c r="Y22">
        <v>397.846299953222</v>
      </c>
      <c r="Z22">
        <v>-79.363181630606718</v>
      </c>
    </row>
    <row r="23" spans="1:26">
      <c r="A23">
        <v>-277.67227981022035</v>
      </c>
      <c r="B23">
        <v>-79.363181497887723</v>
      </c>
      <c r="C23">
        <v>-46.990429838559152</v>
      </c>
      <c r="D23">
        <v>-11.566032700610336</v>
      </c>
      <c r="E23">
        <v>-23.821478327252308</v>
      </c>
      <c r="F23">
        <v>-5.3076262948614295</v>
      </c>
      <c r="G23">
        <v>-14.164306996881873</v>
      </c>
      <c r="H23">
        <v>-3.0947366330413479</v>
      </c>
      <c r="I23">
        <v>-8.2874759742947557</v>
      </c>
      <c r="J23">
        <v>-2.0715510051312012</v>
      </c>
      <c r="K23">
        <v>-3.8701238460048835</v>
      </c>
      <c r="L23">
        <v>-1.5914139008842292</v>
      </c>
      <c r="M23">
        <v>0</v>
      </c>
      <c r="N23">
        <v>-1.4484451756253791</v>
      </c>
      <c r="O23">
        <v>3.8701238460048835</v>
      </c>
      <c r="P23">
        <v>-1.5914139008842292</v>
      </c>
      <c r="Q23">
        <v>8.2874759742947557</v>
      </c>
      <c r="R23">
        <v>-2.0715510051312012</v>
      </c>
      <c r="S23">
        <v>14.164306996881873</v>
      </c>
      <c r="T23">
        <v>-3.0947366330413479</v>
      </c>
      <c r="U23">
        <v>23.821478327252308</v>
      </c>
      <c r="V23">
        <v>-5.3076262948614295</v>
      </c>
      <c r="W23">
        <v>46.990429838559152</v>
      </c>
      <c r="X23">
        <v>-11.566032700610336</v>
      </c>
      <c r="Y23">
        <v>277.67227981022035</v>
      </c>
      <c r="Z23">
        <v>-79.363181497887723</v>
      </c>
    </row>
    <row r="24" spans="1:26">
      <c r="A24">
        <v>-219.9928051005582</v>
      </c>
      <c r="B24">
        <v>-79.363181434187098</v>
      </c>
      <c r="C24">
        <v>-44.926710863697515</v>
      </c>
      <c r="D24">
        <v>-14.543538168474612</v>
      </c>
      <c r="E24">
        <v>-23.218431212629099</v>
      </c>
      <c r="F24">
        <v>-7.1823625345088304</v>
      </c>
      <c r="G24">
        <v>-13.901372063875193</v>
      </c>
      <c r="H24">
        <v>-4.5105233965480487</v>
      </c>
      <c r="I24">
        <v>-8.159770210310505</v>
      </c>
      <c r="J24">
        <v>-3.2625754754427208</v>
      </c>
      <c r="K24">
        <v>-3.8162417105767465</v>
      </c>
      <c r="L24">
        <v>-2.6741980867054931</v>
      </c>
      <c r="M24">
        <v>0</v>
      </c>
      <c r="N24">
        <v>-2.4986555167105085</v>
      </c>
      <c r="O24">
        <v>3.8162417105767465</v>
      </c>
      <c r="P24">
        <v>-2.6741980867054931</v>
      </c>
      <c r="Q24">
        <v>8.159770210310505</v>
      </c>
      <c r="R24">
        <v>-3.2625754754427208</v>
      </c>
      <c r="S24">
        <v>13.901372063875193</v>
      </c>
      <c r="T24">
        <v>-4.5105233965480487</v>
      </c>
      <c r="U24">
        <v>23.218431212629099</v>
      </c>
      <c r="V24">
        <v>-7.1823625345088304</v>
      </c>
      <c r="W24">
        <v>44.926710863697515</v>
      </c>
      <c r="X24">
        <v>-14.543538168474612</v>
      </c>
      <c r="Y24">
        <v>219.9928051005582</v>
      </c>
      <c r="Z24">
        <v>-79.363181434187098</v>
      </c>
    </row>
    <row r="25" spans="1:26">
      <c r="A25">
        <v>999999.99899999995</v>
      </c>
      <c r="B25">
        <v>9999999.9989999998</v>
      </c>
      <c r="C25">
        <v>-56.991829298963637</v>
      </c>
      <c r="D25">
        <v>2.8638494405109629</v>
      </c>
      <c r="E25">
        <v>-26.445533402925545</v>
      </c>
      <c r="F25">
        <v>2.8499637605508323</v>
      </c>
      <c r="G25">
        <v>-15.267525453131526</v>
      </c>
      <c r="H25">
        <v>2.8456002775162363</v>
      </c>
      <c r="I25">
        <v>-8.8145026881792816</v>
      </c>
      <c r="J25">
        <v>2.8436673308379179</v>
      </c>
      <c r="K25">
        <v>-4.0907806706330225</v>
      </c>
      <c r="L25">
        <v>2.8427778456463852</v>
      </c>
      <c r="M25">
        <v>0</v>
      </c>
      <c r="N25">
        <v>2.8425151086233624</v>
      </c>
      <c r="O25">
        <v>4.0907806706330225</v>
      </c>
      <c r="P25">
        <v>2.8427778456463852</v>
      </c>
      <c r="Q25">
        <v>8.8145026881792816</v>
      </c>
      <c r="R25">
        <v>2.8436673308379179</v>
      </c>
      <c r="S25">
        <v>15.267525453131526</v>
      </c>
      <c r="T25">
        <v>2.8456002775162363</v>
      </c>
      <c r="U25">
        <v>26.445533402925545</v>
      </c>
      <c r="V25">
        <v>2.8499637605508323</v>
      </c>
      <c r="W25">
        <v>56.991829298963637</v>
      </c>
      <c r="X25">
        <v>2.8638494405109629</v>
      </c>
      <c r="Y25">
        <v>999999.99899999995</v>
      </c>
      <c r="Z25">
        <v>9999999.9989999998</v>
      </c>
    </row>
    <row r="26" spans="1:26">
      <c r="A26">
        <v>999999.99899999995</v>
      </c>
      <c r="B26">
        <v>9999999.9989999998</v>
      </c>
      <c r="C26">
        <v>-61.565542966476904</v>
      </c>
      <c r="D26">
        <v>9.4627408687294583</v>
      </c>
      <c r="E26">
        <v>-27.50299379610604</v>
      </c>
      <c r="F26">
        <v>6.1373674691747278</v>
      </c>
      <c r="G26">
        <v>-15.694188423770953</v>
      </c>
      <c r="H26">
        <v>5.1429891387156115</v>
      </c>
      <c r="I26">
        <v>-9.0145978589503901</v>
      </c>
      <c r="J26">
        <v>4.7098183748028708</v>
      </c>
      <c r="K26">
        <v>-4.1738438599558387</v>
      </c>
      <c r="L26">
        <v>4.5119675892967139</v>
      </c>
      <c r="M26">
        <v>0</v>
      </c>
      <c r="N26">
        <v>4.4537034425582824</v>
      </c>
      <c r="O26">
        <v>4.1738438599558387</v>
      </c>
      <c r="P26">
        <v>4.5119675892967139</v>
      </c>
      <c r="Q26">
        <v>9.0145978589503901</v>
      </c>
      <c r="R26">
        <v>4.7098183748028708</v>
      </c>
      <c r="S26">
        <v>15.694188423770953</v>
      </c>
      <c r="T26">
        <v>5.1429891387156115</v>
      </c>
      <c r="U26">
        <v>27.50299379610604</v>
      </c>
      <c r="V26">
        <v>6.1373674691747278</v>
      </c>
      <c r="W26">
        <v>61.565542966476904</v>
      </c>
      <c r="X26">
        <v>9.4627408687294583</v>
      </c>
      <c r="Y26">
        <v>999999.99899999995</v>
      </c>
      <c r="Z26">
        <v>9999999.9989999998</v>
      </c>
    </row>
    <row r="27" spans="1:26">
      <c r="A27">
        <v>999999.99899999995</v>
      </c>
      <c r="B27">
        <v>9999999.9989999998</v>
      </c>
      <c r="C27">
        <v>-67.128715767355587</v>
      </c>
      <c r="D27">
        <v>17.489210380839573</v>
      </c>
      <c r="E27">
        <v>-28.687571061049493</v>
      </c>
      <c r="F27">
        <v>9.8199486032200518</v>
      </c>
      <c r="G27">
        <v>-16.160558305887129</v>
      </c>
      <c r="H27">
        <v>7.6541819210816433</v>
      </c>
      <c r="I27">
        <v>-9.2309917474132508</v>
      </c>
      <c r="J27">
        <v>6.7279764308238637</v>
      </c>
      <c r="K27">
        <v>-4.2632360594975971</v>
      </c>
      <c r="L27">
        <v>6.3083414566370131</v>
      </c>
      <c r="M27">
        <v>0</v>
      </c>
      <c r="N27">
        <v>6.1851690554136374</v>
      </c>
      <c r="O27">
        <v>4.2632360594975971</v>
      </c>
      <c r="P27">
        <v>6.3083414566370131</v>
      </c>
      <c r="Q27">
        <v>9.2309917474132508</v>
      </c>
      <c r="R27">
        <v>6.7279764308238637</v>
      </c>
      <c r="S27">
        <v>16.160558305887129</v>
      </c>
      <c r="T27">
        <v>7.6541819210816433</v>
      </c>
      <c r="U27">
        <v>28.687571061049493</v>
      </c>
      <c r="V27">
        <v>9.8199486032200518</v>
      </c>
      <c r="W27">
        <v>67.128715767355587</v>
      </c>
      <c r="X27">
        <v>17.489210380839573</v>
      </c>
      <c r="Y27">
        <v>999999.99899999995</v>
      </c>
      <c r="Z27">
        <v>9999999.9989999998</v>
      </c>
    </row>
    <row r="28" spans="1:26">
      <c r="A28">
        <v>999999.99899999995</v>
      </c>
      <c r="B28">
        <v>9999999.9989999998</v>
      </c>
      <c r="C28">
        <v>-72.735576048525942</v>
      </c>
      <c r="D28">
        <v>25.57871159107825</v>
      </c>
      <c r="E28">
        <v>-29.781837101146998</v>
      </c>
      <c r="F28">
        <v>13.221772691986379</v>
      </c>
      <c r="G28">
        <v>-16.580885381418756</v>
      </c>
      <c r="H28">
        <v>9.9174548269531577</v>
      </c>
      <c r="I28">
        <v>-9.4239755226513111</v>
      </c>
      <c r="J28">
        <v>8.5278043439161344</v>
      </c>
      <c r="K28">
        <v>-4.3425773021755631</v>
      </c>
      <c r="L28">
        <v>7.9027371162093409</v>
      </c>
      <c r="M28">
        <v>0</v>
      </c>
      <c r="N28">
        <v>7.7197989514720744</v>
      </c>
      <c r="O28">
        <v>4.3425773021755631</v>
      </c>
      <c r="P28">
        <v>7.9027371162093409</v>
      </c>
      <c r="Q28">
        <v>9.4239755226513111</v>
      </c>
      <c r="R28">
        <v>8.5278043439161344</v>
      </c>
      <c r="S28">
        <v>16.580885381418756</v>
      </c>
      <c r="T28">
        <v>9.9174548269531577</v>
      </c>
      <c r="U28">
        <v>29.781837101146998</v>
      </c>
      <c r="V28">
        <v>13.221772691986379</v>
      </c>
      <c r="W28">
        <v>72.735576048525942</v>
      </c>
      <c r="X28">
        <v>25.57871159107825</v>
      </c>
      <c r="Y28">
        <v>999999.99899999995</v>
      </c>
      <c r="Z28">
        <v>9999999.9989999998</v>
      </c>
    </row>
    <row r="29" spans="1:26">
      <c r="A29">
        <v>999999.99899999995</v>
      </c>
      <c r="B29">
        <v>9999999.9989999998</v>
      </c>
      <c r="C29">
        <v>-78.077925463159104</v>
      </c>
      <c r="D29">
        <v>33.286580146378135</v>
      </c>
      <c r="E29">
        <v>-30.742477017826506</v>
      </c>
      <c r="F29">
        <v>16.208183573292384</v>
      </c>
      <c r="G29">
        <v>-16.941866842581124</v>
      </c>
      <c r="H29">
        <v>11.861178198894786</v>
      </c>
      <c r="I29">
        <v>-9.5881862503763102</v>
      </c>
      <c r="J29">
        <v>10.059285687485351</v>
      </c>
      <c r="K29">
        <v>-4.4098086772952598</v>
      </c>
      <c r="L29">
        <v>9.2537798911883637</v>
      </c>
      <c r="M29">
        <v>0</v>
      </c>
      <c r="N29">
        <v>9.0186144587713191</v>
      </c>
      <c r="O29">
        <v>4.4098086772952598</v>
      </c>
      <c r="P29">
        <v>9.2537798911883637</v>
      </c>
      <c r="Q29">
        <v>9.5881862503763102</v>
      </c>
      <c r="R29">
        <v>10.059285687485351</v>
      </c>
      <c r="S29">
        <v>16.941866842581124</v>
      </c>
      <c r="T29">
        <v>11.861178198894786</v>
      </c>
      <c r="U29">
        <v>30.742477017826506</v>
      </c>
      <c r="V29">
        <v>16.208183573292384</v>
      </c>
      <c r="W29">
        <v>78.077925463159104</v>
      </c>
      <c r="X29">
        <v>33.286580146378135</v>
      </c>
      <c r="Y29">
        <v>999999.99899999995</v>
      </c>
      <c r="Z29">
        <v>9999999.9989999998</v>
      </c>
    </row>
    <row r="30" spans="1:26">
      <c r="A30">
        <v>999999.99899999995</v>
      </c>
      <c r="B30">
        <v>9999999.9989999998</v>
      </c>
      <c r="C30">
        <v>-83.367839948941935</v>
      </c>
      <c r="D30">
        <v>40.918796304592597</v>
      </c>
      <c r="E30">
        <v>-31.623701475123884</v>
      </c>
      <c r="F30">
        <v>18.947709864519634</v>
      </c>
      <c r="G30">
        <v>-17.266616818964522</v>
      </c>
      <c r="H30">
        <v>13.609811264707506</v>
      </c>
      <c r="I30">
        <v>-9.7347261229134698</v>
      </c>
      <c r="J30">
        <v>11.42596302939147</v>
      </c>
      <c r="K30">
        <v>-4.4695887860009931</v>
      </c>
      <c r="L30">
        <v>10.455086331976613</v>
      </c>
      <c r="M30">
        <v>0</v>
      </c>
      <c r="N30">
        <v>10.172263939464479</v>
      </c>
      <c r="O30">
        <v>4.4695887860009931</v>
      </c>
      <c r="P30">
        <v>10.455086331976613</v>
      </c>
      <c r="Q30">
        <v>9.7347261229134698</v>
      </c>
      <c r="R30">
        <v>11.42596302939147</v>
      </c>
      <c r="S30">
        <v>17.266616818964522</v>
      </c>
      <c r="T30">
        <v>13.609811264707506</v>
      </c>
      <c r="U30">
        <v>31.623701475123884</v>
      </c>
      <c r="V30">
        <v>18.947709864519634</v>
      </c>
      <c r="W30">
        <v>83.367839948941935</v>
      </c>
      <c r="X30">
        <v>40.918796304592597</v>
      </c>
      <c r="Y30">
        <v>999999.99899999995</v>
      </c>
      <c r="Z30">
        <v>9999999.9989999998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018A-CFAF-485B-A792-376CA0B59AC7}">
  <sheetPr codeName="Sheet5"/>
  <dimension ref="A1:Z30"/>
  <sheetViews>
    <sheetView zoomScaleNormal="100" workbookViewId="0">
      <selection activeCell="A2" sqref="A2"/>
    </sheetView>
  </sheetViews>
  <sheetFormatPr defaultRowHeight="15"/>
  <cols>
    <col min="2" max="2" width="10.28515625" customWidth="1"/>
    <col min="6" max="6" width="10.140625" customWidth="1"/>
    <col min="10" max="10" width="10.140625" customWidth="1"/>
    <col min="12" max="12" width="10.7109375" customWidth="1"/>
    <col min="13" max="13" width="10.42578125" customWidth="1"/>
    <col min="14" max="14" width="9.85546875" customWidth="1"/>
    <col min="15" max="15" width="10" customWidth="1"/>
    <col min="16" max="16" width="10.42578125" customWidth="1"/>
    <col min="18" max="18" width="11" customWidth="1"/>
    <col min="20" max="20" width="10.85546875" customWidth="1"/>
    <col min="22" max="22" width="10.85546875" customWidth="1"/>
    <col min="24" max="24" width="10.42578125" customWidth="1"/>
  </cols>
  <sheetData>
    <row r="1" spans="1:24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55"/>
      <c r="G1" s="88" t="s">
        <v>179</v>
      </c>
      <c r="H1" s="55"/>
      <c r="I1" s="23"/>
      <c r="J1" s="55"/>
      <c r="K1" s="257" t="s">
        <v>83</v>
      </c>
      <c r="L1" s="257" t="s">
        <v>84</v>
      </c>
      <c r="M1" s="259" t="s">
        <v>175</v>
      </c>
      <c r="N1" s="259" t="s">
        <v>176</v>
      </c>
      <c r="O1" s="258" t="s">
        <v>167</v>
      </c>
      <c r="P1" s="258" t="s">
        <v>172</v>
      </c>
      <c r="Q1" s="88" t="s">
        <v>168</v>
      </c>
      <c r="R1" s="88" t="s">
        <v>169</v>
      </c>
    </row>
    <row r="2" spans="1:24">
      <c r="A2" t="str">
        <f>Enter!B2</f>
        <v>Tehran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0</v>
      </c>
      <c r="M2">
        <v>15</v>
      </c>
      <c r="N2">
        <v>80.768276747692724</v>
      </c>
      <c r="O2">
        <v>0</v>
      </c>
      <c r="P2">
        <v>0</v>
      </c>
      <c r="Q2">
        <v>0</v>
      </c>
      <c r="R2">
        <v>-79.363181191229216</v>
      </c>
    </row>
    <row r="3" spans="1:24">
      <c r="F3" s="8"/>
      <c r="H3" s="8"/>
      <c r="I3" s="8"/>
      <c r="J3" s="8"/>
      <c r="M3" s="257"/>
      <c r="N3" s="257"/>
      <c r="Q3" s="257" t="s">
        <v>168</v>
      </c>
      <c r="R3" s="257" t="s">
        <v>169</v>
      </c>
    </row>
    <row r="5" spans="1:24">
      <c r="B5" s="82">
        <v>45098</v>
      </c>
      <c r="D5" s="82">
        <v>45020</v>
      </c>
      <c r="F5" s="82">
        <v>45036</v>
      </c>
      <c r="H5" s="82">
        <v>45051</v>
      </c>
      <c r="J5" s="82">
        <v>45067</v>
      </c>
      <c r="L5" s="82">
        <v>45192</v>
      </c>
      <c r="N5" s="82">
        <v>45207</v>
      </c>
      <c r="P5" s="82">
        <v>45223</v>
      </c>
      <c r="R5" s="82">
        <v>45238</v>
      </c>
      <c r="T5" s="82">
        <v>45253</v>
      </c>
      <c r="V5" s="82">
        <v>45282</v>
      </c>
      <c r="X5" s="82"/>
    </row>
    <row r="6" spans="1:24">
      <c r="A6">
        <v>-1003.1845084468064</v>
      </c>
      <c r="B6">
        <v>-79.363181396985809</v>
      </c>
      <c r="C6">
        <v>999999</v>
      </c>
      <c r="D6">
        <v>999999</v>
      </c>
      <c r="E6">
        <v>999999</v>
      </c>
      <c r="F6">
        <v>999999</v>
      </c>
      <c r="G6">
        <v>-1495.1407693916431</v>
      </c>
      <c r="H6">
        <v>-79.363181497887723</v>
      </c>
      <c r="I6">
        <v>-1184.5626509908741</v>
      </c>
      <c r="J6">
        <v>-79.363181434187084</v>
      </c>
      <c r="K6">
        <v>999999.99899999995</v>
      </c>
      <c r="L6">
        <v>9999999.9989999998</v>
      </c>
      <c r="M6">
        <v>999999.99899999995</v>
      </c>
      <c r="N6">
        <v>9999999.9989999998</v>
      </c>
      <c r="O6">
        <v>999999.99899999995</v>
      </c>
      <c r="P6">
        <v>9999999.9989999998</v>
      </c>
      <c r="Q6">
        <v>999999.99899999995</v>
      </c>
      <c r="R6">
        <v>9999999.9989999998</v>
      </c>
      <c r="S6">
        <v>999999.99899999995</v>
      </c>
      <c r="T6">
        <v>9999999.9989999998</v>
      </c>
      <c r="U6">
        <v>999999.99899999995</v>
      </c>
      <c r="V6">
        <v>9999999.9989999998</v>
      </c>
    </row>
    <row r="7" spans="1:24">
      <c r="A7">
        <v>-233.00345912837452</v>
      </c>
      <c r="B7">
        <v>-16.930092485185241</v>
      </c>
      <c r="C7">
        <v>-286.11394340924187</v>
      </c>
      <c r="D7">
        <v>-2.6991811127430827</v>
      </c>
      <c r="E7">
        <v>-267.16083217713049</v>
      </c>
      <c r="F7">
        <v>-7.7776519613581856</v>
      </c>
      <c r="G7">
        <v>-253.02240277958555</v>
      </c>
      <c r="H7">
        <v>-11.566032700610332</v>
      </c>
      <c r="I7">
        <v>-241.91020109351294</v>
      </c>
      <c r="J7">
        <v>-14.54353816847461</v>
      </c>
      <c r="K7">
        <v>-306.87545607839718</v>
      </c>
      <c r="L7">
        <v>2.8638494405109629</v>
      </c>
      <c r="M7">
        <v>-331.50285416255826</v>
      </c>
      <c r="N7">
        <v>9.4627408687294601</v>
      </c>
      <c r="O7">
        <v>-361.45804618766539</v>
      </c>
      <c r="P7">
        <v>17.489210380839577</v>
      </c>
      <c r="Q7">
        <v>-391.64847571267961</v>
      </c>
      <c r="R7">
        <v>25.578711591078253</v>
      </c>
      <c r="S7">
        <v>999999.99899999995</v>
      </c>
      <c r="T7">
        <v>9999999.9989999998</v>
      </c>
      <c r="U7">
        <v>999999.99899999995</v>
      </c>
      <c r="V7">
        <v>9999999.9989999998</v>
      </c>
    </row>
    <row r="8" spans="1:24">
      <c r="A8">
        <v>-122.32549694077237</v>
      </c>
      <c r="B8">
        <v>-8.7385225716543502</v>
      </c>
      <c r="C8">
        <v>-137.24311839555833</v>
      </c>
      <c r="D8">
        <v>-0.12582980515437481</v>
      </c>
      <c r="E8">
        <v>-132.22449795338625</v>
      </c>
      <c r="F8">
        <v>-3.0233316697185204</v>
      </c>
      <c r="G8">
        <v>-128.26798360497855</v>
      </c>
      <c r="H8">
        <v>-5.3076262948614286</v>
      </c>
      <c r="I8">
        <v>-125.02084518859292</v>
      </c>
      <c r="J8">
        <v>-7.1823625345088304</v>
      </c>
      <c r="K8">
        <v>-142.39734404185617</v>
      </c>
      <c r="L8">
        <v>2.8499637605508323</v>
      </c>
      <c r="M8">
        <v>-148.09129428759795</v>
      </c>
      <c r="N8">
        <v>6.1373674691747286</v>
      </c>
      <c r="O8">
        <v>-154.4697119118631</v>
      </c>
      <c r="P8">
        <v>9.8199486032200518</v>
      </c>
      <c r="Q8">
        <v>-160.36184406934291</v>
      </c>
      <c r="R8">
        <v>13.221772691986379</v>
      </c>
      <c r="S8">
        <v>-165.53445944569296</v>
      </c>
      <c r="T8">
        <v>16.208183573292384</v>
      </c>
      <c r="U8">
        <v>-170.27945816861498</v>
      </c>
      <c r="V8">
        <v>18.947709864519634</v>
      </c>
    </row>
    <row r="9" spans="1:24">
      <c r="A9">
        <v>-73.662472352986995</v>
      </c>
      <c r="B9">
        <v>-5.7007087796882043</v>
      </c>
      <c r="C9">
        <v>-80.082253493790319</v>
      </c>
      <c r="D9">
        <v>0.71907236621819515</v>
      </c>
      <c r="E9">
        <v>-77.967416464321204</v>
      </c>
      <c r="F9">
        <v>-1.3957646649319921</v>
      </c>
      <c r="G9">
        <v>-76.268444497562371</v>
      </c>
      <c r="H9">
        <v>-3.0947366330413475</v>
      </c>
      <c r="I9">
        <v>-74.852657735181069</v>
      </c>
      <c r="J9">
        <v>-4.5105233965480487</v>
      </c>
      <c r="K9">
        <v>-82.208781403397992</v>
      </c>
      <c r="L9">
        <v>2.8456002775162368</v>
      </c>
      <c r="M9">
        <v>-84.506170262771192</v>
      </c>
      <c r="N9">
        <v>5.1429891387156115</v>
      </c>
      <c r="O9">
        <v>-87.017363043141074</v>
      </c>
      <c r="P9">
        <v>7.6541819210816442</v>
      </c>
      <c r="Q9">
        <v>-89.280635947213526</v>
      </c>
      <c r="R9">
        <v>9.9174548269531595</v>
      </c>
      <c r="S9">
        <v>-91.224359317610094</v>
      </c>
      <c r="T9">
        <v>11.861178198894786</v>
      </c>
      <c r="U9">
        <v>-92.972992382032842</v>
      </c>
      <c r="V9">
        <v>13.609811264707508</v>
      </c>
    </row>
    <row r="10" spans="1:24">
      <c r="A10">
        <v>-43.355211700949781</v>
      </c>
      <c r="B10">
        <v>-4.2697518219428794</v>
      </c>
      <c r="C10">
        <v>-46.454957052585222</v>
      </c>
      <c r="D10">
        <v>1.099164612634475</v>
      </c>
      <c r="E10">
        <v>-45.44373039066317</v>
      </c>
      <c r="F10">
        <v>-0.65233134215795918</v>
      </c>
      <c r="G10">
        <v>-44.624343535446222</v>
      </c>
      <c r="H10">
        <v>-2.0715510051312007</v>
      </c>
      <c r="I10">
        <v>-43.936705236262519</v>
      </c>
      <c r="J10">
        <v>-3.2625754754427203</v>
      </c>
      <c r="K10">
        <v>-47.462146167476376</v>
      </c>
      <c r="L10">
        <v>2.8436673308379179</v>
      </c>
      <c r="M10">
        <v>-48.539568976057552</v>
      </c>
      <c r="N10">
        <v>4.7098183748028699</v>
      </c>
      <c r="O10">
        <v>-49.704753074049414</v>
      </c>
      <c r="P10">
        <v>6.7279764308238637</v>
      </c>
      <c r="Q10">
        <v>-50.743884205132233</v>
      </c>
      <c r="R10">
        <v>8.5278043439161362</v>
      </c>
      <c r="S10">
        <v>-51.628085371921067</v>
      </c>
      <c r="T10">
        <v>10.059285687485353</v>
      </c>
      <c r="U10">
        <v>-52.417136903897926</v>
      </c>
      <c r="V10">
        <v>11.425963029391472</v>
      </c>
    </row>
    <row r="11" spans="1:24">
      <c r="A11">
        <v>-20.302720278768977</v>
      </c>
      <c r="B11">
        <v>-3.5923976398788735</v>
      </c>
      <c r="C11">
        <v>-21.607013993310037</v>
      </c>
      <c r="D11">
        <v>1.2752927668703824</v>
      </c>
      <c r="E11">
        <v>-21.183460843820829</v>
      </c>
      <c r="F11">
        <v>-0.30542910545920032</v>
      </c>
      <c r="G11">
        <v>-20.838882256131157</v>
      </c>
      <c r="H11">
        <v>-1.591413900884229</v>
      </c>
      <c r="I11">
        <v>-20.548751107730062</v>
      </c>
      <c r="J11">
        <v>-2.6741980867054931</v>
      </c>
      <c r="K11">
        <v>-22.027020354653335</v>
      </c>
      <c r="L11">
        <v>2.8427778456463852</v>
      </c>
      <c r="M11">
        <v>-22.474278398838084</v>
      </c>
      <c r="N11">
        <v>4.5119675892967148</v>
      </c>
      <c r="O11">
        <v>-22.955615326282995</v>
      </c>
      <c r="P11">
        <v>6.308341456637014</v>
      </c>
      <c r="Q11">
        <v>-23.382832356024316</v>
      </c>
      <c r="R11">
        <v>7.9027371162093409</v>
      </c>
      <c r="S11">
        <v>-23.74484317681069</v>
      </c>
      <c r="T11">
        <v>9.2537798911883637</v>
      </c>
      <c r="U11">
        <v>-24.066732267740811</v>
      </c>
      <c r="V11">
        <v>10.455086331976615</v>
      </c>
    </row>
    <row r="12" spans="1:24">
      <c r="A12">
        <v>0</v>
      </c>
      <c r="B12">
        <v>-3.3899731827519681</v>
      </c>
      <c r="C12">
        <v>0</v>
      </c>
      <c r="D12">
        <v>1.3274660218959349</v>
      </c>
      <c r="E12">
        <v>0</v>
      </c>
      <c r="F12">
        <v>-0.20237356277001783</v>
      </c>
      <c r="G12">
        <v>0</v>
      </c>
      <c r="H12">
        <v>-1.4484451756253789</v>
      </c>
      <c r="I12">
        <v>0</v>
      </c>
      <c r="J12">
        <v>-2.4986555167105085</v>
      </c>
      <c r="K12">
        <v>0</v>
      </c>
      <c r="L12">
        <v>2.8425151086233624</v>
      </c>
      <c r="M12">
        <v>0</v>
      </c>
      <c r="N12">
        <v>4.4537034425582833</v>
      </c>
      <c r="O12">
        <v>0</v>
      </c>
      <c r="P12">
        <v>6.1851690554136374</v>
      </c>
      <c r="Q12">
        <v>0</v>
      </c>
      <c r="R12">
        <v>7.7197989514720735</v>
      </c>
      <c r="S12">
        <v>0</v>
      </c>
      <c r="T12">
        <v>9.0186144587713208</v>
      </c>
      <c r="U12">
        <v>0</v>
      </c>
      <c r="V12">
        <v>10.172263939464479</v>
      </c>
    </row>
    <row r="13" spans="1:24">
      <c r="A13">
        <v>20.302720278768977</v>
      </c>
      <c r="B13">
        <v>-3.5923976398788735</v>
      </c>
      <c r="C13">
        <v>21.607013993310037</v>
      </c>
      <c r="D13">
        <v>1.2752927668703824</v>
      </c>
      <c r="E13">
        <v>21.183460843820829</v>
      </c>
      <c r="F13">
        <v>-0.30542910545920032</v>
      </c>
      <c r="G13">
        <v>20.838882256131157</v>
      </c>
      <c r="H13">
        <v>-1.591413900884229</v>
      </c>
      <c r="I13">
        <v>20.548751107730062</v>
      </c>
      <c r="J13">
        <v>-2.6741980867054931</v>
      </c>
      <c r="K13">
        <v>22.027020354653335</v>
      </c>
      <c r="L13">
        <v>2.8427778456463852</v>
      </c>
      <c r="M13">
        <v>22.474278398838084</v>
      </c>
      <c r="N13">
        <v>4.5119675892967148</v>
      </c>
      <c r="O13">
        <v>22.955615326282995</v>
      </c>
      <c r="P13">
        <v>6.308341456637014</v>
      </c>
      <c r="Q13">
        <v>23.382832356024316</v>
      </c>
      <c r="R13">
        <v>7.9027371162093409</v>
      </c>
      <c r="S13">
        <v>23.74484317681069</v>
      </c>
      <c r="T13">
        <v>9.2537798911883637</v>
      </c>
      <c r="U13">
        <v>24.066732267740811</v>
      </c>
      <c r="V13">
        <v>10.455086331976615</v>
      </c>
    </row>
    <row r="14" spans="1:24">
      <c r="A14">
        <v>43.355211700949781</v>
      </c>
      <c r="B14">
        <v>-4.2697518219428794</v>
      </c>
      <c r="C14">
        <v>46.454957052585222</v>
      </c>
      <c r="D14">
        <v>1.099164612634475</v>
      </c>
      <c r="E14">
        <v>45.44373039066317</v>
      </c>
      <c r="F14">
        <v>-0.65233134215795918</v>
      </c>
      <c r="G14">
        <v>44.624343535446222</v>
      </c>
      <c r="H14">
        <v>-2.0715510051312007</v>
      </c>
      <c r="I14">
        <v>43.936705236262519</v>
      </c>
      <c r="J14">
        <v>-3.2625754754427203</v>
      </c>
      <c r="K14">
        <v>47.462146167476376</v>
      </c>
      <c r="L14">
        <v>2.8436673308379179</v>
      </c>
      <c r="M14">
        <v>48.539568976057552</v>
      </c>
      <c r="N14">
        <v>4.7098183748028699</v>
      </c>
      <c r="O14">
        <v>49.704753074049414</v>
      </c>
      <c r="P14">
        <v>6.7279764308238637</v>
      </c>
      <c r="Q14">
        <v>50.743884205132233</v>
      </c>
      <c r="R14">
        <v>8.5278043439161362</v>
      </c>
      <c r="S14">
        <v>51.628085371921067</v>
      </c>
      <c r="T14">
        <v>10.059285687485353</v>
      </c>
      <c r="U14">
        <v>52.417136903897926</v>
      </c>
      <c r="V14">
        <v>11.425963029391472</v>
      </c>
    </row>
    <row r="15" spans="1:24">
      <c r="A15">
        <v>73.662472352986995</v>
      </c>
      <c r="B15">
        <v>-5.7007087796882043</v>
      </c>
      <c r="C15">
        <v>80.082253493790319</v>
      </c>
      <c r="D15">
        <v>0.71907236621819515</v>
      </c>
      <c r="E15">
        <v>77.967416464321204</v>
      </c>
      <c r="F15">
        <v>-1.3957646649319921</v>
      </c>
      <c r="G15">
        <v>76.268444497562371</v>
      </c>
      <c r="H15">
        <v>-3.0947366330413475</v>
      </c>
      <c r="I15">
        <v>74.852657735181069</v>
      </c>
      <c r="J15">
        <v>-4.5105233965480487</v>
      </c>
      <c r="K15">
        <v>82.208781403397992</v>
      </c>
      <c r="L15">
        <v>2.8456002775162368</v>
      </c>
      <c r="M15">
        <v>84.506170262771192</v>
      </c>
      <c r="N15">
        <v>5.1429891387156115</v>
      </c>
      <c r="O15">
        <v>87.017363043141074</v>
      </c>
      <c r="P15">
        <v>7.6541819210816442</v>
      </c>
      <c r="Q15">
        <v>89.280635947213526</v>
      </c>
      <c r="R15">
        <v>9.9174548269531595</v>
      </c>
      <c r="S15">
        <v>91.224359317610094</v>
      </c>
      <c r="T15">
        <v>11.861178198894786</v>
      </c>
      <c r="U15">
        <v>92.972992382032842</v>
      </c>
      <c r="V15">
        <v>13.609811264707508</v>
      </c>
    </row>
    <row r="16" spans="1:24">
      <c r="A16">
        <v>122.32549694077237</v>
      </c>
      <c r="B16">
        <v>-8.7385225716543502</v>
      </c>
      <c r="C16">
        <v>137.24311839555833</v>
      </c>
      <c r="D16">
        <v>-0.12582980515437481</v>
      </c>
      <c r="E16">
        <v>132.22449795338625</v>
      </c>
      <c r="F16">
        <v>-3.0233316697185204</v>
      </c>
      <c r="G16">
        <v>128.26798360497855</v>
      </c>
      <c r="H16">
        <v>-5.3076262948614286</v>
      </c>
      <c r="I16">
        <v>125.02084518859292</v>
      </c>
      <c r="J16">
        <v>-7.1823625345088304</v>
      </c>
      <c r="K16">
        <v>142.39734404185617</v>
      </c>
      <c r="L16">
        <v>2.8499637605508323</v>
      </c>
      <c r="M16">
        <v>148.09129428759795</v>
      </c>
      <c r="N16">
        <v>6.1373674691747286</v>
      </c>
      <c r="O16">
        <v>154.4697119118631</v>
      </c>
      <c r="P16">
        <v>9.8199486032200518</v>
      </c>
      <c r="Q16">
        <v>160.36184406934291</v>
      </c>
      <c r="R16">
        <v>13.221772691986379</v>
      </c>
      <c r="S16">
        <v>165.53445944569296</v>
      </c>
      <c r="T16">
        <v>16.208183573292384</v>
      </c>
      <c r="U16">
        <v>170.27945816861498</v>
      </c>
      <c r="V16">
        <v>18.947709864519634</v>
      </c>
    </row>
    <row r="17" spans="1:26">
      <c r="A17">
        <v>233.00345912837452</v>
      </c>
      <c r="B17">
        <v>-16.930092485185241</v>
      </c>
      <c r="C17">
        <v>286.11394340924187</v>
      </c>
      <c r="D17">
        <v>-2.6991811127430827</v>
      </c>
      <c r="E17">
        <v>267.16083217713049</v>
      </c>
      <c r="F17">
        <v>-7.7776519613581856</v>
      </c>
      <c r="G17">
        <v>253.02240277958555</v>
      </c>
      <c r="H17">
        <v>-11.566032700610332</v>
      </c>
      <c r="I17">
        <v>241.91020109351294</v>
      </c>
      <c r="J17">
        <v>-14.54353816847461</v>
      </c>
      <c r="K17">
        <v>306.87545607839718</v>
      </c>
      <c r="L17">
        <v>2.8638494405109629</v>
      </c>
      <c r="M17">
        <v>331.50285416255826</v>
      </c>
      <c r="N17">
        <v>9.4627408687294601</v>
      </c>
      <c r="O17">
        <v>361.45804618766539</v>
      </c>
      <c r="P17">
        <v>17.489210380839577</v>
      </c>
      <c r="Q17">
        <v>391.64847571267961</v>
      </c>
      <c r="R17">
        <v>25.578711591078253</v>
      </c>
      <c r="S17">
        <v>999999.99899999995</v>
      </c>
      <c r="T17">
        <v>9999999.9989999998</v>
      </c>
      <c r="U17">
        <v>999999.99899999995</v>
      </c>
      <c r="V17">
        <v>9999999.9989999998</v>
      </c>
    </row>
    <row r="18" spans="1:26">
      <c r="A18">
        <v>1003.1845084468064</v>
      </c>
      <c r="B18">
        <v>-79.363181396985809</v>
      </c>
      <c r="C18">
        <v>999999</v>
      </c>
      <c r="D18">
        <v>999999</v>
      </c>
      <c r="E18">
        <v>999999</v>
      </c>
      <c r="F18">
        <v>999999</v>
      </c>
      <c r="G18">
        <v>1495.1407693916431</v>
      </c>
      <c r="H18">
        <v>-79.363181497887723</v>
      </c>
      <c r="I18">
        <v>1184.5626509908741</v>
      </c>
      <c r="J18">
        <v>-79.363181434187084</v>
      </c>
      <c r="K18">
        <v>999999.99899999995</v>
      </c>
      <c r="L18">
        <v>9999999.9989999998</v>
      </c>
      <c r="M18">
        <v>999999.99899999995</v>
      </c>
      <c r="N18">
        <v>9999999.9989999998</v>
      </c>
      <c r="O18">
        <v>999999.99899999995</v>
      </c>
      <c r="P18">
        <v>9999999.9989999998</v>
      </c>
      <c r="Q18">
        <v>999999.99899999995</v>
      </c>
      <c r="R18">
        <v>9999999.9989999998</v>
      </c>
      <c r="S18">
        <v>999999.99899999995</v>
      </c>
      <c r="T18">
        <v>9999999.9989999998</v>
      </c>
      <c r="U18">
        <v>999999.99899999995</v>
      </c>
      <c r="V18">
        <v>9999999.9989999998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-1003.1845084468064</v>
      </c>
      <c r="B20">
        <v>-79.363181396985809</v>
      </c>
      <c r="C20">
        <v>-233.00345912837452</v>
      </c>
      <c r="D20">
        <v>-16.930092485185241</v>
      </c>
      <c r="E20">
        <v>-122.32549694077237</v>
      </c>
      <c r="F20">
        <v>-8.7385225716543502</v>
      </c>
      <c r="G20">
        <v>-73.662472352986995</v>
      </c>
      <c r="H20">
        <v>-5.7007087796882043</v>
      </c>
      <c r="I20">
        <v>-43.355211700949781</v>
      </c>
      <c r="J20">
        <v>-4.2697518219428794</v>
      </c>
      <c r="K20">
        <v>-20.302720278768977</v>
      </c>
      <c r="L20">
        <v>-3.5923976398788735</v>
      </c>
      <c r="M20">
        <v>0</v>
      </c>
      <c r="N20">
        <v>-3.3899731827519681</v>
      </c>
      <c r="O20">
        <v>20.302720278768977</v>
      </c>
      <c r="P20">
        <v>-3.5923976398788735</v>
      </c>
      <c r="Q20">
        <v>43.355211700949781</v>
      </c>
      <c r="R20">
        <v>-4.2697518219428794</v>
      </c>
      <c r="S20">
        <v>73.662472352986995</v>
      </c>
      <c r="T20">
        <v>-5.7007087796882043</v>
      </c>
      <c r="U20">
        <v>122.32549694077237</v>
      </c>
      <c r="V20">
        <v>-8.7385225716543502</v>
      </c>
      <c r="W20">
        <v>233.00345912837452</v>
      </c>
      <c r="X20">
        <v>-16.930092485185241</v>
      </c>
      <c r="Y20">
        <v>1003.1845084468064</v>
      </c>
      <c r="Z20">
        <v>-79.363181396985809</v>
      </c>
    </row>
    <row r="21" spans="1:26">
      <c r="A21">
        <v>999999</v>
      </c>
      <c r="B21">
        <v>999999</v>
      </c>
      <c r="C21">
        <v>-286.11394340924187</v>
      </c>
      <c r="D21">
        <v>-2.6991811127430827</v>
      </c>
      <c r="E21">
        <v>-137.24311839555833</v>
      </c>
      <c r="F21">
        <v>-0.12582980515437481</v>
      </c>
      <c r="G21">
        <v>-80.082253493790319</v>
      </c>
      <c r="H21">
        <v>0.71907236621819515</v>
      </c>
      <c r="I21">
        <v>-46.454957052585222</v>
      </c>
      <c r="J21">
        <v>1.099164612634475</v>
      </c>
      <c r="K21">
        <v>-21.607013993310037</v>
      </c>
      <c r="L21">
        <v>1.2752927668703824</v>
      </c>
      <c r="M21">
        <v>0</v>
      </c>
      <c r="N21">
        <v>1.3274660218959349</v>
      </c>
      <c r="O21">
        <v>21.607013993310037</v>
      </c>
      <c r="P21">
        <v>1.2752927668703824</v>
      </c>
      <c r="Q21">
        <v>46.454957052585222</v>
      </c>
      <c r="R21">
        <v>1.099164612634475</v>
      </c>
      <c r="S21">
        <v>80.082253493790319</v>
      </c>
      <c r="T21">
        <v>0.71907236621819515</v>
      </c>
      <c r="U21">
        <v>137.24311839555833</v>
      </c>
      <c r="V21">
        <v>-0.12582980515437481</v>
      </c>
      <c r="W21">
        <v>286.11394340924187</v>
      </c>
      <c r="X21">
        <v>-2.6991811127430827</v>
      </c>
      <c r="Y21">
        <v>999999</v>
      </c>
      <c r="Z21">
        <v>999999</v>
      </c>
    </row>
    <row r="22" spans="1:26">
      <c r="A22">
        <v>999999</v>
      </c>
      <c r="B22">
        <v>999999</v>
      </c>
      <c r="C22">
        <v>-267.16083217713049</v>
      </c>
      <c r="D22">
        <v>-7.7776519613581856</v>
      </c>
      <c r="E22">
        <v>-132.22449795338625</v>
      </c>
      <c r="F22">
        <v>-3.0233316697185204</v>
      </c>
      <c r="G22">
        <v>-77.967416464321204</v>
      </c>
      <c r="H22">
        <v>-1.3957646649319921</v>
      </c>
      <c r="I22">
        <v>-45.44373039066317</v>
      </c>
      <c r="J22">
        <v>-0.65233134215795918</v>
      </c>
      <c r="K22">
        <v>-21.183460843820829</v>
      </c>
      <c r="L22">
        <v>-0.30542910545920032</v>
      </c>
      <c r="M22">
        <v>0</v>
      </c>
      <c r="N22">
        <v>-0.20237356277001783</v>
      </c>
      <c r="O22">
        <v>21.183460843820829</v>
      </c>
      <c r="P22">
        <v>-0.30542910545920032</v>
      </c>
      <c r="Q22">
        <v>45.44373039066317</v>
      </c>
      <c r="R22">
        <v>-0.65233134215795918</v>
      </c>
      <c r="S22">
        <v>77.967416464321204</v>
      </c>
      <c r="T22">
        <v>-1.3957646649319921</v>
      </c>
      <c r="U22">
        <v>132.22449795338625</v>
      </c>
      <c r="V22">
        <v>-3.0233316697185204</v>
      </c>
      <c r="W22">
        <v>267.16083217713049</v>
      </c>
      <c r="X22">
        <v>-7.7776519613581856</v>
      </c>
      <c r="Y22">
        <v>999999</v>
      </c>
      <c r="Z22">
        <v>999999</v>
      </c>
    </row>
    <row r="23" spans="1:26">
      <c r="A23">
        <v>-1495.1407693916431</v>
      </c>
      <c r="B23">
        <v>-79.363181497887723</v>
      </c>
      <c r="C23">
        <v>-253.02240277958555</v>
      </c>
      <c r="D23">
        <v>-11.566032700610332</v>
      </c>
      <c r="E23">
        <v>-128.26798360497855</v>
      </c>
      <c r="F23">
        <v>-5.3076262948614286</v>
      </c>
      <c r="G23">
        <v>-76.268444497562371</v>
      </c>
      <c r="H23">
        <v>-3.0947366330413475</v>
      </c>
      <c r="I23">
        <v>-44.624343535446222</v>
      </c>
      <c r="J23">
        <v>-2.0715510051312007</v>
      </c>
      <c r="K23">
        <v>-20.838882256131157</v>
      </c>
      <c r="L23">
        <v>-1.591413900884229</v>
      </c>
      <c r="M23">
        <v>0</v>
      </c>
      <c r="N23">
        <v>-1.4484451756253789</v>
      </c>
      <c r="O23">
        <v>20.838882256131157</v>
      </c>
      <c r="P23">
        <v>-1.591413900884229</v>
      </c>
      <c r="Q23">
        <v>44.624343535446222</v>
      </c>
      <c r="R23">
        <v>-2.0715510051312007</v>
      </c>
      <c r="S23">
        <v>76.268444497562371</v>
      </c>
      <c r="T23">
        <v>-3.0947366330413475</v>
      </c>
      <c r="U23">
        <v>128.26798360497855</v>
      </c>
      <c r="V23">
        <v>-5.3076262948614286</v>
      </c>
      <c r="W23">
        <v>253.02240277958555</v>
      </c>
      <c r="X23">
        <v>-11.566032700610332</v>
      </c>
      <c r="Y23">
        <v>1495.1407693916431</v>
      </c>
      <c r="Z23">
        <v>-79.363181497887723</v>
      </c>
    </row>
    <row r="24" spans="1:26">
      <c r="A24">
        <v>-1184.5626509908741</v>
      </c>
      <c r="B24">
        <v>-79.363181434187084</v>
      </c>
      <c r="C24">
        <v>-241.91020109351294</v>
      </c>
      <c r="D24">
        <v>-14.54353816847461</v>
      </c>
      <c r="E24">
        <v>-125.02084518859292</v>
      </c>
      <c r="F24">
        <v>-7.1823625345088304</v>
      </c>
      <c r="G24">
        <v>-74.852657735181069</v>
      </c>
      <c r="H24">
        <v>-4.5105233965480487</v>
      </c>
      <c r="I24">
        <v>-43.936705236262519</v>
      </c>
      <c r="J24">
        <v>-3.2625754754427203</v>
      </c>
      <c r="K24">
        <v>-20.548751107730062</v>
      </c>
      <c r="L24">
        <v>-2.6741980867054931</v>
      </c>
      <c r="M24">
        <v>0</v>
      </c>
      <c r="N24">
        <v>-2.4986555167105085</v>
      </c>
      <c r="O24">
        <v>20.548751107730062</v>
      </c>
      <c r="P24">
        <v>-2.6741980867054931</v>
      </c>
      <c r="Q24">
        <v>43.936705236262519</v>
      </c>
      <c r="R24">
        <v>-3.2625754754427203</v>
      </c>
      <c r="S24">
        <v>74.852657735181069</v>
      </c>
      <c r="T24">
        <v>-4.5105233965480487</v>
      </c>
      <c r="U24">
        <v>125.02084518859292</v>
      </c>
      <c r="V24">
        <v>-7.1823625345088304</v>
      </c>
      <c r="W24">
        <v>241.91020109351294</v>
      </c>
      <c r="X24">
        <v>-14.54353816847461</v>
      </c>
      <c r="Y24">
        <v>1184.5626509908741</v>
      </c>
      <c r="Z24">
        <v>-79.363181434187084</v>
      </c>
    </row>
    <row r="25" spans="1:26">
      <c r="A25">
        <v>999999.99899999995</v>
      </c>
      <c r="B25">
        <v>9999999.9989999998</v>
      </c>
      <c r="C25">
        <v>-306.87545607839718</v>
      </c>
      <c r="D25">
        <v>2.8638494405109629</v>
      </c>
      <c r="E25">
        <v>-142.39734404185617</v>
      </c>
      <c r="F25">
        <v>2.8499637605508323</v>
      </c>
      <c r="G25">
        <v>-82.208781403397992</v>
      </c>
      <c r="H25">
        <v>2.8456002775162368</v>
      </c>
      <c r="I25">
        <v>-47.462146167476376</v>
      </c>
      <c r="J25">
        <v>2.8436673308379179</v>
      </c>
      <c r="K25">
        <v>-22.027020354653335</v>
      </c>
      <c r="L25">
        <v>2.8427778456463852</v>
      </c>
      <c r="M25">
        <v>0</v>
      </c>
      <c r="N25">
        <v>2.8425151086233624</v>
      </c>
      <c r="O25">
        <v>22.027020354653335</v>
      </c>
      <c r="P25">
        <v>2.8427778456463852</v>
      </c>
      <c r="Q25">
        <v>47.462146167476376</v>
      </c>
      <c r="R25">
        <v>2.8436673308379179</v>
      </c>
      <c r="S25">
        <v>82.208781403397992</v>
      </c>
      <c r="T25">
        <v>2.8456002775162368</v>
      </c>
      <c r="U25">
        <v>142.39734404185617</v>
      </c>
      <c r="V25">
        <v>2.8499637605508323</v>
      </c>
      <c r="W25">
        <v>306.87545607839718</v>
      </c>
      <c r="X25">
        <v>2.8638494405109629</v>
      </c>
      <c r="Y25">
        <v>999999.99899999995</v>
      </c>
      <c r="Z25">
        <v>9999999.9989999998</v>
      </c>
    </row>
    <row r="26" spans="1:26">
      <c r="A26">
        <v>999999.99899999995</v>
      </c>
      <c r="B26">
        <v>9999999.9989999998</v>
      </c>
      <c r="C26">
        <v>-331.50285416255826</v>
      </c>
      <c r="D26">
        <v>9.4627408687294601</v>
      </c>
      <c r="E26">
        <v>-148.09129428759795</v>
      </c>
      <c r="F26">
        <v>6.1373674691747286</v>
      </c>
      <c r="G26">
        <v>-84.506170262771192</v>
      </c>
      <c r="H26">
        <v>5.1429891387156115</v>
      </c>
      <c r="I26">
        <v>-48.539568976057552</v>
      </c>
      <c r="J26">
        <v>4.7098183748028699</v>
      </c>
      <c r="K26">
        <v>-22.474278398838084</v>
      </c>
      <c r="L26">
        <v>4.5119675892967148</v>
      </c>
      <c r="M26">
        <v>0</v>
      </c>
      <c r="N26">
        <v>4.4537034425582833</v>
      </c>
      <c r="O26">
        <v>22.474278398838084</v>
      </c>
      <c r="P26">
        <v>4.5119675892967148</v>
      </c>
      <c r="Q26">
        <v>48.539568976057552</v>
      </c>
      <c r="R26">
        <v>4.7098183748028699</v>
      </c>
      <c r="S26">
        <v>84.506170262771192</v>
      </c>
      <c r="T26">
        <v>5.1429891387156115</v>
      </c>
      <c r="U26">
        <v>148.09129428759795</v>
      </c>
      <c r="V26">
        <v>6.1373674691747286</v>
      </c>
      <c r="W26">
        <v>331.50285416255826</v>
      </c>
      <c r="X26">
        <v>9.4627408687294601</v>
      </c>
      <c r="Y26">
        <v>999999.99899999995</v>
      </c>
      <c r="Z26">
        <v>9999999.9989999998</v>
      </c>
    </row>
    <row r="27" spans="1:26">
      <c r="A27">
        <v>999999.99899999995</v>
      </c>
      <c r="B27">
        <v>9999999.9989999998</v>
      </c>
      <c r="C27">
        <v>-361.45804618766539</v>
      </c>
      <c r="D27">
        <v>17.489210380839577</v>
      </c>
      <c r="E27">
        <v>-154.4697119118631</v>
      </c>
      <c r="F27">
        <v>9.8199486032200518</v>
      </c>
      <c r="G27">
        <v>-87.017363043141074</v>
      </c>
      <c r="H27">
        <v>7.6541819210816442</v>
      </c>
      <c r="I27">
        <v>-49.704753074049414</v>
      </c>
      <c r="J27">
        <v>6.7279764308238637</v>
      </c>
      <c r="K27">
        <v>-22.955615326282995</v>
      </c>
      <c r="L27">
        <v>6.308341456637014</v>
      </c>
      <c r="M27">
        <v>0</v>
      </c>
      <c r="N27">
        <v>6.1851690554136374</v>
      </c>
      <c r="O27">
        <v>22.955615326282995</v>
      </c>
      <c r="P27">
        <v>6.308341456637014</v>
      </c>
      <c r="Q27">
        <v>49.704753074049414</v>
      </c>
      <c r="R27">
        <v>6.7279764308238637</v>
      </c>
      <c r="S27">
        <v>87.017363043141074</v>
      </c>
      <c r="T27">
        <v>7.6541819210816442</v>
      </c>
      <c r="U27">
        <v>154.4697119118631</v>
      </c>
      <c r="V27">
        <v>9.8199486032200518</v>
      </c>
      <c r="W27">
        <v>361.45804618766539</v>
      </c>
      <c r="X27">
        <v>17.489210380839577</v>
      </c>
      <c r="Y27">
        <v>999999.99899999995</v>
      </c>
      <c r="Z27">
        <v>9999999.9989999998</v>
      </c>
    </row>
    <row r="28" spans="1:26">
      <c r="A28">
        <v>999999.99899999995</v>
      </c>
      <c r="B28">
        <v>9999999.9989999998</v>
      </c>
      <c r="C28">
        <v>-391.64847571267961</v>
      </c>
      <c r="D28">
        <v>25.578711591078253</v>
      </c>
      <c r="E28">
        <v>-160.36184406934291</v>
      </c>
      <c r="F28">
        <v>13.221772691986379</v>
      </c>
      <c r="G28">
        <v>-89.280635947213526</v>
      </c>
      <c r="H28">
        <v>9.9174548269531595</v>
      </c>
      <c r="I28">
        <v>-50.743884205132233</v>
      </c>
      <c r="J28">
        <v>8.5278043439161362</v>
      </c>
      <c r="K28">
        <v>-23.382832356024316</v>
      </c>
      <c r="L28">
        <v>7.9027371162093409</v>
      </c>
      <c r="M28">
        <v>0</v>
      </c>
      <c r="N28">
        <v>7.7197989514720735</v>
      </c>
      <c r="O28">
        <v>23.382832356024316</v>
      </c>
      <c r="P28">
        <v>7.9027371162093409</v>
      </c>
      <c r="Q28">
        <v>50.743884205132233</v>
      </c>
      <c r="R28">
        <v>8.5278043439161362</v>
      </c>
      <c r="S28">
        <v>89.280635947213526</v>
      </c>
      <c r="T28">
        <v>9.9174548269531595</v>
      </c>
      <c r="U28">
        <v>160.36184406934291</v>
      </c>
      <c r="V28">
        <v>13.221772691986379</v>
      </c>
      <c r="W28">
        <v>391.64847571267961</v>
      </c>
      <c r="X28">
        <v>25.578711591078253</v>
      </c>
      <c r="Y28">
        <v>999999.99899999995</v>
      </c>
      <c r="Z28">
        <v>9999999.9989999998</v>
      </c>
    </row>
    <row r="29" spans="1:26">
      <c r="A29">
        <v>999999.99899999995</v>
      </c>
      <c r="B29">
        <v>9999999.9989999998</v>
      </c>
      <c r="C29">
        <v>999999.99899999995</v>
      </c>
      <c r="D29">
        <v>9999999.9989999998</v>
      </c>
      <c r="E29">
        <v>-165.53445944569296</v>
      </c>
      <c r="F29">
        <v>16.208183573292384</v>
      </c>
      <c r="G29">
        <v>-91.224359317610094</v>
      </c>
      <c r="H29">
        <v>11.861178198894786</v>
      </c>
      <c r="I29">
        <v>-51.628085371921067</v>
      </c>
      <c r="J29">
        <v>10.059285687485353</v>
      </c>
      <c r="K29">
        <v>-23.74484317681069</v>
      </c>
      <c r="L29">
        <v>9.2537798911883637</v>
      </c>
      <c r="M29">
        <v>0</v>
      </c>
      <c r="N29">
        <v>9.0186144587713208</v>
      </c>
      <c r="O29">
        <v>23.74484317681069</v>
      </c>
      <c r="P29">
        <v>9.2537798911883637</v>
      </c>
      <c r="Q29">
        <v>51.628085371921067</v>
      </c>
      <c r="R29">
        <v>10.059285687485353</v>
      </c>
      <c r="S29">
        <v>91.224359317610094</v>
      </c>
      <c r="T29">
        <v>11.861178198894786</v>
      </c>
      <c r="U29">
        <v>165.53445944569296</v>
      </c>
      <c r="V29">
        <v>16.208183573292384</v>
      </c>
      <c r="W29">
        <v>999999.99899999995</v>
      </c>
      <c r="X29">
        <v>9999999.9989999998</v>
      </c>
      <c r="Y29">
        <v>999999.99899999995</v>
      </c>
      <c r="Z29">
        <v>9999999.9989999998</v>
      </c>
    </row>
    <row r="30" spans="1:26">
      <c r="A30">
        <v>999999.99899999995</v>
      </c>
      <c r="B30">
        <v>9999999.9989999998</v>
      </c>
      <c r="C30">
        <v>999999.99899999995</v>
      </c>
      <c r="D30">
        <v>9999999.9989999998</v>
      </c>
      <c r="E30">
        <v>-170.27945816861498</v>
      </c>
      <c r="F30">
        <v>18.947709864519634</v>
      </c>
      <c r="G30">
        <v>-92.972992382032842</v>
      </c>
      <c r="H30">
        <v>13.609811264707508</v>
      </c>
      <c r="I30">
        <v>-52.417136903897926</v>
      </c>
      <c r="J30">
        <v>11.425963029391472</v>
      </c>
      <c r="K30">
        <v>-24.066732267740811</v>
      </c>
      <c r="L30">
        <v>10.455086331976615</v>
      </c>
      <c r="M30">
        <v>0</v>
      </c>
      <c r="N30">
        <v>10.172263939464479</v>
      </c>
      <c r="O30">
        <v>24.066732267740811</v>
      </c>
      <c r="P30">
        <v>10.455086331976615</v>
      </c>
      <c r="Q30">
        <v>52.417136903897926</v>
      </c>
      <c r="R30">
        <v>11.425963029391472</v>
      </c>
      <c r="S30">
        <v>92.972992382032842</v>
      </c>
      <c r="T30">
        <v>13.609811264707508</v>
      </c>
      <c r="U30">
        <v>170.27945816861498</v>
      </c>
      <c r="V30">
        <v>18.947709864519634</v>
      </c>
      <c r="W30">
        <v>999999.99899999995</v>
      </c>
      <c r="X30">
        <v>9999999.9989999998</v>
      </c>
      <c r="Y30">
        <v>999999.99899999995</v>
      </c>
      <c r="Z30">
        <v>9999999.9989999998</v>
      </c>
    </row>
  </sheetData>
  <phoneticPr fontId="3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0402-2850-40FF-BF84-4451D7BABBC7}">
  <sheetPr codeName="Sheet17"/>
  <dimension ref="A1:V30"/>
  <sheetViews>
    <sheetView workbookViewId="0">
      <selection activeCell="G1" sqref="G1"/>
    </sheetView>
  </sheetViews>
  <sheetFormatPr defaultRowHeight="15"/>
  <cols>
    <col min="2" max="2" width="10.5703125" customWidth="1"/>
    <col min="4" max="4" width="9.7109375" customWidth="1"/>
    <col min="5" max="6" width="10.140625" customWidth="1"/>
    <col min="10" max="10" width="9.7109375" customWidth="1"/>
    <col min="12" max="12" width="9.85546875" customWidth="1"/>
    <col min="14" max="14" width="10.140625" customWidth="1"/>
    <col min="16" max="16" width="10.7109375" customWidth="1"/>
    <col min="18" max="18" width="9.5703125" customWidth="1"/>
    <col min="20" max="20" width="10.85546875" customWidth="1"/>
    <col min="22" max="22" width="10.42578125" customWidth="1"/>
  </cols>
  <sheetData>
    <row r="1" spans="1:22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173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2">
      <c r="A2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93" t="s">
        <v>21</v>
      </c>
      <c r="D5" s="93" t="s">
        <v>22</v>
      </c>
      <c r="F5" s="93" t="s">
        <v>23</v>
      </c>
      <c r="H5" s="93" t="s">
        <v>24</v>
      </c>
      <c r="J5" s="93" t="s">
        <v>25</v>
      </c>
      <c r="L5" s="93" t="s">
        <v>26</v>
      </c>
      <c r="N5" s="93" t="s">
        <v>27</v>
      </c>
      <c r="P5" s="93" t="s">
        <v>28</v>
      </c>
      <c r="R5" s="93" t="s">
        <v>4</v>
      </c>
      <c r="T5" s="93" t="s">
        <v>5</v>
      </c>
      <c r="V5" s="93" t="s">
        <v>6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187-9D71-4B45-B5EC-E1CAB366531B}">
  <sheetPr codeName="Sheet1"/>
  <dimension ref="A1:Z46"/>
  <sheetViews>
    <sheetView workbookViewId="0"/>
  </sheetViews>
  <sheetFormatPr defaultRowHeight="15"/>
  <cols>
    <col min="2" max="2" width="10.42578125" customWidth="1"/>
    <col min="5" max="5" width="10.7109375" customWidth="1"/>
    <col min="6" max="6" width="10.85546875" customWidth="1"/>
    <col min="9" max="9" width="9.42578125" style="5" customWidth="1"/>
    <col min="10" max="10" width="10" customWidth="1"/>
    <col min="11" max="17" width="11" customWidth="1"/>
    <col min="18" max="18" width="10.140625" customWidth="1"/>
    <col min="20" max="20" width="10.7109375" customWidth="1"/>
    <col min="22" max="22" width="11.5703125" customWidth="1"/>
  </cols>
  <sheetData>
    <row r="1" spans="1:24" s="2" customFormat="1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174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4">
      <c r="A2" s="10" t="str">
        <f>VectorDial!F3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90</v>
      </c>
      <c r="L2" s="2">
        <v>0</v>
      </c>
      <c r="M2" s="2">
        <v>10</v>
      </c>
      <c r="N2" s="2">
        <v>12.314452143536792</v>
      </c>
      <c r="O2" s="2">
        <v>-54.297100000000107</v>
      </c>
      <c r="P2" s="2">
        <v>0</v>
      </c>
      <c r="Q2" s="2">
        <v>-7.1864964757145673</v>
      </c>
    </row>
    <row r="4" spans="1:24" ht="15.75" thickBot="1"/>
    <row r="5" spans="1:24" s="38" customFormat="1">
      <c r="A5" s="51"/>
      <c r="B5" s="83" t="s">
        <v>21</v>
      </c>
      <c r="C5" s="52"/>
      <c r="D5" s="83" t="s">
        <v>22</v>
      </c>
      <c r="E5" s="52"/>
      <c r="F5" s="83" t="s">
        <v>23</v>
      </c>
      <c r="G5" s="52"/>
      <c r="H5" s="83" t="s">
        <v>24</v>
      </c>
      <c r="I5" s="52"/>
      <c r="J5" s="83" t="s">
        <v>25</v>
      </c>
      <c r="K5" s="52"/>
      <c r="L5" s="83" t="s">
        <v>26</v>
      </c>
      <c r="M5" s="52"/>
      <c r="N5" s="83" t="s">
        <v>27</v>
      </c>
      <c r="O5" s="52"/>
      <c r="P5" s="83" t="s">
        <v>28</v>
      </c>
      <c r="Q5" s="52"/>
      <c r="R5" s="83" t="s">
        <v>4</v>
      </c>
      <c r="S5" s="52"/>
      <c r="T5" s="83" t="s">
        <v>5</v>
      </c>
      <c r="U5" s="52"/>
      <c r="V5" s="83" t="s">
        <v>6</v>
      </c>
      <c r="W5" s="54"/>
      <c r="X5" s="84"/>
    </row>
    <row r="6" spans="1:24">
      <c r="A6" s="42">
        <v>99999</v>
      </c>
      <c r="B6" s="28">
        <v>99999</v>
      </c>
      <c r="C6" s="29">
        <v>99999</v>
      </c>
      <c r="D6" s="28">
        <v>99999</v>
      </c>
      <c r="E6" s="29">
        <v>99999</v>
      </c>
      <c r="F6" s="28">
        <v>99999</v>
      </c>
      <c r="G6" s="29">
        <v>99999</v>
      </c>
      <c r="H6" s="28">
        <v>99999</v>
      </c>
      <c r="I6" s="58">
        <v>99999</v>
      </c>
      <c r="J6" s="28">
        <v>99999</v>
      </c>
      <c r="K6" s="29"/>
      <c r="L6" s="28"/>
      <c r="M6" s="29"/>
      <c r="N6" s="28"/>
      <c r="O6" s="29"/>
      <c r="P6" s="28"/>
      <c r="Q6" s="29"/>
      <c r="R6" s="28"/>
      <c r="S6" s="29"/>
      <c r="T6" s="28"/>
      <c r="U6" s="29"/>
      <c r="V6" s="28"/>
      <c r="X6" s="43"/>
    </row>
    <row r="7" spans="1:24">
      <c r="A7" s="42">
        <v>99999</v>
      </c>
      <c r="B7" s="28">
        <v>99999</v>
      </c>
      <c r="C7" s="29">
        <v>-163.46975480250717</v>
      </c>
      <c r="D7" s="28">
        <v>-42.659969819937693</v>
      </c>
      <c r="E7" s="29">
        <v>99999</v>
      </c>
      <c r="F7" s="28">
        <v>99999</v>
      </c>
      <c r="G7" s="29">
        <v>99999</v>
      </c>
      <c r="H7" s="28">
        <v>99999</v>
      </c>
      <c r="I7" s="58">
        <v>99999</v>
      </c>
      <c r="J7" s="28">
        <v>99999</v>
      </c>
      <c r="K7" s="29">
        <v>-69.182856024483598</v>
      </c>
      <c r="L7" s="28">
        <v>-13.922987544218033</v>
      </c>
      <c r="M7" s="29">
        <v>-44.640278486269104</v>
      </c>
      <c r="N7" s="28">
        <v>-6.458527887788458</v>
      </c>
      <c r="O7" s="29">
        <v>-32.026644805654257</v>
      </c>
      <c r="P7" s="28">
        <v>-2.6441511097350765</v>
      </c>
      <c r="Q7" s="29">
        <v>-25.777160205798889</v>
      </c>
      <c r="R7" s="28">
        <v>-0.79708758703342042</v>
      </c>
      <c r="S7" s="29"/>
      <c r="T7" s="28"/>
      <c r="U7" s="29"/>
      <c r="V7" s="28"/>
      <c r="X7" s="43"/>
    </row>
    <row r="8" spans="1:24">
      <c r="A8" s="42">
        <v>99999</v>
      </c>
      <c r="B8" s="28">
        <v>99999</v>
      </c>
      <c r="C8" s="29">
        <v>-43.554536990417901</v>
      </c>
      <c r="D8" s="28">
        <v>-22.408291052397992</v>
      </c>
      <c r="E8" s="29">
        <v>-75.138564711917539</v>
      </c>
      <c r="F8" s="28">
        <v>-43.872014893622932</v>
      </c>
      <c r="G8" s="29">
        <v>-193.32968206679774</v>
      </c>
      <c r="H8" s="28">
        <v>-124.20850285943884</v>
      </c>
      <c r="I8" s="58">
        <v>99999</v>
      </c>
      <c r="J8" s="28">
        <v>99999</v>
      </c>
      <c r="K8" s="29">
        <v>-31.002856021875338</v>
      </c>
      <c r="L8" s="28">
        <v>-13.880074904361024</v>
      </c>
      <c r="M8" s="29">
        <v>-24.35192017025814</v>
      </c>
      <c r="N8" s="28">
        <v>-9.3656080756296625</v>
      </c>
      <c r="O8" s="29">
        <v>-19.668144133939098</v>
      </c>
      <c r="P8" s="28">
        <v>-6.189739190345775</v>
      </c>
      <c r="Q8" s="29">
        <v>-16.882542009506235</v>
      </c>
      <c r="R8" s="28">
        <v>-4.3041094094290315</v>
      </c>
      <c r="S8" s="29">
        <v>-15.112638563043802</v>
      </c>
      <c r="T8" s="28">
        <v>-3.1088665456816096</v>
      </c>
      <c r="U8" s="29">
        <v>-13.807230169474343</v>
      </c>
      <c r="V8" s="28">
        <v>-2.2305057158759105</v>
      </c>
      <c r="X8" s="43"/>
    </row>
    <row r="9" spans="1:24">
      <c r="A9" s="42">
        <v>-137.23306222620832</v>
      </c>
      <c r="B9" s="28">
        <v>-155.42824051141329</v>
      </c>
      <c r="C9" s="29">
        <v>-22.282230396862413</v>
      </c>
      <c r="D9" s="28">
        <v>-19.203331240180447</v>
      </c>
      <c r="E9" s="29">
        <v>-30.159817816455586</v>
      </c>
      <c r="F9" s="28">
        <v>-28.535261038437497</v>
      </c>
      <c r="G9" s="29">
        <v>-42.963490371521168</v>
      </c>
      <c r="H9" s="28">
        <v>-43.706518928155077</v>
      </c>
      <c r="I9" s="58">
        <v>-67.986083761025228</v>
      </c>
      <c r="J9" s="28">
        <v>-73.360347919756478</v>
      </c>
      <c r="K9" s="29">
        <v>-17.782724706333667</v>
      </c>
      <c r="L9" s="28">
        <v>-13.873897488208124</v>
      </c>
      <c r="M9" s="29">
        <v>-14.939824440152671</v>
      </c>
      <c r="N9" s="28">
        <v>-10.509347321228816</v>
      </c>
      <c r="O9" s="29">
        <v>-12.688353162101079</v>
      </c>
      <c r="P9" s="28">
        <v>-7.8465422808642318</v>
      </c>
      <c r="Q9" s="29">
        <v>-11.236005962789818</v>
      </c>
      <c r="R9" s="28">
        <v>-6.1303542158303763</v>
      </c>
      <c r="S9" s="29">
        <v>-10.26478195165625</v>
      </c>
      <c r="T9" s="28">
        <v>-4.9837957359478118</v>
      </c>
      <c r="U9" s="29">
        <v>-9.5236864796243399</v>
      </c>
      <c r="V9" s="28">
        <v>-4.1099362965525925</v>
      </c>
      <c r="X9" s="43"/>
    </row>
    <row r="10" spans="1:24">
      <c r="A10" s="42">
        <v>-35.016548732906813</v>
      </c>
      <c r="B10" s="28">
        <v>-64.270806833521561</v>
      </c>
      <c r="C10" s="29">
        <v>-12.35402736159036</v>
      </c>
      <c r="D10" s="28">
        <v>-18.013721777580471</v>
      </c>
      <c r="E10" s="29">
        <v>-15.479819468981955</v>
      </c>
      <c r="F10" s="28">
        <v>-24.391523368785265</v>
      </c>
      <c r="G10" s="29">
        <v>-19.675650173035645</v>
      </c>
      <c r="H10" s="28">
        <v>-32.954821633747258</v>
      </c>
      <c r="I10" s="58">
        <v>-25.717196164182141</v>
      </c>
      <c r="J10" s="28">
        <v>-45.287085098079388</v>
      </c>
      <c r="K10" s="29">
        <v>-10.323065522642802</v>
      </c>
      <c r="L10" s="28">
        <v>-13.870311587338756</v>
      </c>
      <c r="M10" s="29">
        <v>-8.9450935158166907</v>
      </c>
      <c r="N10" s="28">
        <v>-11.061133140783401</v>
      </c>
      <c r="O10" s="29">
        <v>-7.7909339520336456</v>
      </c>
      <c r="P10" s="28">
        <v>-8.7095443727452402</v>
      </c>
      <c r="Q10" s="29">
        <v>-7.0147789184942724</v>
      </c>
      <c r="R10" s="28">
        <v>-7.1292087966390083</v>
      </c>
      <c r="S10" s="29">
        <v>-6.4812396404594947</v>
      </c>
      <c r="T10" s="28">
        <v>-6.0436214927564986</v>
      </c>
      <c r="U10" s="29">
        <v>-6.0665892795078085</v>
      </c>
      <c r="V10" s="28">
        <v>-5.2006177588291971</v>
      </c>
      <c r="X10" s="43"/>
    </row>
    <row r="11" spans="1:24">
      <c r="A11" s="42">
        <v>-13.308429135051036</v>
      </c>
      <c r="B11" s="28">
        <v>-49.538809512597673</v>
      </c>
      <c r="C11" s="29">
        <v>-5.7944528410300187</v>
      </c>
      <c r="D11" s="28">
        <v>-17.502722489109068</v>
      </c>
      <c r="E11" s="29">
        <v>-7.0343555739731904</v>
      </c>
      <c r="F11" s="28">
        <v>-22.78720746920914</v>
      </c>
      <c r="G11" s="29">
        <v>-8.5818143594315988</v>
      </c>
      <c r="H11" s="28">
        <v>-29.384208416953953</v>
      </c>
      <c r="I11" s="58">
        <v>-10.602685716147896</v>
      </c>
      <c r="J11" s="28">
        <v>-38.000910851319439</v>
      </c>
      <c r="K11" s="29">
        <v>-4.9410260061142006</v>
      </c>
      <c r="L11" s="28">
        <v>-13.865838192425954</v>
      </c>
      <c r="M11" s="29">
        <v>-4.3447414299663194</v>
      </c>
      <c r="N11" s="28">
        <v>-11.326527402036561</v>
      </c>
      <c r="O11" s="29">
        <v>-3.8316301703905618</v>
      </c>
      <c r="P11" s="28">
        <v>-9.1425381849846996</v>
      </c>
      <c r="Q11" s="29">
        <v>-3.479332526574046</v>
      </c>
      <c r="R11" s="28">
        <v>-7.6439394835846244</v>
      </c>
      <c r="S11" s="29">
        <v>-3.2337375154020411</v>
      </c>
      <c r="T11" s="28">
        <v>-6.5998640427642137</v>
      </c>
      <c r="U11" s="29">
        <v>-3.0411782198035202</v>
      </c>
      <c r="V11" s="28">
        <v>-5.7818221956830591</v>
      </c>
      <c r="X11" s="43"/>
    </row>
    <row r="12" spans="1:24">
      <c r="A12" s="42">
        <v>-0.84470167131700213</v>
      </c>
      <c r="B12" s="28">
        <v>-46.024597148245356</v>
      </c>
      <c r="C12" s="29">
        <v>-0.38964415821861587</v>
      </c>
      <c r="D12" s="28">
        <v>-17.350386068225102</v>
      </c>
      <c r="E12" s="29">
        <v>-0.46848501490108879</v>
      </c>
      <c r="F12" s="28">
        <v>-22.316583813669926</v>
      </c>
      <c r="G12" s="29">
        <v>-0.56476468779724032</v>
      </c>
      <c r="H12" s="28">
        <v>-28.382819552588014</v>
      </c>
      <c r="I12" s="58">
        <v>-0.68705929859190873</v>
      </c>
      <c r="J12" s="28">
        <v>-36.089506825754761</v>
      </c>
      <c r="K12" s="29">
        <v>-0.33421435691725271</v>
      </c>
      <c r="L12" s="28">
        <v>-13.85926626095991</v>
      </c>
      <c r="M12" s="29">
        <v>-0.29528746336588474</v>
      </c>
      <c r="N12" s="28">
        <v>-11.409213721853094</v>
      </c>
      <c r="O12" s="29">
        <v>-0.26149456363554602</v>
      </c>
      <c r="P12" s="28">
        <v>-9.2833565279831891</v>
      </c>
      <c r="Q12" s="29">
        <v>-0.23813429534409822</v>
      </c>
      <c r="R12" s="28">
        <v>-7.814658377770459</v>
      </c>
      <c r="S12" s="29">
        <v>-0.22177551360837122</v>
      </c>
      <c r="T12" s="28">
        <v>-6.7867514134444749</v>
      </c>
      <c r="U12" s="29">
        <v>-0.20892491437171026</v>
      </c>
      <c r="V12" s="28">
        <v>-5.9798178572414935</v>
      </c>
      <c r="X12" s="43"/>
    </row>
    <row r="13" spans="1:24">
      <c r="A13" s="42">
        <v>11.181520750239782</v>
      </c>
      <c r="B13" s="28">
        <v>-48.558196715112402</v>
      </c>
      <c r="C13" s="29">
        <v>4.9498820093379399</v>
      </c>
      <c r="D13" s="28">
        <v>-17.482094079246405</v>
      </c>
      <c r="E13" s="29">
        <v>5.9941306936618384</v>
      </c>
      <c r="F13" s="28">
        <v>-22.687735154245942</v>
      </c>
      <c r="G13" s="29">
        <v>7.2895285234508558</v>
      </c>
      <c r="H13" s="28">
        <v>-29.14703924517196</v>
      </c>
      <c r="I13" s="58">
        <v>8.9673828111668783</v>
      </c>
      <c r="J13" s="28">
        <v>-37.514852250159691</v>
      </c>
      <c r="K13" s="29">
        <v>4.2210490608073243</v>
      </c>
      <c r="L13" s="28">
        <v>-13.849263574484725</v>
      </c>
      <c r="M13" s="29">
        <v>3.7166988381633699</v>
      </c>
      <c r="N13" s="28">
        <v>-11.337085359165499</v>
      </c>
      <c r="O13" s="29">
        <v>3.2816934535831077</v>
      </c>
      <c r="P13" s="28">
        <v>-9.1714220635306809</v>
      </c>
      <c r="Q13" s="29">
        <v>2.982532920235307</v>
      </c>
      <c r="R13" s="28">
        <v>-7.6829542434026212</v>
      </c>
      <c r="S13" s="29">
        <v>2.7738260770602716</v>
      </c>
      <c r="T13" s="28">
        <v>-6.6451602932045697</v>
      </c>
      <c r="U13" s="29">
        <v>2.6105639772127271</v>
      </c>
      <c r="V13" s="28">
        <v>-5.8338998792251031</v>
      </c>
      <c r="X13" s="43"/>
    </row>
    <row r="14" spans="1:24">
      <c r="A14" s="42">
        <v>30.374508397850821</v>
      </c>
      <c r="B14" s="28">
        <v>-60.657863341132789</v>
      </c>
      <c r="C14" s="29">
        <v>11.261862220658134</v>
      </c>
      <c r="D14" s="28">
        <v>-17.95792812423954</v>
      </c>
      <c r="E14" s="29">
        <v>14.021699872351812</v>
      </c>
      <c r="F14" s="28">
        <v>-24.121493624830407</v>
      </c>
      <c r="G14" s="29">
        <v>17.668057272271831</v>
      </c>
      <c r="H14" s="28">
        <v>-32.267032196221436</v>
      </c>
      <c r="I14" s="58">
        <v>22.79925583504448</v>
      </c>
      <c r="J14" s="28">
        <v>-43.731441127947299</v>
      </c>
      <c r="K14" s="29">
        <v>9.4148009501151719</v>
      </c>
      <c r="L14" s="28">
        <v>-13.83341624970687</v>
      </c>
      <c r="M14" s="29">
        <v>8.1844368278333928</v>
      </c>
      <c r="N14" s="28">
        <v>-11.087976615127966</v>
      </c>
      <c r="O14" s="29">
        <v>7.1482181655369681</v>
      </c>
      <c r="P14" s="28">
        <v>-8.7770300349419497</v>
      </c>
      <c r="Q14" s="29">
        <v>6.4486703005724859</v>
      </c>
      <c r="R14" s="28">
        <v>-7.2179542299257156</v>
      </c>
      <c r="S14" s="29">
        <v>5.9668971561280308</v>
      </c>
      <c r="T14" s="28">
        <v>-6.1449597770857904</v>
      </c>
      <c r="U14" s="29">
        <v>5.5940868532816719</v>
      </c>
      <c r="V14" s="28">
        <v>-5.3153026969658503</v>
      </c>
      <c r="X14" s="43"/>
    </row>
    <row r="15" spans="1:24">
      <c r="A15" s="42">
        <v>100.95866060581666</v>
      </c>
      <c r="B15" s="28">
        <v>-122.17462959334341</v>
      </c>
      <c r="C15" s="29">
        <v>20.491609631015137</v>
      </c>
      <c r="D15" s="28">
        <v>-19.057011092981565</v>
      </c>
      <c r="E15" s="29">
        <v>27.303584129608009</v>
      </c>
      <c r="F15" s="28">
        <v>-27.783179483875692</v>
      </c>
      <c r="G15" s="29">
        <v>37.915846053088067</v>
      </c>
      <c r="H15" s="28">
        <v>-41.380951811496359</v>
      </c>
      <c r="I15" s="58">
        <v>57.122578626654636</v>
      </c>
      <c r="J15" s="28">
        <v>-65.99464498924003</v>
      </c>
      <c r="K15" s="29">
        <v>16.392162458828661</v>
      </c>
      <c r="L15" s="28">
        <v>-13.80639056645537</v>
      </c>
      <c r="M15" s="29">
        <v>13.8637107456141</v>
      </c>
      <c r="N15" s="28">
        <v>-10.570477221960543</v>
      </c>
      <c r="O15" s="29">
        <v>11.838411365021178</v>
      </c>
      <c r="P15" s="28">
        <v>-7.9801867120686127</v>
      </c>
      <c r="Q15" s="29">
        <v>10.521728915632668</v>
      </c>
      <c r="R15" s="28">
        <v>-6.2975932488457369</v>
      </c>
      <c r="S15" s="29">
        <v>9.6377249879363482</v>
      </c>
      <c r="T15" s="28">
        <v>-5.1689411434176584</v>
      </c>
      <c r="U15" s="29">
        <v>8.9669521375372288</v>
      </c>
      <c r="V15" s="28">
        <v>-4.313472499225627</v>
      </c>
      <c r="X15" s="43"/>
    </row>
    <row r="16" spans="1:24">
      <c r="A16" s="42">
        <v>99999</v>
      </c>
      <c r="B16" s="28">
        <v>99999</v>
      </c>
      <c r="C16" s="29">
        <v>39.092418934196857</v>
      </c>
      <c r="D16" s="28">
        <v>-21.885979549440599</v>
      </c>
      <c r="E16" s="29">
        <v>63.594390265510071</v>
      </c>
      <c r="F16" s="28">
        <v>-40.110588135670554</v>
      </c>
      <c r="G16" s="29">
        <v>134.61149798680736</v>
      </c>
      <c r="H16" s="28">
        <v>-92.944700889610033</v>
      </c>
      <c r="I16" s="58">
        <v>3915.6759532763308</v>
      </c>
      <c r="J16" s="28">
        <v>-2906.1456759531256</v>
      </c>
      <c r="K16" s="29">
        <v>28.156834126262908</v>
      </c>
      <c r="L16" s="28">
        <v>-13.753630239442309</v>
      </c>
      <c r="M16" s="29">
        <v>22.459732578959915</v>
      </c>
      <c r="N16" s="28">
        <v>-9.5209653663203824</v>
      </c>
      <c r="O16" s="29">
        <v>18.343681528766275</v>
      </c>
      <c r="P16" s="28">
        <v>-6.4658773939355934</v>
      </c>
      <c r="Q16" s="29">
        <v>15.855230486502478</v>
      </c>
      <c r="R16" s="28">
        <v>-4.6215408449289326</v>
      </c>
      <c r="S16" s="29">
        <v>14.260520640432924</v>
      </c>
      <c r="T16" s="28">
        <v>-3.4418899131897818</v>
      </c>
      <c r="U16" s="29">
        <v>13.09049355111587</v>
      </c>
      <c r="V16" s="28">
        <v>-2.5787940228330086</v>
      </c>
      <c r="X16" s="43"/>
    </row>
    <row r="17" spans="1:26">
      <c r="A17" s="42">
        <v>99999</v>
      </c>
      <c r="B17" s="28">
        <v>99999</v>
      </c>
      <c r="C17" s="29">
        <v>121.36002600047301</v>
      </c>
      <c r="D17" s="28">
        <v>-36.072579028427256</v>
      </c>
      <c r="E17" s="29">
        <v>99999</v>
      </c>
      <c r="F17" s="28">
        <v>99999</v>
      </c>
      <c r="G17" s="29">
        <v>99999</v>
      </c>
      <c r="H17" s="28">
        <v>99999</v>
      </c>
      <c r="I17" s="58">
        <v>99999</v>
      </c>
      <c r="J17" s="28">
        <v>99999</v>
      </c>
      <c r="K17" s="29">
        <v>58.340111231402041</v>
      </c>
      <c r="L17" s="28">
        <v>-13.618020243062652</v>
      </c>
      <c r="M17" s="29">
        <v>39.730863586973278</v>
      </c>
      <c r="N17" s="28">
        <v>-6.9989798834050125</v>
      </c>
      <c r="O17" s="29">
        <v>29.34985451628895</v>
      </c>
      <c r="P17" s="28">
        <v>-3.3204433077440512</v>
      </c>
      <c r="Q17" s="29">
        <v>23.98432902206179</v>
      </c>
      <c r="R17" s="28">
        <v>-1.4414966935890638</v>
      </c>
      <c r="S17" s="29">
        <v>20.844497136680275</v>
      </c>
      <c r="T17" s="28">
        <v>-0.38153978023585478</v>
      </c>
      <c r="U17" s="29"/>
      <c r="V17" s="28"/>
      <c r="X17" s="43"/>
    </row>
    <row r="18" spans="1:26" ht="15.75" thickBot="1">
      <c r="A18" s="42">
        <v>99999</v>
      </c>
      <c r="B18" s="28">
        <v>99999</v>
      </c>
      <c r="C18" s="29">
        <v>99999</v>
      </c>
      <c r="D18" s="28">
        <v>99999</v>
      </c>
      <c r="E18" s="29">
        <v>99999</v>
      </c>
      <c r="F18" s="28">
        <v>99999</v>
      </c>
      <c r="G18" s="29">
        <v>99999</v>
      </c>
      <c r="H18" s="28">
        <v>99999</v>
      </c>
      <c r="I18" s="58">
        <v>99999</v>
      </c>
      <c r="J18" s="28">
        <v>99999</v>
      </c>
      <c r="K18" s="29">
        <v>701.87391503606614</v>
      </c>
      <c r="L18" s="28">
        <v>-13.511404736197591</v>
      </c>
      <c r="M18" s="29"/>
      <c r="N18" s="28"/>
      <c r="O18" s="29"/>
      <c r="P18" s="28"/>
      <c r="Q18" s="29"/>
      <c r="R18" s="28"/>
      <c r="S18" s="29"/>
      <c r="T18" s="28"/>
      <c r="U18" s="29"/>
      <c r="V18" s="28"/>
      <c r="X18" s="43"/>
    </row>
    <row r="19" spans="1:26" s="8" customFormat="1">
      <c r="A19" s="49"/>
      <c r="B19" s="37">
        <v>6</v>
      </c>
      <c r="C19" s="50"/>
      <c r="D19" s="37">
        <v>7</v>
      </c>
      <c r="E19" s="50"/>
      <c r="F19" s="37">
        <v>8</v>
      </c>
      <c r="G19" s="50"/>
      <c r="H19" s="37">
        <v>9</v>
      </c>
      <c r="I19" s="52"/>
      <c r="J19" s="37">
        <v>10</v>
      </c>
      <c r="K19" s="50"/>
      <c r="L19" s="37">
        <v>11</v>
      </c>
      <c r="M19" s="50"/>
      <c r="N19" s="37">
        <v>12</v>
      </c>
      <c r="O19" s="50"/>
      <c r="P19" s="37">
        <v>13</v>
      </c>
      <c r="Q19" s="50"/>
      <c r="R19" s="37">
        <v>14</v>
      </c>
      <c r="S19" s="50"/>
      <c r="T19" s="37">
        <v>15</v>
      </c>
      <c r="U19" s="50"/>
      <c r="V19" s="37">
        <v>16</v>
      </c>
      <c r="W19" s="50"/>
      <c r="X19" s="37"/>
      <c r="Y19" s="36"/>
      <c r="Z19" s="26"/>
    </row>
    <row r="20" spans="1:26">
      <c r="A20" s="42">
        <v>99999</v>
      </c>
      <c r="B20" s="28">
        <v>99999</v>
      </c>
      <c r="C20" s="29">
        <v>99999</v>
      </c>
      <c r="D20" s="28">
        <v>99999</v>
      </c>
      <c r="E20" s="29">
        <v>99999</v>
      </c>
      <c r="F20" s="28">
        <v>99999</v>
      </c>
      <c r="G20" s="29">
        <v>-137.23306222620832</v>
      </c>
      <c r="H20" s="28">
        <v>-155.42824051141329</v>
      </c>
      <c r="I20" s="58">
        <v>-35.016548732906813</v>
      </c>
      <c r="J20" s="28">
        <v>-64.270806833521561</v>
      </c>
      <c r="K20" s="29">
        <v>-13.308429135051036</v>
      </c>
      <c r="L20" s="28">
        <v>-49.538809512597673</v>
      </c>
      <c r="M20" s="29">
        <v>-0.84470167131700213</v>
      </c>
      <c r="N20" s="28">
        <v>-46.024597148245356</v>
      </c>
      <c r="O20" s="29">
        <v>11.181520750239782</v>
      </c>
      <c r="P20" s="28">
        <v>-48.558196715112402</v>
      </c>
      <c r="Q20" s="29">
        <v>30.374508397850821</v>
      </c>
      <c r="R20" s="28">
        <v>-60.657863341132789</v>
      </c>
      <c r="S20" s="29">
        <v>100.95866060581666</v>
      </c>
      <c r="T20" s="28">
        <v>-122.17462959334341</v>
      </c>
      <c r="U20" s="29">
        <v>99999</v>
      </c>
      <c r="V20" s="28">
        <v>99999</v>
      </c>
      <c r="W20" s="29"/>
      <c r="X20" s="28"/>
      <c r="Z20" s="43"/>
    </row>
    <row r="21" spans="1:26">
      <c r="A21" s="42">
        <v>99999</v>
      </c>
      <c r="B21" s="28">
        <v>99999</v>
      </c>
      <c r="C21" s="29">
        <v>-163.46975480250717</v>
      </c>
      <c r="D21" s="28">
        <v>-42.659969819937693</v>
      </c>
      <c r="E21" s="29">
        <v>-43.554536990417901</v>
      </c>
      <c r="F21" s="28">
        <v>-22.408291052397992</v>
      </c>
      <c r="G21" s="29">
        <v>-22.282230396862413</v>
      </c>
      <c r="H21" s="28">
        <v>-19.203331240180447</v>
      </c>
      <c r="I21" s="58">
        <v>-12.35402736159036</v>
      </c>
      <c r="J21" s="28">
        <v>-18.013721777580471</v>
      </c>
      <c r="K21" s="29">
        <v>-5.7944528410300187</v>
      </c>
      <c r="L21" s="28">
        <v>-17.502722489109068</v>
      </c>
      <c r="M21" s="29">
        <v>-0.38964415821861587</v>
      </c>
      <c r="N21" s="28">
        <v>-17.350386068225102</v>
      </c>
      <c r="O21" s="29">
        <v>4.9498820093379399</v>
      </c>
      <c r="P21" s="28">
        <v>-17.482094079246405</v>
      </c>
      <c r="Q21" s="29">
        <v>11.261862220658134</v>
      </c>
      <c r="R21" s="28">
        <v>-17.95792812423954</v>
      </c>
      <c r="S21" s="29">
        <v>20.491609631015137</v>
      </c>
      <c r="T21" s="28">
        <v>-19.057011092981565</v>
      </c>
      <c r="U21" s="29">
        <v>39.092418934196857</v>
      </c>
      <c r="V21" s="28">
        <v>-21.885979549440599</v>
      </c>
      <c r="W21" s="29"/>
      <c r="X21" s="28"/>
      <c r="Z21" s="43"/>
    </row>
    <row r="22" spans="1:26">
      <c r="A22" s="42">
        <v>99999</v>
      </c>
      <c r="B22" s="28">
        <v>99999</v>
      </c>
      <c r="C22" s="29">
        <v>99999</v>
      </c>
      <c r="D22" s="28">
        <v>99999</v>
      </c>
      <c r="E22" s="29">
        <v>-75.138564711917539</v>
      </c>
      <c r="F22" s="28">
        <v>-43.872014893622932</v>
      </c>
      <c r="G22" s="29">
        <v>-30.159817816455586</v>
      </c>
      <c r="H22" s="28">
        <v>-28.535261038437497</v>
      </c>
      <c r="I22" s="58">
        <v>-15.479819468981955</v>
      </c>
      <c r="J22" s="28">
        <v>-24.391523368785265</v>
      </c>
      <c r="K22" s="29">
        <v>-7.0343555739731904</v>
      </c>
      <c r="L22" s="28">
        <v>-22.78720746920914</v>
      </c>
      <c r="M22" s="29">
        <v>-0.46848501490108879</v>
      </c>
      <c r="N22" s="28">
        <v>-22.316583813669926</v>
      </c>
      <c r="O22" s="29">
        <v>5.9941306936618384</v>
      </c>
      <c r="P22" s="28">
        <v>-22.687735154245942</v>
      </c>
      <c r="Q22" s="29">
        <v>14.021699872351812</v>
      </c>
      <c r="R22" s="28">
        <v>-24.121493624830407</v>
      </c>
      <c r="S22" s="29">
        <v>27.303584129608009</v>
      </c>
      <c r="T22" s="28">
        <v>-27.783179483875692</v>
      </c>
      <c r="U22" s="29">
        <v>63.594390265510071</v>
      </c>
      <c r="V22" s="28">
        <v>-40.110588135670554</v>
      </c>
      <c r="W22" s="29"/>
      <c r="X22" s="28"/>
      <c r="Z22" s="43"/>
    </row>
    <row r="23" spans="1:26">
      <c r="A23" s="42">
        <v>99999</v>
      </c>
      <c r="B23" s="28">
        <v>99999</v>
      </c>
      <c r="C23" s="29">
        <v>99999</v>
      </c>
      <c r="D23" s="28">
        <v>99999</v>
      </c>
      <c r="E23" s="29">
        <v>-193.32968206679774</v>
      </c>
      <c r="F23" s="28">
        <v>-124.20850285943884</v>
      </c>
      <c r="G23" s="29">
        <v>-42.963490371521168</v>
      </c>
      <c r="H23" s="28">
        <v>-43.706518928155077</v>
      </c>
      <c r="I23" s="58">
        <v>-19.675650173035645</v>
      </c>
      <c r="J23" s="28">
        <v>-32.954821633747258</v>
      </c>
      <c r="K23" s="29">
        <v>-8.5818143594315988</v>
      </c>
      <c r="L23" s="28">
        <v>-29.384208416953953</v>
      </c>
      <c r="M23" s="29">
        <v>-0.56476468779724032</v>
      </c>
      <c r="N23" s="28">
        <v>-28.382819552588014</v>
      </c>
      <c r="O23" s="29">
        <v>7.2895285234508558</v>
      </c>
      <c r="P23" s="28">
        <v>-29.14703924517196</v>
      </c>
      <c r="Q23" s="29">
        <v>17.668057272271831</v>
      </c>
      <c r="R23" s="28">
        <v>-32.267032196221436</v>
      </c>
      <c r="S23" s="29">
        <v>37.915846053088067</v>
      </c>
      <c r="T23" s="28">
        <v>-41.380951811496359</v>
      </c>
      <c r="U23" s="29">
        <v>134.61149798680736</v>
      </c>
      <c r="V23" s="28">
        <v>-92.944700889610033</v>
      </c>
      <c r="W23" s="29"/>
      <c r="X23" s="28"/>
      <c r="Z23" s="43"/>
    </row>
    <row r="24" spans="1:26">
      <c r="A24" s="42">
        <v>99999</v>
      </c>
      <c r="B24" s="28">
        <v>99999</v>
      </c>
      <c r="C24" s="29">
        <v>99999</v>
      </c>
      <c r="D24" s="28">
        <v>99999</v>
      </c>
      <c r="E24" s="29">
        <v>99999</v>
      </c>
      <c r="F24" s="28">
        <v>99999</v>
      </c>
      <c r="G24" s="29">
        <v>-67.986083761025228</v>
      </c>
      <c r="H24" s="28">
        <v>-73.360347919756478</v>
      </c>
      <c r="I24" s="58">
        <v>-25.717196164182141</v>
      </c>
      <c r="J24" s="28">
        <v>-45.287085098079388</v>
      </c>
      <c r="K24" s="29">
        <v>-10.602685716147896</v>
      </c>
      <c r="L24" s="28">
        <v>-38.000910851319439</v>
      </c>
      <c r="M24" s="29">
        <v>-0.68705929859190873</v>
      </c>
      <c r="N24" s="28">
        <v>-36.089506825754761</v>
      </c>
      <c r="O24" s="29">
        <v>8.9673828111668783</v>
      </c>
      <c r="P24" s="28">
        <v>-37.514852250159691</v>
      </c>
      <c r="Q24" s="29">
        <v>22.79925583504448</v>
      </c>
      <c r="R24" s="28">
        <v>-43.731441127947299</v>
      </c>
      <c r="S24" s="29">
        <v>57.122578626654636</v>
      </c>
      <c r="T24" s="28">
        <v>-65.99464498924003</v>
      </c>
      <c r="U24" s="29">
        <v>3915.6759532763308</v>
      </c>
      <c r="V24" s="28">
        <v>-2906.1456759531256</v>
      </c>
      <c r="W24" s="29"/>
      <c r="X24" s="28"/>
      <c r="Z24" s="43"/>
    </row>
    <row r="25" spans="1:26">
      <c r="A25" s="42">
        <v>0</v>
      </c>
      <c r="B25" s="28">
        <v>0</v>
      </c>
      <c r="C25" s="29">
        <v>-69.182856024483598</v>
      </c>
      <c r="D25" s="28">
        <v>-13.922987544218033</v>
      </c>
      <c r="E25" s="29">
        <v>-31.002856021875338</v>
      </c>
      <c r="F25" s="28">
        <v>-13.880074904361024</v>
      </c>
      <c r="G25" s="29">
        <v>-17.782724706333667</v>
      </c>
      <c r="H25" s="28">
        <v>-13.873897488208124</v>
      </c>
      <c r="I25" s="58">
        <v>-10.323065522642802</v>
      </c>
      <c r="J25" s="28">
        <v>-13.870311587338756</v>
      </c>
      <c r="K25" s="29">
        <v>-4.9410260061142006</v>
      </c>
      <c r="L25" s="28">
        <v>-13.865838192425954</v>
      </c>
      <c r="M25" s="29">
        <v>-0.33421435691725271</v>
      </c>
      <c r="N25" s="28">
        <v>-13.85926626095991</v>
      </c>
      <c r="O25" s="29">
        <v>4.2210490608073243</v>
      </c>
      <c r="P25" s="28">
        <v>-13.849263574484725</v>
      </c>
      <c r="Q25" s="29">
        <v>9.4148009501151719</v>
      </c>
      <c r="R25" s="28">
        <v>-13.83341624970687</v>
      </c>
      <c r="S25" s="29">
        <v>16.392162458828661</v>
      </c>
      <c r="T25" s="28">
        <v>-13.80639056645537</v>
      </c>
      <c r="U25" s="29">
        <v>28.156834126262908</v>
      </c>
      <c r="V25" s="28">
        <v>-13.753630239442309</v>
      </c>
      <c r="W25" s="29"/>
      <c r="X25" s="28"/>
      <c r="Z25" s="43"/>
    </row>
    <row r="26" spans="1:26">
      <c r="A26" s="42">
        <v>0</v>
      </c>
      <c r="B26" s="28">
        <v>0</v>
      </c>
      <c r="C26" s="29">
        <v>-44.640278486269104</v>
      </c>
      <c r="D26" s="28">
        <v>-6.458527887788458</v>
      </c>
      <c r="E26" s="29">
        <v>-24.35192017025814</v>
      </c>
      <c r="F26" s="28">
        <v>-9.3656080756296625</v>
      </c>
      <c r="G26" s="29">
        <v>-14.939824440152671</v>
      </c>
      <c r="H26" s="28">
        <v>-10.509347321228816</v>
      </c>
      <c r="I26" s="58">
        <v>-8.9450935158166907</v>
      </c>
      <c r="J26" s="28">
        <v>-11.061133140783401</v>
      </c>
      <c r="K26" s="29">
        <v>-4.3447414299663194</v>
      </c>
      <c r="L26" s="28">
        <v>-11.326527402036561</v>
      </c>
      <c r="M26" s="29">
        <v>-0.29528746336588474</v>
      </c>
      <c r="N26" s="28">
        <v>-11.409213721853094</v>
      </c>
      <c r="O26" s="29">
        <v>3.7166988381633699</v>
      </c>
      <c r="P26" s="28">
        <v>-11.337085359165499</v>
      </c>
      <c r="Q26" s="29">
        <v>8.1844368278333928</v>
      </c>
      <c r="R26" s="28">
        <v>-11.087976615127966</v>
      </c>
      <c r="S26" s="29">
        <v>13.8637107456141</v>
      </c>
      <c r="T26" s="28">
        <v>-10.570477221960543</v>
      </c>
      <c r="U26" s="29">
        <v>22.459732578959915</v>
      </c>
      <c r="V26" s="28">
        <v>-9.5209653663203824</v>
      </c>
      <c r="W26" s="29"/>
      <c r="X26" s="28"/>
      <c r="Z26" s="43"/>
    </row>
    <row r="27" spans="1:26">
      <c r="A27" s="42">
        <v>0</v>
      </c>
      <c r="B27" s="28">
        <v>0</v>
      </c>
      <c r="C27" s="29">
        <v>-32.026644805654257</v>
      </c>
      <c r="D27" s="28">
        <v>-2.6441511097350765</v>
      </c>
      <c r="E27" s="29">
        <v>-19.668144133939098</v>
      </c>
      <c r="F27" s="28">
        <v>-6.189739190345775</v>
      </c>
      <c r="G27" s="29">
        <v>-12.688353162101079</v>
      </c>
      <c r="H27" s="28">
        <v>-7.8465422808642318</v>
      </c>
      <c r="I27" s="58">
        <v>-7.7909339520336456</v>
      </c>
      <c r="J27" s="28">
        <v>-8.7095443727452402</v>
      </c>
      <c r="K27" s="29">
        <v>-3.8316301703905618</v>
      </c>
      <c r="L27" s="28">
        <v>-9.1425381849846996</v>
      </c>
      <c r="M27" s="29">
        <v>-0.26149456363554602</v>
      </c>
      <c r="N27" s="28">
        <v>-9.2833565279831891</v>
      </c>
      <c r="O27" s="29">
        <v>3.2816934535831077</v>
      </c>
      <c r="P27" s="28">
        <v>-9.1714220635306809</v>
      </c>
      <c r="Q27" s="29">
        <v>7.1482181655369681</v>
      </c>
      <c r="R27" s="28">
        <v>-8.7770300349419497</v>
      </c>
      <c r="S27" s="29">
        <v>11.838411365021178</v>
      </c>
      <c r="T27" s="28">
        <v>-7.9801867120686127</v>
      </c>
      <c r="U27" s="29">
        <v>18.343681528766275</v>
      </c>
      <c r="V27" s="28">
        <v>-6.4658773939355934</v>
      </c>
      <c r="W27" s="29"/>
      <c r="X27" s="28"/>
      <c r="Z27" s="43"/>
    </row>
    <row r="28" spans="1:26">
      <c r="A28" s="42">
        <v>0</v>
      </c>
      <c r="B28" s="28">
        <v>0</v>
      </c>
      <c r="C28" s="29">
        <v>-25.777160205798889</v>
      </c>
      <c r="D28" s="28">
        <v>-0.79708758703342042</v>
      </c>
      <c r="E28" s="29">
        <v>-16.882542009506235</v>
      </c>
      <c r="F28" s="28">
        <v>-4.3041094094290315</v>
      </c>
      <c r="G28" s="29">
        <v>-11.236005962789818</v>
      </c>
      <c r="H28" s="28">
        <v>-6.1303542158303763</v>
      </c>
      <c r="I28" s="58">
        <v>-7.0147789184942724</v>
      </c>
      <c r="J28" s="28">
        <v>-7.1292087966390083</v>
      </c>
      <c r="K28" s="29">
        <v>-3.479332526574046</v>
      </c>
      <c r="L28" s="28">
        <v>-7.6439394835846244</v>
      </c>
      <c r="M28" s="29">
        <v>-0.23813429534409822</v>
      </c>
      <c r="N28" s="28">
        <v>-7.814658377770459</v>
      </c>
      <c r="O28" s="29">
        <v>2.982532920235307</v>
      </c>
      <c r="P28" s="28">
        <v>-7.6829542434026212</v>
      </c>
      <c r="Q28" s="29">
        <v>6.4486703005724859</v>
      </c>
      <c r="R28" s="28">
        <v>-7.2179542299257156</v>
      </c>
      <c r="S28" s="29">
        <v>10.521728915632668</v>
      </c>
      <c r="T28" s="28">
        <v>-6.2975932488457369</v>
      </c>
      <c r="U28" s="29">
        <v>15.855230486502478</v>
      </c>
      <c r="V28" s="28">
        <v>-4.6215408449289326</v>
      </c>
      <c r="W28" s="29"/>
      <c r="X28" s="28"/>
      <c r="Z28" s="43"/>
    </row>
    <row r="29" spans="1:26">
      <c r="A29" s="42">
        <v>0</v>
      </c>
      <c r="B29" s="28">
        <v>0</v>
      </c>
      <c r="C29" s="29">
        <v>0</v>
      </c>
      <c r="D29" s="28">
        <v>0</v>
      </c>
      <c r="E29" s="29">
        <v>-15.112638563043802</v>
      </c>
      <c r="F29" s="28">
        <v>-3.1088665456816096</v>
      </c>
      <c r="G29" s="29">
        <v>-10.26478195165625</v>
      </c>
      <c r="H29" s="28">
        <v>-4.9837957359478118</v>
      </c>
      <c r="I29" s="58">
        <v>-6.4812396404594947</v>
      </c>
      <c r="J29" s="28">
        <v>-6.0436214927564986</v>
      </c>
      <c r="K29" s="29">
        <v>-3.2337375154020411</v>
      </c>
      <c r="L29" s="28">
        <v>-6.5998640427642137</v>
      </c>
      <c r="M29" s="29">
        <v>-0.22177551360837122</v>
      </c>
      <c r="N29" s="28">
        <v>-6.7867514134444749</v>
      </c>
      <c r="O29" s="29">
        <v>2.7738260770602716</v>
      </c>
      <c r="P29" s="28">
        <v>-6.6451602932045697</v>
      </c>
      <c r="Q29" s="29">
        <v>5.9668971561280308</v>
      </c>
      <c r="R29" s="28">
        <v>-6.1449597770857904</v>
      </c>
      <c r="S29" s="29">
        <v>9.6377249879363482</v>
      </c>
      <c r="T29" s="28">
        <v>-5.1689411434176584</v>
      </c>
      <c r="U29" s="29">
        <v>14.260520640432924</v>
      </c>
      <c r="V29" s="28">
        <v>-3.4418899131897818</v>
      </c>
      <c r="W29" s="29"/>
      <c r="X29" s="28"/>
      <c r="Z29" s="43"/>
    </row>
    <row r="30" spans="1:26">
      <c r="A30" s="42">
        <v>0</v>
      </c>
      <c r="B30" s="28">
        <v>0</v>
      </c>
      <c r="C30" s="29">
        <v>0</v>
      </c>
      <c r="D30" s="28">
        <v>0</v>
      </c>
      <c r="E30" s="29">
        <v>-13.807230169474343</v>
      </c>
      <c r="F30" s="28">
        <v>-2.2305057158759105</v>
      </c>
      <c r="G30" s="29">
        <v>-9.5236864796243399</v>
      </c>
      <c r="H30" s="28">
        <v>-4.1099362965525925</v>
      </c>
      <c r="I30" s="58">
        <v>-6.0665892795078085</v>
      </c>
      <c r="J30" s="28">
        <v>-5.2006177588291971</v>
      </c>
      <c r="K30" s="29">
        <v>-3.0411782198035202</v>
      </c>
      <c r="L30" s="28">
        <v>-5.7818221956830591</v>
      </c>
      <c r="M30" s="29">
        <v>-0.20892491437171026</v>
      </c>
      <c r="N30" s="28">
        <v>-5.9798178572414935</v>
      </c>
      <c r="O30" s="29">
        <v>2.6105639772127271</v>
      </c>
      <c r="P30" s="28">
        <v>-5.8338998792251031</v>
      </c>
      <c r="Q30" s="29">
        <v>5.5940868532816719</v>
      </c>
      <c r="R30" s="28">
        <v>-5.3153026969658503</v>
      </c>
      <c r="S30" s="29">
        <v>8.9669521375372288</v>
      </c>
      <c r="T30" s="28">
        <v>-4.313472499225627</v>
      </c>
      <c r="U30" s="29">
        <v>13.09049355111587</v>
      </c>
      <c r="V30" s="28">
        <v>-2.5787940228330086</v>
      </c>
      <c r="W30" s="29"/>
      <c r="X30" s="28"/>
      <c r="Z30" s="43"/>
    </row>
    <row r="31" spans="1:26" ht="15.75" thickBot="1">
      <c r="A31" s="44"/>
      <c r="B31" s="46"/>
      <c r="C31" s="48"/>
      <c r="D31" s="46"/>
      <c r="E31" s="48"/>
      <c r="F31" s="46"/>
      <c r="G31" s="48"/>
      <c r="H31" s="46"/>
      <c r="I31" s="59"/>
      <c r="J31" s="46"/>
      <c r="K31" s="48"/>
      <c r="L31" s="46"/>
      <c r="M31" s="48"/>
      <c r="N31" s="46"/>
      <c r="O31" s="48"/>
      <c r="P31" s="46"/>
      <c r="Q31" s="48"/>
      <c r="R31" s="46"/>
      <c r="S31" s="48"/>
      <c r="T31" s="46"/>
      <c r="U31" s="48"/>
      <c r="V31" s="46"/>
      <c r="W31" s="48"/>
      <c r="X31" s="46"/>
      <c r="Y31" s="4"/>
      <c r="Z31" s="21"/>
    </row>
    <row r="40" spans="1:1">
      <c r="A40" s="42"/>
    </row>
    <row r="41" spans="1:1">
      <c r="A41" s="42"/>
    </row>
    <row r="42" spans="1:1">
      <c r="A42" s="42"/>
    </row>
    <row r="43" spans="1:1">
      <c r="A43" s="42"/>
    </row>
    <row r="44" spans="1:1">
      <c r="A44" s="42"/>
    </row>
    <row r="45" spans="1:1">
      <c r="A45" s="42"/>
    </row>
    <row r="46" spans="1:1">
      <c r="A46" s="4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FD54-7DED-4ECA-A98D-94CF0F877521}">
  <sheetPr codeName="Sheet2"/>
  <dimension ref="A1:Z31"/>
  <sheetViews>
    <sheetView workbookViewId="0">
      <selection activeCell="B1" sqref="B1"/>
    </sheetView>
  </sheetViews>
  <sheetFormatPr defaultRowHeight="15"/>
  <cols>
    <col min="2" max="2" width="10.5703125" customWidth="1"/>
    <col min="3" max="3" width="9.5703125" customWidth="1"/>
    <col min="4" max="4" width="9.85546875" customWidth="1"/>
    <col min="5" max="5" width="10.140625" customWidth="1"/>
    <col min="6" max="6" width="10.7109375" customWidth="1"/>
    <col min="10" max="10" width="11" customWidth="1"/>
    <col min="11" max="11" width="9.7109375" customWidth="1"/>
    <col min="12" max="12" width="10" customWidth="1"/>
    <col min="13" max="13" width="11.42578125" customWidth="1"/>
    <col min="14" max="14" width="9.85546875" customWidth="1"/>
    <col min="15" max="16" width="11" customWidth="1"/>
    <col min="18" max="18" width="10.140625" customWidth="1"/>
    <col min="20" max="20" width="11.5703125" customWidth="1"/>
    <col min="22" max="22" width="11" customWidth="1"/>
  </cols>
  <sheetData>
    <row r="1" spans="1:24" s="23" customFormat="1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171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4" s="2" customFormat="1">
      <c r="A2" s="2" t="str">
        <f>Enter!B2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N2" s="2">
        <v>1.6331778728383843E+17</v>
      </c>
      <c r="O2" s="2">
        <v>-8.7464757658750614E-14</v>
      </c>
      <c r="P2" s="2">
        <v>0</v>
      </c>
      <c r="Q2" s="2">
        <v>-1.6331778728383843E+17</v>
      </c>
    </row>
    <row r="4" spans="1:24" ht="15.75" thickBot="1"/>
    <row r="5" spans="1:24" s="38" customFormat="1">
      <c r="A5" s="51"/>
      <c r="B5" s="83" t="s">
        <v>21</v>
      </c>
      <c r="C5" s="52"/>
      <c r="D5" s="83" t="s">
        <v>22</v>
      </c>
      <c r="E5" s="52"/>
      <c r="F5" s="83" t="s">
        <v>23</v>
      </c>
      <c r="G5" s="52"/>
      <c r="H5" s="83" t="s">
        <v>24</v>
      </c>
      <c r="I5" s="52"/>
      <c r="J5" s="83" t="s">
        <v>25</v>
      </c>
      <c r="K5" s="52"/>
      <c r="L5" s="83" t="s">
        <v>26</v>
      </c>
      <c r="M5" s="54"/>
      <c r="N5" s="83" t="s">
        <v>27</v>
      </c>
      <c r="O5" s="54"/>
      <c r="P5" s="83" t="s">
        <v>28</v>
      </c>
      <c r="Q5" s="52"/>
      <c r="R5" s="83" t="s">
        <v>4</v>
      </c>
      <c r="S5" s="52"/>
      <c r="T5" s="83" t="s">
        <v>5</v>
      </c>
      <c r="U5" s="52"/>
      <c r="V5" s="83" t="s">
        <v>6</v>
      </c>
      <c r="W5" s="54"/>
      <c r="X5" s="84"/>
    </row>
    <row r="6" spans="1:24">
      <c r="A6" s="42">
        <v>99999</v>
      </c>
      <c r="B6" s="28">
        <v>99999</v>
      </c>
      <c r="C6" s="29">
        <v>99999</v>
      </c>
      <c r="D6" s="28">
        <v>99999</v>
      </c>
      <c r="E6" s="29">
        <v>99999</v>
      </c>
      <c r="F6" s="28">
        <v>99999</v>
      </c>
      <c r="G6" s="29">
        <v>99999</v>
      </c>
      <c r="H6" s="28">
        <v>99999</v>
      </c>
      <c r="I6" s="29">
        <v>99999</v>
      </c>
      <c r="J6" s="28">
        <v>99999</v>
      </c>
      <c r="K6" s="29"/>
      <c r="L6" s="28"/>
      <c r="N6" s="28"/>
      <c r="P6" s="28"/>
      <c r="Q6" s="29"/>
      <c r="R6" s="28"/>
      <c r="S6" s="29"/>
      <c r="T6" s="28"/>
      <c r="U6" s="29"/>
      <c r="V6" s="28"/>
      <c r="X6" s="43"/>
    </row>
    <row r="7" spans="1:24">
      <c r="A7" s="42">
        <v>99999</v>
      </c>
      <c r="B7" s="28">
        <v>99999</v>
      </c>
      <c r="C7" s="29">
        <v>99999</v>
      </c>
      <c r="D7" s="28">
        <v>99999</v>
      </c>
      <c r="E7" s="29">
        <v>99999</v>
      </c>
      <c r="F7" s="28">
        <v>99999</v>
      </c>
      <c r="G7" s="29">
        <v>99999</v>
      </c>
      <c r="H7" s="28">
        <v>99999</v>
      </c>
      <c r="I7" s="29">
        <v>99999</v>
      </c>
      <c r="J7" s="28">
        <v>99999</v>
      </c>
      <c r="K7" s="29">
        <v>99999</v>
      </c>
      <c r="L7" s="28">
        <v>99999</v>
      </c>
      <c r="M7">
        <v>-102.58696315125469</v>
      </c>
      <c r="N7" s="28">
        <v>-25.463875286672909</v>
      </c>
      <c r="O7">
        <v>-48.691507696109163</v>
      </c>
      <c r="P7" s="28">
        <v>-12.136928999838338</v>
      </c>
      <c r="Q7" s="29">
        <v>-33.671981632642314</v>
      </c>
      <c r="R7" s="28">
        <v>-8.4686934461945835</v>
      </c>
      <c r="S7" s="29"/>
      <c r="T7" s="28"/>
      <c r="U7" s="29"/>
      <c r="V7" s="28"/>
      <c r="X7" s="43"/>
    </row>
    <row r="8" spans="1:24">
      <c r="A8" s="42">
        <v>99999</v>
      </c>
      <c r="B8" s="28">
        <v>99999</v>
      </c>
      <c r="C8" s="29">
        <v>99999</v>
      </c>
      <c r="D8" s="28">
        <v>99999</v>
      </c>
      <c r="E8" s="29">
        <v>99999</v>
      </c>
      <c r="F8" s="28">
        <v>99999</v>
      </c>
      <c r="G8" s="29">
        <v>99999</v>
      </c>
      <c r="H8" s="28">
        <v>99999</v>
      </c>
      <c r="I8" s="29">
        <v>99999</v>
      </c>
      <c r="J8" s="28">
        <v>99999</v>
      </c>
      <c r="K8" s="29">
        <v>-15217.11696796909</v>
      </c>
      <c r="L8" s="28">
        <v>-8396.7155153263102</v>
      </c>
      <c r="M8">
        <v>-91.723167794945098</v>
      </c>
      <c r="N8" s="28">
        <v>-50.627205901669711</v>
      </c>
      <c r="O8">
        <v>-43.626350123076463</v>
      </c>
      <c r="P8" s="28">
        <v>-24.093745274892651</v>
      </c>
      <c r="Q8" s="29">
        <v>-30.10043024139404</v>
      </c>
      <c r="R8" s="28">
        <v>-16.636528101885084</v>
      </c>
      <c r="S8" s="29">
        <v>-23.96450142769412</v>
      </c>
      <c r="T8" s="28">
        <v>-13.257287412615055</v>
      </c>
      <c r="U8" s="29">
        <v>-20.248601428221647</v>
      </c>
      <c r="V8" s="28">
        <v>-11.214658241825164</v>
      </c>
      <c r="X8" s="43"/>
    </row>
    <row r="9" spans="1:24">
      <c r="A9" s="42">
        <v>99999</v>
      </c>
      <c r="B9" s="28">
        <v>99999</v>
      </c>
      <c r="C9" s="29">
        <v>99999</v>
      </c>
      <c r="D9" s="28">
        <v>99999</v>
      </c>
      <c r="E9" s="29">
        <v>99999</v>
      </c>
      <c r="F9" s="28">
        <v>99999</v>
      </c>
      <c r="G9" s="29">
        <v>99999</v>
      </c>
      <c r="H9" s="28">
        <v>99999</v>
      </c>
      <c r="I9" s="29">
        <v>99999</v>
      </c>
      <c r="J9" s="28">
        <v>99999</v>
      </c>
      <c r="K9" s="29">
        <v>-7416.0492932407333</v>
      </c>
      <c r="L9" s="28">
        <v>-7132.2358862547926</v>
      </c>
      <c r="M9">
        <v>-75.170037113517509</v>
      </c>
      <c r="N9" s="28">
        <v>-72.302855813844687</v>
      </c>
      <c r="O9">
        <v>-35.828265726156303</v>
      </c>
      <c r="P9" s="28">
        <v>-34.470867276337515</v>
      </c>
      <c r="Q9" s="29">
        <v>-24.732712409885391</v>
      </c>
      <c r="R9" s="28">
        <v>-23.803796112019114</v>
      </c>
      <c r="S9" s="29">
        <v>-19.69419577452182</v>
      </c>
      <c r="T9" s="28">
        <v>-18.961576083509048</v>
      </c>
      <c r="U9" s="29">
        <v>-16.643825566266091</v>
      </c>
      <c r="V9" s="28">
        <v>-16.031504909481317</v>
      </c>
      <c r="X9" s="43"/>
    </row>
    <row r="10" spans="1:24">
      <c r="A10" s="42">
        <v>99999</v>
      </c>
      <c r="B10" s="28">
        <v>99999</v>
      </c>
      <c r="C10" s="29">
        <v>99999</v>
      </c>
      <c r="D10" s="28">
        <v>99999</v>
      </c>
      <c r="E10" s="29">
        <v>99999</v>
      </c>
      <c r="F10" s="28">
        <v>99999</v>
      </c>
      <c r="G10" s="29">
        <v>99999</v>
      </c>
      <c r="H10" s="28">
        <v>99999</v>
      </c>
      <c r="I10" s="29">
        <v>99999</v>
      </c>
      <c r="J10" s="28">
        <v>99999</v>
      </c>
      <c r="K10" s="29">
        <v>-3959.54060091883</v>
      </c>
      <c r="L10" s="28">
        <v>-6558.6364725184658</v>
      </c>
      <c r="M10">
        <v>-53.709503825745074</v>
      </c>
      <c r="N10" s="28">
        <v>-88.972873515216932</v>
      </c>
      <c r="O10">
        <v>-25.646599819298366</v>
      </c>
      <c r="P10" s="28">
        <v>-42.492682415556175</v>
      </c>
      <c r="Q10" s="29">
        <v>-17.713820966329486</v>
      </c>
      <c r="R10" s="28">
        <v>-29.355934916894736</v>
      </c>
      <c r="S10" s="29">
        <v>-14.109314602439206</v>
      </c>
      <c r="T10" s="28">
        <v>-23.388181693179849</v>
      </c>
      <c r="U10" s="29">
        <v>-11.929068952586416</v>
      </c>
      <c r="V10" s="28">
        <v>-19.779577150147734</v>
      </c>
      <c r="X10" s="43"/>
    </row>
    <row r="11" spans="1:24">
      <c r="A11" s="42">
        <v>99999</v>
      </c>
      <c r="B11" s="28">
        <v>99999</v>
      </c>
      <c r="C11" s="29">
        <v>99999</v>
      </c>
      <c r="D11" s="28">
        <v>99999</v>
      </c>
      <c r="E11" s="29">
        <v>99999</v>
      </c>
      <c r="F11" s="28">
        <v>99999</v>
      </c>
      <c r="G11" s="29">
        <v>99999</v>
      </c>
      <c r="H11" s="28">
        <v>99999</v>
      </c>
      <c r="I11" s="29">
        <v>99999</v>
      </c>
      <c r="J11" s="28">
        <v>99999</v>
      </c>
      <c r="K11" s="29">
        <v>-1722.6943269440424</v>
      </c>
      <c r="L11" s="28">
        <v>-5960.4116356669474</v>
      </c>
      <c r="M11">
        <v>-28.762096596227561</v>
      </c>
      <c r="N11" s="28">
        <v>-99.521948710342812</v>
      </c>
      <c r="O11">
        <v>-13.75752298771194</v>
      </c>
      <c r="P11" s="28">
        <v>-47.610427214671368</v>
      </c>
      <c r="Q11" s="29">
        <v>-9.5072250084298009</v>
      </c>
      <c r="R11" s="28">
        <v>-32.907633964391742</v>
      </c>
      <c r="S11" s="29">
        <v>-7.5749723965610585</v>
      </c>
      <c r="T11" s="28">
        <v>-26.224717920420208</v>
      </c>
      <c r="U11" s="29">
        <v>-6.4073760669293929</v>
      </c>
      <c r="V11" s="28">
        <v>-22.187425992868857</v>
      </c>
      <c r="X11" s="43"/>
    </row>
    <row r="12" spans="1:24">
      <c r="A12" s="42">
        <v>99999</v>
      </c>
      <c r="B12" s="28">
        <v>99999</v>
      </c>
      <c r="C12" s="29">
        <v>99999</v>
      </c>
      <c r="D12" s="28">
        <v>99999</v>
      </c>
      <c r="E12" s="29">
        <v>99999</v>
      </c>
      <c r="F12" s="28">
        <v>99999</v>
      </c>
      <c r="G12" s="29">
        <v>99999</v>
      </c>
      <c r="H12" s="28">
        <v>99999</v>
      </c>
      <c r="I12" s="29">
        <v>99999</v>
      </c>
      <c r="J12" s="28">
        <v>99999</v>
      </c>
      <c r="K12" s="29">
        <v>-102.78070050940602</v>
      </c>
      <c r="L12" s="28">
        <v>-5255.7663008985865</v>
      </c>
      <c r="M12">
        <v>-2.0193018136506407</v>
      </c>
      <c r="N12" s="28">
        <v>-103.26517855147145</v>
      </c>
      <c r="O12">
        <v>-0.96744593921491362</v>
      </c>
      <c r="P12" s="28">
        <v>-49.481022925251736</v>
      </c>
      <c r="Q12" s="29">
        <v>-0.66890838955395227</v>
      </c>
      <c r="R12" s="28">
        <v>-34.217974335770101</v>
      </c>
      <c r="S12" s="29">
        <v>-0.53312551761601079</v>
      </c>
      <c r="T12" s="28">
        <v>-27.277096791427404</v>
      </c>
      <c r="U12" s="29">
        <v>-0.45116142648819296</v>
      </c>
      <c r="V12" s="28">
        <v>-23.088241275845181</v>
      </c>
      <c r="X12" s="43"/>
    </row>
    <row r="13" spans="1:24">
      <c r="A13" s="42">
        <v>99999</v>
      </c>
      <c r="B13" s="28">
        <v>99999</v>
      </c>
      <c r="C13" s="29">
        <v>99999</v>
      </c>
      <c r="D13" s="28">
        <v>99999</v>
      </c>
      <c r="E13" s="29">
        <v>99999</v>
      </c>
      <c r="F13" s="28">
        <v>99999</v>
      </c>
      <c r="G13" s="29">
        <v>99999</v>
      </c>
      <c r="H13" s="28">
        <v>99999</v>
      </c>
      <c r="I13" s="29">
        <v>99999</v>
      </c>
      <c r="J13" s="28">
        <v>99999</v>
      </c>
      <c r="K13" s="29">
        <v>1100.532107068015</v>
      </c>
      <c r="L13" s="28">
        <v>-4453.7458455921587</v>
      </c>
      <c r="M13">
        <v>24.705237051509865</v>
      </c>
      <c r="N13" s="28">
        <v>-99.986536886713353</v>
      </c>
      <c r="O13">
        <v>11.854714604884187</v>
      </c>
      <c r="P13" s="28">
        <v>-47.985059555054718</v>
      </c>
      <c r="Q13" s="29">
        <v>8.2007476049750423</v>
      </c>
      <c r="R13" s="28">
        <v>-33.200760390449219</v>
      </c>
      <c r="S13" s="29">
        <v>6.5381230268016592</v>
      </c>
      <c r="T13" s="28">
        <v>-26.474817179109525</v>
      </c>
      <c r="U13" s="29">
        <v>5.535571544106701</v>
      </c>
      <c r="V13" s="28">
        <v>-22.42008406688398</v>
      </c>
      <c r="X13" s="43"/>
    </row>
    <row r="14" spans="1:24">
      <c r="A14" s="42">
        <v>99999</v>
      </c>
      <c r="B14" s="28">
        <v>99999</v>
      </c>
      <c r="C14" s="29">
        <v>99999</v>
      </c>
      <c r="D14" s="28">
        <v>99999</v>
      </c>
      <c r="E14" s="29">
        <v>99999</v>
      </c>
      <c r="F14" s="28">
        <v>99999</v>
      </c>
      <c r="G14" s="29">
        <v>99999</v>
      </c>
      <c r="H14" s="28">
        <v>99999</v>
      </c>
      <c r="I14" s="29">
        <v>99999</v>
      </c>
      <c r="J14" s="28">
        <v>99999</v>
      </c>
      <c r="K14" s="29">
        <v>1977.7814269556936</v>
      </c>
      <c r="L14" s="28">
        <v>-3585.7744210193441</v>
      </c>
      <c r="M14">
        <v>49.608875526000652</v>
      </c>
      <c r="N14" s="28">
        <v>-89.949830771747713</v>
      </c>
      <c r="O14">
        <v>23.839946369836031</v>
      </c>
      <c r="P14" s="28">
        <v>-43.233581847215213</v>
      </c>
      <c r="Q14" s="29">
        <v>16.500065689968398</v>
      </c>
      <c r="R14" s="28">
        <v>-29.929337673852672</v>
      </c>
      <c r="S14" s="29">
        <v>13.159031595280494</v>
      </c>
      <c r="T14" s="28">
        <v>-23.874697284030521</v>
      </c>
      <c r="U14" s="29">
        <v>11.14665630188418</v>
      </c>
      <c r="V14" s="28">
        <v>-20.228926114994646</v>
      </c>
      <c r="X14" s="43"/>
    </row>
    <row r="15" spans="1:24">
      <c r="A15" s="42">
        <v>99999</v>
      </c>
      <c r="B15" s="28">
        <v>99999</v>
      </c>
      <c r="C15" s="29">
        <v>99999</v>
      </c>
      <c r="D15" s="28">
        <v>99999</v>
      </c>
      <c r="E15" s="29">
        <v>99999</v>
      </c>
      <c r="F15" s="28">
        <v>99999</v>
      </c>
      <c r="G15" s="29">
        <v>99999</v>
      </c>
      <c r="H15" s="28">
        <v>99999</v>
      </c>
      <c r="I15" s="29">
        <v>99999</v>
      </c>
      <c r="J15" s="28">
        <v>99999</v>
      </c>
      <c r="K15" s="29">
        <v>2586.5529136570881</v>
      </c>
      <c r="L15" s="28">
        <v>-2689.9375118202879</v>
      </c>
      <c r="M15">
        <v>71.030519005949898</v>
      </c>
      <c r="N15" s="28">
        <v>-73.87871882025361</v>
      </c>
      <c r="O15">
        <v>34.18103802844513</v>
      </c>
      <c r="P15" s="28">
        <v>-35.560457545452117</v>
      </c>
      <c r="Q15" s="29">
        <v>23.668929787819405</v>
      </c>
      <c r="R15" s="28">
        <v>-24.631907863002887</v>
      </c>
      <c r="S15" s="29">
        <v>18.882552143981862</v>
      </c>
      <c r="T15" s="28">
        <v>-19.657541451861388</v>
      </c>
      <c r="U15" s="29">
        <v>16.003059485825677</v>
      </c>
      <c r="V15" s="28">
        <v>-16.666320963585367</v>
      </c>
      <c r="X15" s="43"/>
    </row>
    <row r="16" spans="1:24">
      <c r="A16" s="42">
        <v>99999</v>
      </c>
      <c r="B16" s="28">
        <v>99999</v>
      </c>
      <c r="C16" s="29">
        <v>99999</v>
      </c>
      <c r="D16" s="28">
        <v>99999</v>
      </c>
      <c r="E16" s="29">
        <v>99999</v>
      </c>
      <c r="F16" s="28">
        <v>99999</v>
      </c>
      <c r="G16" s="29">
        <v>99999</v>
      </c>
      <c r="H16" s="28">
        <v>99999</v>
      </c>
      <c r="I16" s="29">
        <v>99999</v>
      </c>
      <c r="J16" s="28">
        <v>99999</v>
      </c>
      <c r="K16" s="29">
        <v>2990.1737201768146</v>
      </c>
      <c r="L16" s="28">
        <v>-1805.8297685772247</v>
      </c>
      <c r="M16">
        <v>87.587138447124943</v>
      </c>
      <c r="N16" s="28">
        <v>-52.90919323591045</v>
      </c>
      <c r="O16">
        <v>42.196852382494953</v>
      </c>
      <c r="P16" s="28">
        <v>-25.502727609678328</v>
      </c>
      <c r="Q16" s="29">
        <v>29.234366268719675</v>
      </c>
      <c r="R16" s="28">
        <v>-17.680060462475385</v>
      </c>
      <c r="S16" s="29">
        <v>23.332332646125629</v>
      </c>
      <c r="T16" s="28">
        <v>-14.121310979357217</v>
      </c>
      <c r="U16" s="29">
        <v>19.787307184845808</v>
      </c>
      <c r="V16" s="28">
        <v>-11.986730657163774</v>
      </c>
      <c r="X16" s="43"/>
    </row>
    <row r="17" spans="1:26">
      <c r="A17" s="42">
        <v>99999</v>
      </c>
      <c r="B17" s="28">
        <v>99999</v>
      </c>
      <c r="C17" s="29">
        <v>99999</v>
      </c>
      <c r="D17" s="28">
        <v>99999</v>
      </c>
      <c r="E17" s="29">
        <v>99999</v>
      </c>
      <c r="F17" s="28">
        <v>99999</v>
      </c>
      <c r="G17" s="29">
        <v>99999</v>
      </c>
      <c r="H17" s="28">
        <v>99999</v>
      </c>
      <c r="I17" s="29">
        <v>99999</v>
      </c>
      <c r="J17" s="28">
        <v>99999</v>
      </c>
      <c r="K17" s="29">
        <v>3366.3426513183063</v>
      </c>
      <c r="L17" s="28">
        <v>-974.84058855508476</v>
      </c>
      <c r="M17">
        <v>98.439748583752078</v>
      </c>
      <c r="N17" s="28">
        <v>-28.541140264358777</v>
      </c>
      <c r="O17">
        <v>47.470259255527637</v>
      </c>
      <c r="P17" s="28">
        <v>-13.799927306983511</v>
      </c>
      <c r="Q17" s="29">
        <v>32.94863916481691</v>
      </c>
      <c r="R17" s="28">
        <v>-9.625085724710198</v>
      </c>
      <c r="S17" s="29">
        <v>26.39252185012506</v>
      </c>
      <c r="T17" s="28">
        <v>-7.7813970495834868</v>
      </c>
      <c r="U17" s="29"/>
      <c r="V17" s="28"/>
      <c r="X17" s="43"/>
    </row>
    <row r="18" spans="1:26" ht="15.75" thickBot="1">
      <c r="A18" s="42">
        <v>99999</v>
      </c>
      <c r="B18" s="28">
        <v>99999</v>
      </c>
      <c r="C18" s="29">
        <v>99999</v>
      </c>
      <c r="D18" s="28">
        <v>99999</v>
      </c>
      <c r="E18" s="29">
        <v>99999</v>
      </c>
      <c r="F18" s="28">
        <v>99999</v>
      </c>
      <c r="G18" s="29">
        <v>99999</v>
      </c>
      <c r="H18" s="28">
        <v>99999</v>
      </c>
      <c r="I18" s="29">
        <v>99999</v>
      </c>
      <c r="J18" s="28">
        <v>99999</v>
      </c>
      <c r="K18" s="29">
        <v>29800.644885910293</v>
      </c>
      <c r="L18" s="28">
        <v>-713.63768300932668</v>
      </c>
      <c r="N18" s="46"/>
      <c r="P18" s="28"/>
      <c r="Q18" s="29"/>
      <c r="R18" s="28"/>
      <c r="S18" s="29"/>
      <c r="T18" s="28"/>
      <c r="U18" s="29"/>
      <c r="V18" s="28"/>
      <c r="X18" s="43"/>
    </row>
    <row r="19" spans="1:26" s="6" customFormat="1">
      <c r="A19" s="39"/>
      <c r="B19" s="45">
        <v>6</v>
      </c>
      <c r="C19" s="47"/>
      <c r="D19" s="45">
        <v>7</v>
      </c>
      <c r="E19" s="47"/>
      <c r="F19" s="45">
        <v>8</v>
      </c>
      <c r="G19" s="47"/>
      <c r="H19" s="45">
        <v>9</v>
      </c>
      <c r="I19" s="47"/>
      <c r="J19" s="45">
        <v>10</v>
      </c>
      <c r="K19" s="47"/>
      <c r="L19" s="45">
        <v>11</v>
      </c>
      <c r="M19" s="47"/>
      <c r="N19" s="45">
        <v>12</v>
      </c>
      <c r="O19" s="47"/>
      <c r="P19" s="45">
        <v>13</v>
      </c>
      <c r="Q19" s="47"/>
      <c r="R19" s="45">
        <v>14</v>
      </c>
      <c r="S19" s="47"/>
      <c r="T19" s="45">
        <v>15</v>
      </c>
      <c r="U19" s="47"/>
      <c r="V19" s="45">
        <v>16</v>
      </c>
      <c r="W19" s="47"/>
      <c r="X19" s="45"/>
      <c r="Y19" s="40"/>
      <c r="Z19" s="41"/>
    </row>
    <row r="20" spans="1:26">
      <c r="A20" s="42">
        <v>99999</v>
      </c>
      <c r="B20" s="28">
        <v>99999</v>
      </c>
      <c r="C20" s="29">
        <v>99999</v>
      </c>
      <c r="D20" s="28">
        <v>99999</v>
      </c>
      <c r="E20" s="29">
        <v>99999</v>
      </c>
      <c r="F20" s="28">
        <v>99999</v>
      </c>
      <c r="G20" s="29">
        <v>99999</v>
      </c>
      <c r="H20" s="28">
        <v>99999</v>
      </c>
      <c r="I20" s="29">
        <v>99999</v>
      </c>
      <c r="J20" s="28">
        <v>99999</v>
      </c>
      <c r="K20" s="29">
        <v>99999</v>
      </c>
      <c r="L20" s="28">
        <v>99999</v>
      </c>
      <c r="M20" s="29">
        <v>99999</v>
      </c>
      <c r="N20" s="28">
        <v>99999</v>
      </c>
      <c r="O20" s="29">
        <v>99999</v>
      </c>
      <c r="P20" s="28">
        <v>99999</v>
      </c>
      <c r="Q20" s="29">
        <v>99999</v>
      </c>
      <c r="R20" s="28">
        <v>99999</v>
      </c>
      <c r="S20" s="29">
        <v>99999</v>
      </c>
      <c r="T20" s="28">
        <v>99999</v>
      </c>
      <c r="U20" s="29">
        <v>99999</v>
      </c>
      <c r="V20" s="28">
        <v>99999</v>
      </c>
      <c r="W20" s="29"/>
      <c r="X20" s="28"/>
      <c r="Z20" s="43"/>
    </row>
    <row r="21" spans="1:26">
      <c r="A21" s="42">
        <v>99999</v>
      </c>
      <c r="B21" s="28">
        <v>99999</v>
      </c>
      <c r="C21" s="29">
        <v>99999</v>
      </c>
      <c r="D21" s="28">
        <v>99999</v>
      </c>
      <c r="E21" s="29">
        <v>99999</v>
      </c>
      <c r="F21" s="28">
        <v>99999</v>
      </c>
      <c r="G21" s="29">
        <v>99999</v>
      </c>
      <c r="H21" s="28">
        <v>99999</v>
      </c>
      <c r="I21" s="29">
        <v>99999</v>
      </c>
      <c r="J21" s="28">
        <v>99999</v>
      </c>
      <c r="K21" s="29">
        <v>99999</v>
      </c>
      <c r="L21" s="28">
        <v>99999</v>
      </c>
      <c r="M21" s="29">
        <v>99999</v>
      </c>
      <c r="N21" s="28">
        <v>99999</v>
      </c>
      <c r="O21" s="29">
        <v>99999</v>
      </c>
      <c r="P21" s="28">
        <v>99999</v>
      </c>
      <c r="Q21" s="29">
        <v>99999</v>
      </c>
      <c r="R21" s="28">
        <v>99999</v>
      </c>
      <c r="S21" s="29">
        <v>99999</v>
      </c>
      <c r="T21" s="28">
        <v>99999</v>
      </c>
      <c r="U21" s="29">
        <v>99999</v>
      </c>
      <c r="V21" s="28">
        <v>99999</v>
      </c>
      <c r="W21" s="29"/>
      <c r="X21" s="28"/>
      <c r="Z21" s="43"/>
    </row>
    <row r="22" spans="1:26">
      <c r="A22" s="42">
        <v>99999</v>
      </c>
      <c r="B22" s="28">
        <v>99999</v>
      </c>
      <c r="C22" s="29">
        <v>99999</v>
      </c>
      <c r="D22" s="28">
        <v>99999</v>
      </c>
      <c r="E22" s="29">
        <v>99999</v>
      </c>
      <c r="F22" s="28">
        <v>99999</v>
      </c>
      <c r="G22" s="29">
        <v>99999</v>
      </c>
      <c r="H22" s="28">
        <v>99999</v>
      </c>
      <c r="I22" s="29">
        <v>99999</v>
      </c>
      <c r="J22" s="28">
        <v>99999</v>
      </c>
      <c r="K22" s="29">
        <v>99999</v>
      </c>
      <c r="L22" s="28">
        <v>99999</v>
      </c>
      <c r="M22" s="29">
        <v>99999</v>
      </c>
      <c r="N22" s="28">
        <v>99999</v>
      </c>
      <c r="O22" s="29">
        <v>99999</v>
      </c>
      <c r="P22" s="28">
        <v>99999</v>
      </c>
      <c r="Q22" s="29">
        <v>99999</v>
      </c>
      <c r="R22" s="28">
        <v>99999</v>
      </c>
      <c r="S22" s="29">
        <v>99999</v>
      </c>
      <c r="T22" s="28">
        <v>99999</v>
      </c>
      <c r="U22" s="29">
        <v>99999</v>
      </c>
      <c r="V22" s="28">
        <v>99999</v>
      </c>
      <c r="W22" s="29"/>
      <c r="X22" s="28"/>
      <c r="Z22" s="43"/>
    </row>
    <row r="23" spans="1:26">
      <c r="A23" s="42">
        <v>99999</v>
      </c>
      <c r="B23" s="28">
        <v>99999</v>
      </c>
      <c r="C23" s="29">
        <v>99999</v>
      </c>
      <c r="D23" s="28">
        <v>99999</v>
      </c>
      <c r="E23" s="29">
        <v>99999</v>
      </c>
      <c r="F23" s="28">
        <v>99999</v>
      </c>
      <c r="G23" s="29">
        <v>99999</v>
      </c>
      <c r="H23" s="28">
        <v>99999</v>
      </c>
      <c r="I23" s="29">
        <v>99999</v>
      </c>
      <c r="J23" s="28">
        <v>99999</v>
      </c>
      <c r="K23" s="29">
        <v>99999</v>
      </c>
      <c r="L23" s="28">
        <v>99999</v>
      </c>
      <c r="M23" s="29">
        <v>99999</v>
      </c>
      <c r="N23" s="28">
        <v>99999</v>
      </c>
      <c r="O23" s="29">
        <v>99999</v>
      </c>
      <c r="P23" s="28">
        <v>99999</v>
      </c>
      <c r="Q23" s="29">
        <v>99999</v>
      </c>
      <c r="R23" s="28">
        <v>99999</v>
      </c>
      <c r="S23" s="29">
        <v>99999</v>
      </c>
      <c r="T23" s="28">
        <v>99999</v>
      </c>
      <c r="U23" s="29">
        <v>99999</v>
      </c>
      <c r="V23" s="28">
        <v>99999</v>
      </c>
      <c r="W23" s="29"/>
      <c r="X23" s="28"/>
      <c r="Z23" s="43"/>
    </row>
    <row r="24" spans="1:26">
      <c r="A24" s="42">
        <v>99999</v>
      </c>
      <c r="B24" s="28">
        <v>99999</v>
      </c>
      <c r="C24" s="29">
        <v>99999</v>
      </c>
      <c r="D24" s="28">
        <v>99999</v>
      </c>
      <c r="E24" s="29">
        <v>99999</v>
      </c>
      <c r="F24" s="28">
        <v>99999</v>
      </c>
      <c r="G24" s="29">
        <v>99999</v>
      </c>
      <c r="H24" s="28">
        <v>99999</v>
      </c>
      <c r="I24" s="29">
        <v>99999</v>
      </c>
      <c r="J24" s="28">
        <v>99999</v>
      </c>
      <c r="K24" s="29">
        <v>99999</v>
      </c>
      <c r="L24" s="28">
        <v>99999</v>
      </c>
      <c r="M24" s="29">
        <v>99999</v>
      </c>
      <c r="N24" s="28">
        <v>99999</v>
      </c>
      <c r="O24" s="29">
        <v>99999</v>
      </c>
      <c r="P24" s="28">
        <v>99999</v>
      </c>
      <c r="Q24" s="29">
        <v>99999</v>
      </c>
      <c r="R24" s="28">
        <v>99999</v>
      </c>
      <c r="S24" s="29">
        <v>99999</v>
      </c>
      <c r="T24" s="28">
        <v>99999</v>
      </c>
      <c r="U24" s="29">
        <v>99999</v>
      </c>
      <c r="V24" s="28">
        <v>99999</v>
      </c>
      <c r="W24" s="29"/>
      <c r="X24" s="28"/>
      <c r="Z24" s="43"/>
    </row>
    <row r="25" spans="1:26">
      <c r="A25" s="42">
        <v>0</v>
      </c>
      <c r="B25" s="28">
        <v>0</v>
      </c>
      <c r="C25" s="29">
        <v>99999</v>
      </c>
      <c r="D25" s="28">
        <v>99999</v>
      </c>
      <c r="E25" s="29">
        <v>-15217.11696796909</v>
      </c>
      <c r="F25" s="28">
        <v>-8396.7155153263102</v>
      </c>
      <c r="G25" s="29">
        <v>-7416.0492932407333</v>
      </c>
      <c r="H25" s="28">
        <v>-7132.2358862547926</v>
      </c>
      <c r="I25" s="29">
        <v>-3959.54060091883</v>
      </c>
      <c r="J25" s="28">
        <v>-6558.6364725184658</v>
      </c>
      <c r="K25" s="29">
        <v>-1722.6943269440424</v>
      </c>
      <c r="L25" s="28">
        <v>-5960.4116356669474</v>
      </c>
      <c r="M25" s="29">
        <v>-102.78070050940602</v>
      </c>
      <c r="N25" s="28">
        <v>-5255.7663008985865</v>
      </c>
      <c r="O25" s="29">
        <v>1100.532107068015</v>
      </c>
      <c r="P25" s="28">
        <v>-4453.7458455921587</v>
      </c>
      <c r="Q25" s="29">
        <v>1977.7814269556936</v>
      </c>
      <c r="R25" s="28">
        <v>-3585.7744210193441</v>
      </c>
      <c r="S25" s="29">
        <v>2586.5529136570881</v>
      </c>
      <c r="T25" s="28">
        <v>-2689.9375118202879</v>
      </c>
      <c r="U25" s="29">
        <v>2990.1737201768146</v>
      </c>
      <c r="V25" s="28">
        <v>-1805.8297685772247</v>
      </c>
      <c r="W25" s="29"/>
      <c r="X25" s="28"/>
      <c r="Z25" s="43"/>
    </row>
    <row r="26" spans="1:26">
      <c r="A26" s="42">
        <v>0</v>
      </c>
      <c r="B26" s="28">
        <v>0</v>
      </c>
      <c r="C26" s="29">
        <v>-102.58696315125469</v>
      </c>
      <c r="D26" s="28">
        <v>-25.463875286672909</v>
      </c>
      <c r="E26" s="29">
        <v>-91.723167794945098</v>
      </c>
      <c r="F26" s="28">
        <v>-50.627205901669711</v>
      </c>
      <c r="G26" s="29">
        <v>-75.170037113517509</v>
      </c>
      <c r="H26" s="28">
        <v>-72.302855813844687</v>
      </c>
      <c r="I26" s="29">
        <v>-53.709503825745074</v>
      </c>
      <c r="J26" s="28">
        <v>-88.972873515216932</v>
      </c>
      <c r="K26" s="29">
        <v>-28.762096596227561</v>
      </c>
      <c r="L26" s="28">
        <v>-99.521948710342812</v>
      </c>
      <c r="M26" s="29">
        <v>-2.0193018136506407</v>
      </c>
      <c r="N26" s="28">
        <v>-103.26517855147145</v>
      </c>
      <c r="O26" s="29">
        <v>24.705237051509865</v>
      </c>
      <c r="P26" s="28">
        <v>-99.986536886713353</v>
      </c>
      <c r="Q26" s="29">
        <v>49.608875526000652</v>
      </c>
      <c r="R26" s="28">
        <v>-89.949830771747713</v>
      </c>
      <c r="S26" s="29">
        <v>71.030519005949898</v>
      </c>
      <c r="T26" s="28">
        <v>-73.87871882025361</v>
      </c>
      <c r="U26" s="29">
        <v>87.587138447124943</v>
      </c>
      <c r="V26" s="28">
        <v>-52.90919323591045</v>
      </c>
      <c r="W26" s="29"/>
      <c r="X26" s="28"/>
      <c r="Z26" s="43"/>
    </row>
    <row r="27" spans="1:26">
      <c r="A27" s="42">
        <v>0</v>
      </c>
      <c r="B27" s="28">
        <v>0</v>
      </c>
      <c r="C27" s="29">
        <v>-48.691507696109163</v>
      </c>
      <c r="D27" s="28">
        <v>-12.136928999838338</v>
      </c>
      <c r="E27" s="29">
        <v>-43.626350123076463</v>
      </c>
      <c r="F27" s="28">
        <v>-24.093745274892651</v>
      </c>
      <c r="G27" s="29">
        <v>-35.828265726156303</v>
      </c>
      <c r="H27" s="28">
        <v>-34.470867276337515</v>
      </c>
      <c r="I27" s="29">
        <v>-25.646599819298366</v>
      </c>
      <c r="J27" s="28">
        <v>-42.492682415556175</v>
      </c>
      <c r="K27" s="29">
        <v>-13.75752298771194</v>
      </c>
      <c r="L27" s="28">
        <v>-47.610427214671368</v>
      </c>
      <c r="M27" s="29">
        <v>-0.96744593921491362</v>
      </c>
      <c r="N27" s="28">
        <v>-49.481022925251736</v>
      </c>
      <c r="O27" s="29">
        <v>11.854714604884187</v>
      </c>
      <c r="P27" s="28">
        <v>-47.985059555054718</v>
      </c>
      <c r="Q27" s="29">
        <v>23.839946369836031</v>
      </c>
      <c r="R27" s="28">
        <v>-43.233581847215213</v>
      </c>
      <c r="S27" s="29">
        <v>34.18103802844513</v>
      </c>
      <c r="T27" s="28">
        <v>-35.560457545452117</v>
      </c>
      <c r="U27" s="29">
        <v>42.196852382494953</v>
      </c>
      <c r="V27" s="28">
        <v>-25.502727609678328</v>
      </c>
      <c r="W27" s="29"/>
      <c r="X27" s="28"/>
      <c r="Z27" s="43"/>
    </row>
    <row r="28" spans="1:26">
      <c r="A28" s="42">
        <v>0</v>
      </c>
      <c r="B28" s="28">
        <v>0</v>
      </c>
      <c r="C28" s="29">
        <v>-33.671981632642314</v>
      </c>
      <c r="D28" s="28">
        <v>-8.4686934461945835</v>
      </c>
      <c r="E28" s="29">
        <v>-30.10043024139404</v>
      </c>
      <c r="F28" s="28">
        <v>-16.636528101885084</v>
      </c>
      <c r="G28" s="29">
        <v>-24.732712409885391</v>
      </c>
      <c r="H28" s="28">
        <v>-23.803796112019114</v>
      </c>
      <c r="I28" s="29">
        <v>-17.713820966329486</v>
      </c>
      <c r="J28" s="28">
        <v>-29.355934916894736</v>
      </c>
      <c r="K28" s="29">
        <v>-9.5072250084298009</v>
      </c>
      <c r="L28" s="28">
        <v>-32.907633964391742</v>
      </c>
      <c r="M28" s="29">
        <v>-0.66890838955395227</v>
      </c>
      <c r="N28" s="28">
        <v>-34.217974335770101</v>
      </c>
      <c r="O28" s="29">
        <v>8.2007476049750423</v>
      </c>
      <c r="P28" s="28">
        <v>-33.200760390449219</v>
      </c>
      <c r="Q28" s="29">
        <v>16.500065689968398</v>
      </c>
      <c r="R28" s="28">
        <v>-29.929337673852672</v>
      </c>
      <c r="S28" s="29">
        <v>23.668929787819405</v>
      </c>
      <c r="T28" s="28">
        <v>-24.631907863002887</v>
      </c>
      <c r="U28" s="29">
        <v>29.234366268719675</v>
      </c>
      <c r="V28" s="28">
        <v>-17.680060462475385</v>
      </c>
      <c r="W28" s="29"/>
      <c r="X28" s="28"/>
      <c r="Z28" s="43"/>
    </row>
    <row r="29" spans="1:26">
      <c r="A29" s="42">
        <v>0</v>
      </c>
      <c r="B29" s="28">
        <v>0</v>
      </c>
      <c r="C29" s="29">
        <v>0</v>
      </c>
      <c r="D29" s="28">
        <v>0</v>
      </c>
      <c r="E29" s="29">
        <v>-23.96450142769412</v>
      </c>
      <c r="F29" s="28">
        <v>-13.257287412615055</v>
      </c>
      <c r="G29" s="29">
        <v>-19.69419577452182</v>
      </c>
      <c r="H29" s="28">
        <v>-18.961576083509048</v>
      </c>
      <c r="I29" s="29">
        <v>-14.109314602439206</v>
      </c>
      <c r="J29" s="28">
        <v>-23.388181693179849</v>
      </c>
      <c r="K29" s="29">
        <v>-7.5749723965610585</v>
      </c>
      <c r="L29" s="28">
        <v>-26.224717920420208</v>
      </c>
      <c r="M29" s="29">
        <v>-0.53312551761601079</v>
      </c>
      <c r="N29" s="28">
        <v>-27.277096791427404</v>
      </c>
      <c r="O29" s="29">
        <v>6.5381230268016592</v>
      </c>
      <c r="P29" s="28">
        <v>-26.474817179109525</v>
      </c>
      <c r="Q29" s="29">
        <v>13.159031595280494</v>
      </c>
      <c r="R29" s="28">
        <v>-23.874697284030521</v>
      </c>
      <c r="S29" s="29">
        <v>18.882552143981862</v>
      </c>
      <c r="T29" s="28">
        <v>-19.657541451861388</v>
      </c>
      <c r="U29" s="29">
        <v>23.332332646125629</v>
      </c>
      <c r="V29" s="28">
        <v>-14.121310979357217</v>
      </c>
      <c r="W29" s="29"/>
      <c r="X29" s="28"/>
      <c r="Z29" s="43"/>
    </row>
    <row r="30" spans="1:26">
      <c r="A30" s="42">
        <v>0</v>
      </c>
      <c r="B30" s="28">
        <v>0</v>
      </c>
      <c r="C30" s="29">
        <v>0</v>
      </c>
      <c r="D30" s="28">
        <v>0</v>
      </c>
      <c r="E30" s="29">
        <v>-20.248601428221647</v>
      </c>
      <c r="F30" s="28">
        <v>-11.214658241825164</v>
      </c>
      <c r="G30" s="29">
        <v>-16.643825566266091</v>
      </c>
      <c r="H30" s="28">
        <v>-16.031504909481317</v>
      </c>
      <c r="I30" s="29">
        <v>-11.929068952586416</v>
      </c>
      <c r="J30" s="28">
        <v>-19.779577150147734</v>
      </c>
      <c r="K30" s="29">
        <v>-6.4073760669293929</v>
      </c>
      <c r="L30" s="28">
        <v>-22.187425992868857</v>
      </c>
      <c r="M30" s="29">
        <v>-0.45116142648819296</v>
      </c>
      <c r="N30" s="28">
        <v>-23.088241275845181</v>
      </c>
      <c r="O30" s="29">
        <v>5.535571544106701</v>
      </c>
      <c r="P30" s="28">
        <v>-22.42008406688398</v>
      </c>
      <c r="Q30" s="29">
        <v>11.14665630188418</v>
      </c>
      <c r="R30" s="28">
        <v>-20.228926114994646</v>
      </c>
      <c r="S30" s="29">
        <v>16.003059485825677</v>
      </c>
      <c r="T30" s="28">
        <v>-16.666320963585367</v>
      </c>
      <c r="U30" s="29">
        <v>19.787307184845808</v>
      </c>
      <c r="V30" s="28">
        <v>-11.986730657163774</v>
      </c>
      <c r="W30" s="29"/>
      <c r="X30" s="28"/>
      <c r="Z30" s="43"/>
    </row>
    <row r="31" spans="1:26" ht="15.75" thickBot="1">
      <c r="A31" s="44"/>
      <c r="B31" s="46"/>
      <c r="C31" s="48"/>
      <c r="D31" s="46"/>
      <c r="E31" s="48"/>
      <c r="F31" s="46"/>
      <c r="G31" s="48"/>
      <c r="H31" s="46"/>
      <c r="I31" s="48"/>
      <c r="J31" s="46"/>
      <c r="K31" s="48"/>
      <c r="L31" s="46"/>
      <c r="M31" s="48"/>
      <c r="N31" s="46"/>
      <c r="O31" s="48"/>
      <c r="P31" s="46"/>
      <c r="Q31" s="48"/>
      <c r="R31" s="46"/>
      <c r="S31" s="48"/>
      <c r="T31" s="46"/>
      <c r="U31" s="48"/>
      <c r="V31" s="46"/>
      <c r="W31" s="48"/>
      <c r="X31" s="46"/>
      <c r="Y31" s="4"/>
      <c r="Z31" s="2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740B5-1BA1-4F56-B199-3C7F1D90B163}">
  <sheetPr codeName="Sheet4"/>
  <dimension ref="A1:V30"/>
  <sheetViews>
    <sheetView workbookViewId="0">
      <selection activeCell="A5" sqref="A5"/>
    </sheetView>
  </sheetViews>
  <sheetFormatPr defaultRowHeight="15"/>
  <cols>
    <col min="2" max="2" width="10.5703125" customWidth="1"/>
    <col min="6" max="6" width="9.85546875" customWidth="1"/>
    <col min="10" max="10" width="10" customWidth="1"/>
    <col min="12" max="12" width="9.85546875" customWidth="1"/>
    <col min="14" max="14" width="9.85546875" customWidth="1"/>
    <col min="16" max="16" width="11" customWidth="1"/>
    <col min="18" max="18" width="10" customWidth="1"/>
    <col min="20" max="20" width="10.5703125" customWidth="1"/>
    <col min="22" max="22" width="10.7109375" customWidth="1"/>
  </cols>
  <sheetData>
    <row r="1" spans="1:22" ht="30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181</v>
      </c>
      <c r="H1" s="8"/>
      <c r="I1" s="8"/>
      <c r="J1" s="8"/>
      <c r="K1" s="257" t="s">
        <v>83</v>
      </c>
      <c r="L1" s="257" t="s">
        <v>84</v>
      </c>
      <c r="M1" s="257" t="s">
        <v>82</v>
      </c>
      <c r="N1" s="257" t="s">
        <v>165</v>
      </c>
      <c r="O1" s="258" t="s">
        <v>167</v>
      </c>
      <c r="P1" s="258" t="s">
        <v>172</v>
      </c>
      <c r="Q1" s="257" t="s">
        <v>168</v>
      </c>
      <c r="R1" s="257" t="s">
        <v>169</v>
      </c>
    </row>
    <row r="2" spans="1:22">
      <c r="A2" t="str">
        <f>Enter!B2</f>
        <v>Tehran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45</v>
      </c>
      <c r="M2">
        <v>10</v>
      </c>
      <c r="N2">
        <v>65.352255039986019</v>
      </c>
      <c r="O2">
        <v>8.8018014915812959</v>
      </c>
      <c r="P2">
        <v>40.99870092499075</v>
      </c>
      <c r="Q2">
        <v>-49.900137888331926</v>
      </c>
    </row>
    <row r="5" spans="1:22" s="6" customFormat="1">
      <c r="B5" s="93">
        <v>45098</v>
      </c>
      <c r="D5" s="93">
        <v>45020</v>
      </c>
      <c r="F5" s="93">
        <v>45036</v>
      </c>
      <c r="H5" s="93">
        <v>45051</v>
      </c>
      <c r="J5" s="93">
        <v>45067</v>
      </c>
      <c r="L5" s="93">
        <v>45192</v>
      </c>
      <c r="N5" s="93">
        <v>45207</v>
      </c>
      <c r="P5" s="93">
        <v>45223</v>
      </c>
      <c r="R5" s="93">
        <v>45238</v>
      </c>
      <c r="T5" s="93">
        <v>45253</v>
      </c>
      <c r="V5" s="93">
        <v>45282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-101.95204270297488</v>
      </c>
      <c r="B7">
        <v>-180.09368263371439</v>
      </c>
      <c r="C7">
        <v>99999</v>
      </c>
      <c r="D7">
        <v>99999</v>
      </c>
      <c r="E7">
        <v>99999</v>
      </c>
      <c r="F7">
        <v>99999</v>
      </c>
      <c r="G7">
        <v>-549.23065924806099</v>
      </c>
      <c r="H7">
        <v>-743.10012241400648</v>
      </c>
      <c r="I7">
        <v>-172.84087736857555</v>
      </c>
      <c r="J7">
        <v>-269.35093518638979</v>
      </c>
      <c r="K7">
        <v>99999</v>
      </c>
      <c r="L7">
        <v>99999</v>
      </c>
      <c r="M7">
        <v>99999</v>
      </c>
      <c r="N7">
        <v>99999</v>
      </c>
      <c r="O7">
        <v>99999</v>
      </c>
      <c r="P7">
        <v>99999</v>
      </c>
      <c r="Q7">
        <v>99999</v>
      </c>
      <c r="R7">
        <v>99999</v>
      </c>
    </row>
    <row r="8" spans="1:22">
      <c r="A8">
        <v>-18.8497829745837</v>
      </c>
      <c r="B8">
        <v>-29.095986384470155</v>
      </c>
      <c r="C8">
        <v>-37.048793728792866</v>
      </c>
      <c r="D8">
        <v>-30.214738825689942</v>
      </c>
      <c r="E8">
        <v>-29.815328279775155</v>
      </c>
      <c r="F8">
        <v>-29.779148378616565</v>
      </c>
      <c r="G8">
        <v>-24.992297593116444</v>
      </c>
      <c r="H8">
        <v>-29.482526830989453</v>
      </c>
      <c r="I8">
        <v>-21.496757616473335</v>
      </c>
      <c r="J8">
        <v>-29.263693957385282</v>
      </c>
      <c r="K8">
        <v>-45.953881991226588</v>
      </c>
      <c r="L8">
        <v>-30.746295991066624</v>
      </c>
      <c r="M8">
        <v>-58.799020155946479</v>
      </c>
      <c r="N8">
        <v>-31.487882116229557</v>
      </c>
      <c r="O8">
        <v>-78.550473418783056</v>
      </c>
      <c r="P8">
        <v>-32.600824894241633</v>
      </c>
      <c r="Q8">
        <v>-105.19714066761716</v>
      </c>
      <c r="R8">
        <v>-34.065156238451067</v>
      </c>
      <c r="S8">
        <v>-140.56925624809332</v>
      </c>
      <c r="T8">
        <v>-35.961433290105546</v>
      </c>
      <c r="U8">
        <v>-192.29378407080998</v>
      </c>
      <c r="V8">
        <v>-38.660807496778979</v>
      </c>
    </row>
    <row r="9" spans="1:22">
      <c r="A9">
        <v>-10.13340091162989</v>
      </c>
      <c r="B9">
        <v>-14.331967922443456</v>
      </c>
      <c r="C9">
        <v>-16.678760578699755</v>
      </c>
      <c r="D9">
        <v>-11.64215285128652</v>
      </c>
      <c r="E9">
        <v>-14.362234568593651</v>
      </c>
      <c r="F9">
        <v>-12.596411231626446</v>
      </c>
      <c r="G9">
        <v>-12.621844302784286</v>
      </c>
      <c r="H9">
        <v>-13.311720468397571</v>
      </c>
      <c r="I9">
        <v>-11.245925189842263</v>
      </c>
      <c r="J9">
        <v>-13.876157142883118</v>
      </c>
      <c r="K9">
        <v>-19.148946540722413</v>
      </c>
      <c r="L9">
        <v>-10.62379908517768</v>
      </c>
      <c r="M9">
        <v>-22.098047659421006</v>
      </c>
      <c r="N9">
        <v>-9.4033337313591172</v>
      </c>
      <c r="O9">
        <v>-25.644158356395437</v>
      </c>
      <c r="P9">
        <v>-7.9320961739385032</v>
      </c>
      <c r="Q9">
        <v>-29.172956891588921</v>
      </c>
      <c r="R9">
        <v>-6.464427370660875</v>
      </c>
      <c r="S9">
        <v>-32.494710127848286</v>
      </c>
      <c r="T9">
        <v>-5.0797736834420366</v>
      </c>
      <c r="U9">
        <v>-35.760727959312639</v>
      </c>
      <c r="V9">
        <v>-3.7152165112989257</v>
      </c>
    </row>
    <row r="10" spans="1:22">
      <c r="A10">
        <v>-6.2752307855332274</v>
      </c>
      <c r="B10">
        <v>-8.5155495922473499</v>
      </c>
      <c r="C10">
        <v>-10.148378759546995</v>
      </c>
      <c r="D10">
        <v>-5.8317752274252488</v>
      </c>
      <c r="E10">
        <v>-8.8282987132137389</v>
      </c>
      <c r="F10">
        <v>-6.7473402973804228</v>
      </c>
      <c r="G10">
        <v>-7.8005216415844911</v>
      </c>
      <c r="H10">
        <v>-7.4595576243154058</v>
      </c>
      <c r="I10">
        <v>-6.9651262839435253</v>
      </c>
      <c r="J10">
        <v>-8.0380436545917657</v>
      </c>
      <c r="K10">
        <v>-11.507003188841171</v>
      </c>
      <c r="L10">
        <v>-4.8892130518449708</v>
      </c>
      <c r="M10">
        <v>-13.04840345170445</v>
      </c>
      <c r="N10">
        <v>-3.8182229920556452</v>
      </c>
      <c r="O10">
        <v>-14.80562661125148</v>
      </c>
      <c r="P10">
        <v>-2.5960894357184161</v>
      </c>
      <c r="Q10">
        <v>-16.458362845604373</v>
      </c>
      <c r="R10">
        <v>-1.4455484310522515</v>
      </c>
      <c r="S10">
        <v>-17.933665681066898</v>
      </c>
      <c r="T10">
        <v>-0.41767510889201792</v>
      </c>
      <c r="U10">
        <v>-19.31201987423491</v>
      </c>
      <c r="V10">
        <v>0.54346183205519327</v>
      </c>
    </row>
    <row r="11" spans="1:22">
      <c r="A11">
        <v>-3.7579330023697675</v>
      </c>
      <c r="B11">
        <v>-5.2561766352974608</v>
      </c>
      <c r="C11">
        <v>-6.5446070497739646</v>
      </c>
      <c r="D11">
        <v>-2.7377906878973182</v>
      </c>
      <c r="E11">
        <v>-5.6106705625069893</v>
      </c>
      <c r="F11">
        <v>-3.5821311926159858</v>
      </c>
      <c r="G11">
        <v>-4.87208623900852</v>
      </c>
      <c r="H11">
        <v>-4.2496299709093046</v>
      </c>
      <c r="I11">
        <v>-4.2642998292487055</v>
      </c>
      <c r="J11">
        <v>-4.7987622297710564</v>
      </c>
      <c r="K11">
        <v>-7.4944631150771102</v>
      </c>
      <c r="L11">
        <v>-1.8789635292368314</v>
      </c>
      <c r="M11">
        <v>-8.5460657241960121</v>
      </c>
      <c r="N11">
        <v>-0.92755512590277434</v>
      </c>
      <c r="O11">
        <v>-9.7194089216660924</v>
      </c>
      <c r="P11">
        <v>0.13440925207971174</v>
      </c>
      <c r="Q11">
        <v>-10.7989589085128</v>
      </c>
      <c r="R11">
        <v>1.1118506605979794</v>
      </c>
      <c r="S11">
        <v>-11.743414963385192</v>
      </c>
      <c r="T11">
        <v>1.9672580823858059</v>
      </c>
      <c r="U11">
        <v>-12.608578417137648</v>
      </c>
      <c r="V11">
        <v>2.7511128398642559</v>
      </c>
    </row>
    <row r="12" spans="1:22">
      <c r="A12">
        <v>-1.729009944204996</v>
      </c>
      <c r="B12">
        <v>-3.0598414197386554</v>
      </c>
      <c r="C12">
        <v>-3.9670217679961466</v>
      </c>
      <c r="D12">
        <v>-0.62185937307880601</v>
      </c>
      <c r="E12">
        <v>-3.2227930551421982</v>
      </c>
      <c r="F12">
        <v>-1.4326056036325698</v>
      </c>
      <c r="G12">
        <v>-2.6299102869868052</v>
      </c>
      <c r="H12">
        <v>-2.0784648716472804</v>
      </c>
      <c r="I12">
        <v>-2.139212902035184</v>
      </c>
      <c r="J12">
        <v>-2.6129984249216842</v>
      </c>
      <c r="K12">
        <v>-4.7220666383246872</v>
      </c>
      <c r="L12">
        <v>0.20067546600209812</v>
      </c>
      <c r="M12">
        <v>-5.5461415194705745</v>
      </c>
      <c r="N12">
        <v>1.098445810685476</v>
      </c>
      <c r="O12">
        <v>-6.4565594276887062</v>
      </c>
      <c r="P12">
        <v>2.0903052431276845</v>
      </c>
      <c r="Q12">
        <v>-7.2858293273312515</v>
      </c>
      <c r="R12">
        <v>2.9937792084840043</v>
      </c>
      <c r="S12">
        <v>-8.0046959389082915</v>
      </c>
      <c r="T12">
        <v>3.7769872976763081</v>
      </c>
      <c r="U12">
        <v>-8.6568028337470313</v>
      </c>
      <c r="V12">
        <v>4.4874757361037227</v>
      </c>
    </row>
    <row r="13" spans="1:22">
      <c r="A13">
        <v>0.16222786887649565</v>
      </c>
      <c r="B13">
        <v>-1.3831902560407359</v>
      </c>
      <c r="C13">
        <v>-1.7725875270826612</v>
      </c>
      <c r="D13">
        <v>1.0893194765644179</v>
      </c>
      <c r="E13">
        <v>-1.1307912708100396</v>
      </c>
      <c r="F13">
        <v>0.26939754355968215</v>
      </c>
      <c r="G13">
        <v>-0.6182011824315703</v>
      </c>
      <c r="H13">
        <v>-0.38562665301582544</v>
      </c>
      <c r="I13">
        <v>-0.1931561514791644</v>
      </c>
      <c r="J13">
        <v>-0.92889509836040174</v>
      </c>
      <c r="K13">
        <v>-2.4255451144872024</v>
      </c>
      <c r="L13">
        <v>1.9234293985124735</v>
      </c>
      <c r="M13">
        <v>-3.1320808632442692</v>
      </c>
      <c r="N13">
        <v>2.8255641831856613</v>
      </c>
      <c r="O13">
        <v>-3.9097800125893745</v>
      </c>
      <c r="P13">
        <v>3.818269387844643</v>
      </c>
      <c r="Q13">
        <v>-4.6154848223665184</v>
      </c>
      <c r="R13">
        <v>4.7188184353896432</v>
      </c>
      <c r="S13">
        <v>-5.2250437699552634</v>
      </c>
      <c r="T13">
        <v>5.4964789026960448</v>
      </c>
      <c r="U13">
        <v>-5.7753368329430508</v>
      </c>
      <c r="V13">
        <v>6.1983460906717225</v>
      </c>
    </row>
    <row r="14" spans="1:22">
      <c r="A14">
        <v>2.1448715813908641</v>
      </c>
      <c r="B14">
        <v>3.2925721286887998E-2</v>
      </c>
      <c r="C14">
        <v>0.38048113034925068</v>
      </c>
      <c r="D14">
        <v>2.6784310504600763</v>
      </c>
      <c r="E14">
        <v>0.96673152911789517</v>
      </c>
      <c r="F14">
        <v>1.7999732255635101</v>
      </c>
      <c r="G14">
        <v>1.4344090923313639</v>
      </c>
      <c r="H14">
        <v>1.0987837705151307</v>
      </c>
      <c r="I14">
        <v>1.8217639758668045</v>
      </c>
      <c r="J14">
        <v>0.51774502656822186</v>
      </c>
      <c r="K14">
        <v>-0.22009825574372344</v>
      </c>
      <c r="L14">
        <v>3.5781780198112383</v>
      </c>
      <c r="M14">
        <v>-0.86722391657928166</v>
      </c>
      <c r="N14">
        <v>4.5466513904011272</v>
      </c>
      <c r="O14">
        <v>-1.5802720938651245</v>
      </c>
      <c r="P14">
        <v>5.6130615609937218</v>
      </c>
      <c r="Q14">
        <v>-2.2278957419014418</v>
      </c>
      <c r="R14">
        <v>6.5809842069742572</v>
      </c>
      <c r="S14">
        <v>-2.7875888257944164</v>
      </c>
      <c r="T14">
        <v>7.4169913971182462</v>
      </c>
      <c r="U14">
        <v>-3.2922589707989052</v>
      </c>
      <c r="V14">
        <v>8.1703456673742991</v>
      </c>
    </row>
    <row r="15" spans="1:22">
      <c r="A15">
        <v>4.464912856795257</v>
      </c>
      <c r="B15">
        <v>1.3508193855184147</v>
      </c>
      <c r="C15">
        <v>2.7975990520023397</v>
      </c>
      <c r="D15">
        <v>4.3663803968289718</v>
      </c>
      <c r="E15">
        <v>3.3550577300814148</v>
      </c>
      <c r="F15">
        <v>3.3593120149045692</v>
      </c>
      <c r="G15">
        <v>3.7974361953453704</v>
      </c>
      <c r="H15">
        <v>2.5592910561889157</v>
      </c>
      <c r="I15">
        <v>4.1621996511565831</v>
      </c>
      <c r="J15">
        <v>1.8990572765201299</v>
      </c>
      <c r="K15">
        <v>2.2199778327676274</v>
      </c>
      <c r="L15">
        <v>5.4094457217987424</v>
      </c>
      <c r="M15">
        <v>1.5971477438501609</v>
      </c>
      <c r="N15">
        <v>6.532006927317541</v>
      </c>
      <c r="O15">
        <v>0.90657734084198605</v>
      </c>
      <c r="P15">
        <v>7.7750470886652403</v>
      </c>
      <c r="Q15">
        <v>0.27555318788695327</v>
      </c>
      <c r="R15">
        <v>8.9094131583219234</v>
      </c>
      <c r="S15">
        <v>-0.27257558793647896</v>
      </c>
      <c r="T15">
        <v>9.8935519614094058</v>
      </c>
      <c r="U15">
        <v>-0.76819133954570573</v>
      </c>
      <c r="V15">
        <v>10.782238546474039</v>
      </c>
    </row>
    <row r="16" spans="1:22">
      <c r="A16">
        <v>7.5247261466602167</v>
      </c>
      <c r="B16">
        <v>2.7211576946428937</v>
      </c>
      <c r="C16">
        <v>5.9455804685378544</v>
      </c>
      <c r="D16">
        <v>6.4526301340182597</v>
      </c>
      <c r="E16">
        <v>6.4804999533271461</v>
      </c>
      <c r="F16">
        <v>5.1914702679088425</v>
      </c>
      <c r="G16">
        <v>6.9001405061177072</v>
      </c>
      <c r="H16">
        <v>4.2000362204911417</v>
      </c>
      <c r="I16">
        <v>7.2428852816575011</v>
      </c>
      <c r="J16">
        <v>3.3889058731965878</v>
      </c>
      <c r="K16">
        <v>5.3810959451734561</v>
      </c>
      <c r="L16">
        <v>7.7821816624490099</v>
      </c>
      <c r="M16">
        <v>4.7671680652249036</v>
      </c>
      <c r="N16">
        <v>9.2226962141526148</v>
      </c>
      <c r="O16">
        <v>4.0764592475630472</v>
      </c>
      <c r="P16">
        <v>10.838573069348397</v>
      </c>
      <c r="Q16">
        <v>3.4360534481265033</v>
      </c>
      <c r="R16">
        <v>12.331693461690262</v>
      </c>
      <c r="S16">
        <v>2.8726410991170201</v>
      </c>
      <c r="T16">
        <v>13.640396080796691</v>
      </c>
      <c r="U16">
        <v>2.3582813627360322</v>
      </c>
      <c r="V16">
        <v>14.829696361565954</v>
      </c>
    </row>
    <row r="17" spans="1:22">
      <c r="A17">
        <v>12.228470832232109</v>
      </c>
      <c r="B17">
        <v>4.3804702001710973</v>
      </c>
      <c r="C17">
        <v>10.923930468271436</v>
      </c>
      <c r="D17">
        <v>9.6031475841603857</v>
      </c>
      <c r="E17">
        <v>11.37842111508472</v>
      </c>
      <c r="F17">
        <v>7.7955596083044671</v>
      </c>
      <c r="G17">
        <v>11.725887979111588</v>
      </c>
      <c r="H17">
        <v>6.4047727553661318</v>
      </c>
      <c r="I17">
        <v>12.003900636008389</v>
      </c>
      <c r="J17">
        <v>5.286597883266448</v>
      </c>
      <c r="K17">
        <v>10.427499464749449</v>
      </c>
      <c r="L17">
        <v>11.567523137716947</v>
      </c>
      <c r="M17">
        <v>9.871166426466182</v>
      </c>
      <c r="N17">
        <v>13.737796299208146</v>
      </c>
      <c r="O17">
        <v>9.2189941510539715</v>
      </c>
      <c r="P17">
        <v>16.231733443625515</v>
      </c>
      <c r="Q17">
        <v>8.5816174053554874</v>
      </c>
      <c r="R17">
        <v>18.568051379611379</v>
      </c>
      <c r="S17">
        <v>7.9779412646633867</v>
      </c>
      <c r="T17">
        <v>20.574536756221232</v>
      </c>
    </row>
    <row r="18" spans="1:22">
      <c r="A18">
        <v>21.422615162348812</v>
      </c>
      <c r="B18">
        <v>6.9719572636173268</v>
      </c>
      <c r="C18">
        <v>21.739811456251392</v>
      </c>
      <c r="D18">
        <v>16.18059572734748</v>
      </c>
      <c r="E18">
        <v>21.652521377969073</v>
      </c>
      <c r="F18">
        <v>12.830986465862358</v>
      </c>
      <c r="G18">
        <v>21.563803229508572</v>
      </c>
      <c r="H18">
        <v>10.367940836569455</v>
      </c>
      <c r="I18">
        <v>21.486707905646732</v>
      </c>
      <c r="J18">
        <v>8.463849241554195</v>
      </c>
      <c r="K18">
        <v>21.717512612876895</v>
      </c>
      <c r="L18">
        <v>19.941974338922829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-101.95204270297488</v>
      </c>
      <c r="D20">
        <v>-180.09368263371439</v>
      </c>
      <c r="E20">
        <v>-18.8497829745837</v>
      </c>
      <c r="F20">
        <v>-29.095986384470155</v>
      </c>
      <c r="G20">
        <v>-10.13340091162989</v>
      </c>
      <c r="H20">
        <v>-14.331967922443456</v>
      </c>
      <c r="I20">
        <v>-6.2752307855332274</v>
      </c>
      <c r="J20">
        <v>-8.5155495922473499</v>
      </c>
      <c r="K20">
        <v>-3.7579330023697675</v>
      </c>
      <c r="L20">
        <v>-5.2561766352974608</v>
      </c>
      <c r="M20">
        <v>-1.729009944204996</v>
      </c>
      <c r="N20">
        <v>-3.0598414197386554</v>
      </c>
      <c r="O20">
        <v>0.16222786887649565</v>
      </c>
      <c r="P20">
        <v>-1.3831902560407359</v>
      </c>
      <c r="Q20">
        <v>2.1448715813908641</v>
      </c>
      <c r="R20">
        <v>3.2925721286887998E-2</v>
      </c>
      <c r="S20">
        <v>4.464912856795257</v>
      </c>
      <c r="T20">
        <v>1.3508193855184147</v>
      </c>
      <c r="U20">
        <v>7.5247261466602167</v>
      </c>
      <c r="V20">
        <v>2.7211576946428937</v>
      </c>
    </row>
    <row r="21" spans="1:22">
      <c r="A21">
        <v>99999</v>
      </c>
      <c r="B21">
        <v>99999</v>
      </c>
      <c r="C21">
        <v>99999</v>
      </c>
      <c r="D21">
        <v>99999</v>
      </c>
      <c r="E21">
        <v>-37.048793728792866</v>
      </c>
      <c r="F21">
        <v>-30.214738825689942</v>
      </c>
      <c r="G21">
        <v>-16.678760578699755</v>
      </c>
      <c r="H21">
        <v>-11.64215285128652</v>
      </c>
      <c r="I21">
        <v>-10.148378759546995</v>
      </c>
      <c r="J21">
        <v>-5.8317752274252488</v>
      </c>
      <c r="K21">
        <v>-6.5446070497739646</v>
      </c>
      <c r="L21">
        <v>-2.7377906878973182</v>
      </c>
      <c r="M21">
        <v>-3.9670217679961466</v>
      </c>
      <c r="N21">
        <v>-0.62185937307880601</v>
      </c>
      <c r="O21">
        <v>-1.7725875270826612</v>
      </c>
      <c r="P21">
        <v>1.0893194765644179</v>
      </c>
      <c r="Q21">
        <v>0.38048113034925068</v>
      </c>
      <c r="R21">
        <v>2.6784310504600763</v>
      </c>
      <c r="S21">
        <v>2.7975990520023397</v>
      </c>
      <c r="T21">
        <v>4.3663803968289718</v>
      </c>
      <c r="U21">
        <v>5.9455804685378544</v>
      </c>
      <c r="V21">
        <v>6.4526301340182597</v>
      </c>
    </row>
    <row r="22" spans="1:22">
      <c r="A22">
        <v>99999</v>
      </c>
      <c r="B22">
        <v>99999</v>
      </c>
      <c r="C22">
        <v>99999</v>
      </c>
      <c r="D22">
        <v>99999</v>
      </c>
      <c r="E22">
        <v>-29.815328279775155</v>
      </c>
      <c r="F22">
        <v>-29.779148378616565</v>
      </c>
      <c r="G22">
        <v>-14.362234568593651</v>
      </c>
      <c r="H22">
        <v>-12.596411231626446</v>
      </c>
      <c r="I22">
        <v>-8.8282987132137389</v>
      </c>
      <c r="J22">
        <v>-6.7473402973804228</v>
      </c>
      <c r="K22">
        <v>-5.6106705625069893</v>
      </c>
      <c r="L22">
        <v>-3.5821311926159858</v>
      </c>
      <c r="M22">
        <v>-3.2227930551421982</v>
      </c>
      <c r="N22">
        <v>-1.4326056036325698</v>
      </c>
      <c r="O22">
        <v>-1.1307912708100396</v>
      </c>
      <c r="P22">
        <v>0.26939754355968215</v>
      </c>
      <c r="Q22">
        <v>0.96673152911789517</v>
      </c>
      <c r="R22">
        <v>1.7999732255635101</v>
      </c>
      <c r="S22">
        <v>3.3550577300814148</v>
      </c>
      <c r="T22">
        <v>3.3593120149045692</v>
      </c>
      <c r="U22">
        <v>6.4804999533271461</v>
      </c>
      <c r="V22">
        <v>5.1914702679088425</v>
      </c>
    </row>
    <row r="23" spans="1:22">
      <c r="A23">
        <v>99999</v>
      </c>
      <c r="B23">
        <v>99999</v>
      </c>
      <c r="C23">
        <v>-549.23065924806099</v>
      </c>
      <c r="D23">
        <v>-743.10012241400648</v>
      </c>
      <c r="E23">
        <v>-24.992297593116444</v>
      </c>
      <c r="F23">
        <v>-29.482526830989453</v>
      </c>
      <c r="G23">
        <v>-12.621844302784286</v>
      </c>
      <c r="H23">
        <v>-13.311720468397571</v>
      </c>
      <c r="I23">
        <v>-7.8005216415844911</v>
      </c>
      <c r="J23">
        <v>-7.4595576243154058</v>
      </c>
      <c r="K23">
        <v>-4.87208623900852</v>
      </c>
      <c r="L23">
        <v>-4.2496299709093046</v>
      </c>
      <c r="M23">
        <v>-2.6299102869868052</v>
      </c>
      <c r="N23">
        <v>-2.0784648716472804</v>
      </c>
      <c r="O23">
        <v>-0.6182011824315703</v>
      </c>
      <c r="P23">
        <v>-0.38562665301582544</v>
      </c>
      <c r="Q23">
        <v>1.4344090923313639</v>
      </c>
      <c r="R23">
        <v>1.0987837705151307</v>
      </c>
      <c r="S23">
        <v>3.7974361953453704</v>
      </c>
      <c r="T23">
        <v>2.5592910561889157</v>
      </c>
      <c r="U23">
        <v>6.9001405061177072</v>
      </c>
      <c r="V23">
        <v>4.2000362204911417</v>
      </c>
    </row>
    <row r="24" spans="1:22">
      <c r="A24">
        <v>99999</v>
      </c>
      <c r="B24">
        <v>99999</v>
      </c>
      <c r="C24">
        <v>-172.84087736857555</v>
      </c>
      <c r="D24">
        <v>-269.35093518638979</v>
      </c>
      <c r="E24">
        <v>-21.496757616473335</v>
      </c>
      <c r="F24">
        <v>-29.263693957385282</v>
      </c>
      <c r="G24">
        <v>-11.245925189842263</v>
      </c>
      <c r="H24">
        <v>-13.876157142883118</v>
      </c>
      <c r="I24">
        <v>-6.9651262839435253</v>
      </c>
      <c r="J24">
        <v>-8.0380436545917657</v>
      </c>
      <c r="K24">
        <v>-4.2642998292487055</v>
      </c>
      <c r="L24">
        <v>-4.7987622297710564</v>
      </c>
      <c r="M24">
        <v>-2.139212902035184</v>
      </c>
      <c r="N24">
        <v>-2.6129984249216842</v>
      </c>
      <c r="O24">
        <v>-0.1931561514791644</v>
      </c>
      <c r="P24">
        <v>-0.92889509836040174</v>
      </c>
      <c r="Q24">
        <v>1.8217639758668045</v>
      </c>
      <c r="R24">
        <v>0.51774502656822186</v>
      </c>
      <c r="S24">
        <v>4.1621996511565831</v>
      </c>
      <c r="T24">
        <v>1.8990572765201299</v>
      </c>
      <c r="U24">
        <v>7.2428852816575011</v>
      </c>
      <c r="V24">
        <v>3.3889058731965878</v>
      </c>
    </row>
    <row r="25" spans="1:22">
      <c r="A25">
        <v>0</v>
      </c>
      <c r="B25">
        <v>0</v>
      </c>
      <c r="C25">
        <v>99999</v>
      </c>
      <c r="D25">
        <v>99999</v>
      </c>
      <c r="E25">
        <v>-45.953881991226588</v>
      </c>
      <c r="F25">
        <v>-30.746295991066624</v>
      </c>
      <c r="G25">
        <v>-19.148946540722413</v>
      </c>
      <c r="H25">
        <v>-10.62379908517768</v>
      </c>
      <c r="I25">
        <v>-11.507003188841171</v>
      </c>
      <c r="J25">
        <v>-4.8892130518449708</v>
      </c>
      <c r="K25">
        <v>-7.4944631150771102</v>
      </c>
      <c r="L25">
        <v>-1.8789635292368314</v>
      </c>
      <c r="M25">
        <v>-4.7220666383246872</v>
      </c>
      <c r="N25">
        <v>0.20067546600209812</v>
      </c>
      <c r="O25">
        <v>-2.4255451144872024</v>
      </c>
      <c r="P25">
        <v>1.9234293985124735</v>
      </c>
      <c r="Q25">
        <v>-0.22009825574372344</v>
      </c>
      <c r="R25">
        <v>3.5781780198112383</v>
      </c>
      <c r="S25">
        <v>2.2199778327676274</v>
      </c>
      <c r="T25">
        <v>5.4094457217987424</v>
      </c>
      <c r="U25">
        <v>5.3810959451734561</v>
      </c>
      <c r="V25">
        <v>7.7821816624490099</v>
      </c>
    </row>
    <row r="26" spans="1:22">
      <c r="A26">
        <v>0</v>
      </c>
      <c r="B26">
        <v>0</v>
      </c>
      <c r="C26">
        <v>99999</v>
      </c>
      <c r="D26">
        <v>99999</v>
      </c>
      <c r="E26">
        <v>-58.799020155946479</v>
      </c>
      <c r="F26">
        <v>-31.487882116229557</v>
      </c>
      <c r="G26">
        <v>-22.098047659421006</v>
      </c>
      <c r="H26">
        <v>-9.4033337313591172</v>
      </c>
      <c r="I26">
        <v>-13.04840345170445</v>
      </c>
      <c r="J26">
        <v>-3.8182229920556452</v>
      </c>
      <c r="K26">
        <v>-8.5460657241960121</v>
      </c>
      <c r="L26">
        <v>-0.92755512590277434</v>
      </c>
      <c r="M26">
        <v>-5.5461415194705745</v>
      </c>
      <c r="N26">
        <v>1.098445810685476</v>
      </c>
      <c r="O26">
        <v>-3.1320808632442692</v>
      </c>
      <c r="P26">
        <v>2.8255641831856613</v>
      </c>
      <c r="Q26">
        <v>-0.86722391657928166</v>
      </c>
      <c r="R26">
        <v>4.5466513904011272</v>
      </c>
      <c r="S26">
        <v>1.5971477438501609</v>
      </c>
      <c r="T26">
        <v>6.532006927317541</v>
      </c>
      <c r="U26">
        <v>4.7671680652249036</v>
      </c>
      <c r="V26">
        <v>9.2226962141526148</v>
      </c>
    </row>
    <row r="27" spans="1:22">
      <c r="A27">
        <v>0</v>
      </c>
      <c r="B27">
        <v>0</v>
      </c>
      <c r="C27">
        <v>99999</v>
      </c>
      <c r="D27">
        <v>99999</v>
      </c>
      <c r="E27">
        <v>-78.550473418783056</v>
      </c>
      <c r="F27">
        <v>-32.600824894241633</v>
      </c>
      <c r="G27">
        <v>-25.644158356395437</v>
      </c>
      <c r="H27">
        <v>-7.9320961739385032</v>
      </c>
      <c r="I27">
        <v>-14.80562661125148</v>
      </c>
      <c r="J27">
        <v>-2.5960894357184161</v>
      </c>
      <c r="K27">
        <v>-9.7194089216660924</v>
      </c>
      <c r="L27">
        <v>0.13440925207971174</v>
      </c>
      <c r="M27">
        <v>-6.4565594276887062</v>
      </c>
      <c r="N27">
        <v>2.0903052431276845</v>
      </c>
      <c r="O27">
        <v>-3.9097800125893745</v>
      </c>
      <c r="P27">
        <v>3.818269387844643</v>
      </c>
      <c r="Q27">
        <v>-1.5802720938651245</v>
      </c>
      <c r="R27">
        <v>5.6130615609937218</v>
      </c>
      <c r="S27">
        <v>0.90657734084198605</v>
      </c>
      <c r="T27">
        <v>7.7750470886652403</v>
      </c>
      <c r="U27">
        <v>4.0764592475630472</v>
      </c>
      <c r="V27">
        <v>10.838573069348397</v>
      </c>
    </row>
    <row r="28" spans="1:22">
      <c r="A28">
        <v>0</v>
      </c>
      <c r="B28">
        <v>0</v>
      </c>
      <c r="C28">
        <v>99999</v>
      </c>
      <c r="D28">
        <v>99999</v>
      </c>
      <c r="E28">
        <v>-105.19714066761716</v>
      </c>
      <c r="F28">
        <v>-34.065156238451067</v>
      </c>
      <c r="G28">
        <v>-29.172956891588921</v>
      </c>
      <c r="H28">
        <v>-6.464427370660875</v>
      </c>
      <c r="I28">
        <v>-16.458362845604373</v>
      </c>
      <c r="J28">
        <v>-1.4455484310522515</v>
      </c>
      <c r="K28">
        <v>-10.7989589085128</v>
      </c>
      <c r="L28">
        <v>1.1118506605979794</v>
      </c>
      <c r="M28">
        <v>-7.2858293273312515</v>
      </c>
      <c r="N28">
        <v>2.9937792084840043</v>
      </c>
      <c r="O28">
        <v>-4.6154848223665184</v>
      </c>
      <c r="P28">
        <v>4.7188184353896432</v>
      </c>
      <c r="Q28">
        <v>-2.2278957419014418</v>
      </c>
      <c r="R28">
        <v>6.5809842069742572</v>
      </c>
      <c r="S28">
        <v>0.27555318788695327</v>
      </c>
      <c r="T28">
        <v>8.9094131583219234</v>
      </c>
      <c r="U28">
        <v>3.4360534481265033</v>
      </c>
      <c r="V28">
        <v>12.331693461690262</v>
      </c>
    </row>
    <row r="29" spans="1:22">
      <c r="A29">
        <v>0</v>
      </c>
      <c r="B29">
        <v>0</v>
      </c>
      <c r="C29">
        <v>0</v>
      </c>
      <c r="D29">
        <v>0</v>
      </c>
      <c r="E29">
        <v>-140.56925624809332</v>
      </c>
      <c r="F29">
        <v>-35.961433290105546</v>
      </c>
      <c r="G29">
        <v>-32.494710127848286</v>
      </c>
      <c r="H29">
        <v>-5.0797736834420366</v>
      </c>
      <c r="I29">
        <v>-17.933665681066898</v>
      </c>
      <c r="J29">
        <v>-0.41767510889201792</v>
      </c>
      <c r="K29">
        <v>-11.743414963385192</v>
      </c>
      <c r="L29">
        <v>1.9672580823858059</v>
      </c>
      <c r="M29">
        <v>-8.0046959389082915</v>
      </c>
      <c r="N29">
        <v>3.7769872976763081</v>
      </c>
      <c r="O29">
        <v>-5.2250437699552634</v>
      </c>
      <c r="P29">
        <v>5.4964789026960448</v>
      </c>
      <c r="Q29">
        <v>-2.7875888257944164</v>
      </c>
      <c r="R29">
        <v>7.4169913971182462</v>
      </c>
      <c r="S29">
        <v>-0.27257558793647896</v>
      </c>
      <c r="T29">
        <v>9.8935519614094058</v>
      </c>
      <c r="U29">
        <v>2.8726410991170201</v>
      </c>
      <c r="V29">
        <v>13.640396080796691</v>
      </c>
    </row>
    <row r="30" spans="1:22">
      <c r="A30">
        <v>0</v>
      </c>
      <c r="B30">
        <v>0</v>
      </c>
      <c r="C30">
        <v>0</v>
      </c>
      <c r="D30">
        <v>0</v>
      </c>
      <c r="E30">
        <v>-192.29378407080998</v>
      </c>
      <c r="F30">
        <v>-38.660807496778979</v>
      </c>
      <c r="G30">
        <v>-35.760727959312639</v>
      </c>
      <c r="H30">
        <v>-3.7152165112989257</v>
      </c>
      <c r="I30">
        <v>-19.31201987423491</v>
      </c>
      <c r="J30">
        <v>0.54346183205519327</v>
      </c>
      <c r="K30">
        <v>-12.608578417137648</v>
      </c>
      <c r="L30">
        <v>2.7511128398642559</v>
      </c>
      <c r="M30">
        <v>-8.6568028337470313</v>
      </c>
      <c r="N30">
        <v>4.4874757361037227</v>
      </c>
      <c r="O30">
        <v>-5.7753368329430508</v>
      </c>
      <c r="P30">
        <v>6.1983460906717225</v>
      </c>
      <c r="Q30">
        <v>-3.2922589707989052</v>
      </c>
      <c r="R30">
        <v>8.1703456673742991</v>
      </c>
      <c r="S30">
        <v>-0.76819133954570573</v>
      </c>
      <c r="T30">
        <v>10.782238546474039</v>
      </c>
      <c r="U30">
        <v>2.3582813627360322</v>
      </c>
      <c r="V30">
        <v>14.829696361565954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Enter</vt:lpstr>
      <vt:lpstr>EquSol</vt:lpstr>
      <vt:lpstr>Average</vt:lpstr>
      <vt:lpstr>HourLines</vt:lpstr>
      <vt:lpstr>VectorDial</vt:lpstr>
      <vt:lpstr>Wall_Dec</vt:lpstr>
      <vt:lpstr>Equatorial</vt:lpstr>
      <vt:lpstr>Polar</vt:lpstr>
      <vt:lpstr>Horizontal</vt:lpstr>
      <vt:lpstr>Vertical</vt:lpstr>
      <vt:lpstr>General</vt:lpstr>
      <vt:lpstr>Bifilar</vt:lpstr>
      <vt:lpstr>V_Polar</vt:lpstr>
      <vt:lpstr>V_Vertical</vt:lpstr>
      <vt:lpstr>V_Equatorial</vt:lpstr>
      <vt:lpstr>V_General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Khiabani</dc:creator>
  <cp:lastModifiedBy>Amin Khiabani</cp:lastModifiedBy>
  <cp:lastPrinted>2022-08-16T04:33:40Z</cp:lastPrinted>
  <dcterms:created xsi:type="dcterms:W3CDTF">2021-09-08T08:25:56Z</dcterms:created>
  <dcterms:modified xsi:type="dcterms:W3CDTF">2023-03-06T05:14:00Z</dcterms:modified>
</cp:coreProperties>
</file>