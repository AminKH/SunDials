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Khiabani\Documents\Sundials\"/>
    </mc:Choice>
  </mc:AlternateContent>
  <xr:revisionPtr revIDLastSave="0" documentId="13_ncr:1_{27CA4F05-51A0-4CD5-95AC-4E5189605484}" xr6:coauthVersionLast="47" xr6:coauthVersionMax="47" xr10:uidLastSave="{00000000-0000-0000-0000-000000000000}"/>
  <bookViews>
    <workbookView xWindow="-120" yWindow="330" windowWidth="20730" windowHeight="11310" xr2:uid="{54216032-FD36-4E36-8E0B-D8CA01283E68}"/>
  </bookViews>
  <sheets>
    <sheet name="Enter" sheetId="13" r:id="rId1"/>
    <sheet name="EquSol" sheetId="14" r:id="rId2"/>
    <sheet name="Average" sheetId="27" r:id="rId3"/>
    <sheet name="HourLines" sheetId="21" r:id="rId4"/>
    <sheet name="Equatorial" sheetId="7" r:id="rId5"/>
    <sheet name="Polar" sheetId="30" r:id="rId6"/>
    <sheet name="Horizontal" sheetId="8" r:id="rId7"/>
    <sheet name="Vertical" sheetId="9" r:id="rId8"/>
    <sheet name="General" sheetId="28" r:id="rId9"/>
    <sheet name="Bifilar" sheetId="23" r:id="rId10"/>
    <sheet name="VectorDial" sheetId="11" r:id="rId11"/>
    <sheet name="V_Polar" sheetId="29" r:id="rId12"/>
    <sheet name="V_Vertical" sheetId="19" r:id="rId13"/>
    <sheet name="V_Equatorial" sheetId="20" r:id="rId14"/>
    <sheet name="V_General" sheetId="31" r:id="rId15"/>
  </sheets>
  <functionGroups builtInGroupCount="19"/>
  <externalReferences>
    <externalReference r:id="rId1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27" l="1"/>
  <c r="A2" i="20"/>
  <c r="A2" i="31"/>
  <c r="A2" i="29"/>
  <c r="D10" i="27" l="1"/>
  <c r="F1" i="14"/>
  <c r="E1" i="14"/>
  <c r="C1" i="14"/>
  <c r="J7" i="13"/>
  <c r="D13" i="21"/>
  <c r="E13" i="21" s="1"/>
  <c r="E18" i="21"/>
  <c r="F13" i="21" l="1"/>
  <c r="G13" i="21" l="1"/>
  <c r="H13" i="21" l="1"/>
  <c r="I13" i="21" l="1"/>
  <c r="H14" i="21" s="1"/>
  <c r="H15" i="21" l="1"/>
  <c r="H19" i="21" s="1"/>
  <c r="C14" i="21"/>
  <c r="J13" i="21"/>
  <c r="I14" i="21"/>
  <c r="E14" i="21"/>
  <c r="D14" i="21"/>
  <c r="F14" i="21"/>
  <c r="G14" i="21"/>
  <c r="F15" i="21" l="1"/>
  <c r="F19" i="21" s="1"/>
  <c r="C15" i="21"/>
  <c r="C19" i="21" s="1"/>
  <c r="E15" i="21"/>
  <c r="E19" i="21" s="1"/>
  <c r="K13" i="21"/>
  <c r="J14" i="21"/>
  <c r="D15" i="21"/>
  <c r="D19" i="21" s="1"/>
  <c r="G15" i="21"/>
  <c r="G19" i="21" s="1"/>
  <c r="I15" i="21"/>
  <c r="I19" i="21" s="1"/>
  <c r="J15" i="21" l="1"/>
  <c r="J19" i="21" s="1"/>
  <c r="L13" i="21"/>
  <c r="K14" i="21"/>
  <c r="K15" i="21" l="1"/>
  <c r="K19" i="21" s="1"/>
  <c r="M13" i="21"/>
  <c r="L14" i="21"/>
  <c r="L15" i="21" l="1"/>
  <c r="L19" i="21" s="1"/>
  <c r="N13" i="21"/>
  <c r="M14" i="21"/>
  <c r="M15" i="21" l="1"/>
  <c r="M19" i="21" s="1"/>
  <c r="O13" i="21"/>
  <c r="O14" i="21" s="1"/>
  <c r="N14" i="21"/>
  <c r="O15" i="21" l="1"/>
  <c r="O19" i="21" s="1"/>
  <c r="N15" i="21"/>
  <c r="N19" i="21" s="1"/>
  <c r="A2" i="30" l="1"/>
  <c r="C86" i="21"/>
  <c r="G3" i="11" l="1"/>
  <c r="A2" i="28"/>
  <c r="D60" i="21"/>
  <c r="E60" i="21"/>
  <c r="F60" i="21"/>
  <c r="G60" i="21"/>
  <c r="H60" i="21"/>
  <c r="I60" i="21"/>
  <c r="J60" i="21"/>
  <c r="K60" i="21"/>
  <c r="L60" i="21"/>
  <c r="M60" i="21"/>
  <c r="N60" i="21"/>
  <c r="O60" i="21"/>
  <c r="C60" i="21"/>
  <c r="J56" i="21"/>
  <c r="D51" i="21"/>
  <c r="D42" i="21"/>
  <c r="E42" i="21"/>
  <c r="F42" i="21"/>
  <c r="G42" i="21"/>
  <c r="H42" i="21"/>
  <c r="I42" i="21"/>
  <c r="J42" i="21"/>
  <c r="K42" i="21"/>
  <c r="L42" i="21"/>
  <c r="M42" i="21"/>
  <c r="N42" i="21"/>
  <c r="O42" i="21"/>
  <c r="C42" i="21"/>
  <c r="D33" i="21"/>
  <c r="E33" i="21" l="1"/>
  <c r="E51" i="21"/>
  <c r="D8" i="27"/>
  <c r="D9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7" i="27"/>
  <c r="F5" i="27"/>
  <c r="G5" i="27" s="1"/>
  <c r="H5" i="27" s="1"/>
  <c r="I5" i="27" s="1"/>
  <c r="J5" i="27" s="1"/>
  <c r="K5" i="27" s="1"/>
  <c r="L5" i="27" s="1"/>
  <c r="M5" i="27" s="1"/>
  <c r="N5" i="27" s="1"/>
  <c r="O5" i="27" s="1"/>
  <c r="P5" i="27" s="1"/>
  <c r="K2" i="27"/>
  <c r="B3" i="27"/>
  <c r="B4" i="27"/>
  <c r="B5" i="27"/>
  <c r="B6" i="27"/>
  <c r="B7" i="27"/>
  <c r="B8" i="27"/>
  <c r="B9" i="27"/>
  <c r="B2" i="27"/>
  <c r="A2" i="27" a="1"/>
  <c r="A2" i="27" s="1"/>
  <c r="A2" i="23"/>
  <c r="F33" i="21" l="1"/>
  <c r="F51" i="21"/>
  <c r="G33" i="21" l="1"/>
  <c r="G51" i="21"/>
  <c r="G83" i="21"/>
  <c r="E83" i="21"/>
  <c r="E76" i="21"/>
  <c r="D71" i="21"/>
  <c r="J38" i="21"/>
  <c r="E62" i="21"/>
  <c r="E44" i="21"/>
  <c r="C2" i="21" a="1"/>
  <c r="A2" i="9"/>
  <c r="A2" i="8"/>
  <c r="A2" i="7"/>
  <c r="J3" i="11"/>
  <c r="I3" i="11"/>
  <c r="H3" i="11"/>
  <c r="E4" i="21" l="1"/>
  <c r="D38" i="21"/>
  <c r="H83" i="21"/>
  <c r="I83" i="21" s="1"/>
  <c r="H33" i="21"/>
  <c r="E38" i="21"/>
  <c r="C27" i="21"/>
  <c r="D27" i="21" s="1"/>
  <c r="D56" i="21"/>
  <c r="E56" i="21" s="1"/>
  <c r="C23" i="21"/>
  <c r="D23" i="21" s="1"/>
  <c r="H51" i="21"/>
  <c r="C2" i="21"/>
  <c r="D7" i="21"/>
  <c r="C8" i="21"/>
  <c r="E3" i="21"/>
  <c r="F3" i="11"/>
  <c r="A2" i="19" s="1"/>
  <c r="H16" i="21" l="1"/>
  <c r="H17" i="21" s="1"/>
  <c r="H20" i="21" s="1"/>
  <c r="E16" i="21"/>
  <c r="E17" i="21" s="1"/>
  <c r="E20" i="21" s="1"/>
  <c r="I16" i="21"/>
  <c r="I17" i="21" s="1"/>
  <c r="I20" i="21" s="1"/>
  <c r="C16" i="21"/>
  <c r="C17" i="21" s="1"/>
  <c r="C20" i="21" s="1"/>
  <c r="F16" i="21"/>
  <c r="F17" i="21" s="1"/>
  <c r="F20" i="21" s="1"/>
  <c r="D16" i="21"/>
  <c r="D17" i="21" s="1"/>
  <c r="D20" i="21" s="1"/>
  <c r="G16" i="21"/>
  <c r="G17" i="21" s="1"/>
  <c r="G20" i="21" s="1"/>
  <c r="J16" i="21"/>
  <c r="J17" i="21" s="1"/>
  <c r="J20" i="21" s="1"/>
  <c r="K16" i="21"/>
  <c r="K17" i="21" s="1"/>
  <c r="K20" i="21" s="1"/>
  <c r="L16" i="21"/>
  <c r="L17" i="21" s="1"/>
  <c r="L20" i="21" s="1"/>
  <c r="M16" i="21"/>
  <c r="M17" i="21" s="1"/>
  <c r="M20" i="21" s="1"/>
  <c r="O16" i="21"/>
  <c r="O17" i="21" s="1"/>
  <c r="O20" i="21" s="1"/>
  <c r="N16" i="21"/>
  <c r="N17" i="21" s="1"/>
  <c r="N20" i="21" s="1"/>
  <c r="I33" i="21"/>
  <c r="E57" i="21"/>
  <c r="J57" i="21"/>
  <c r="E39" i="21"/>
  <c r="I51" i="21"/>
  <c r="J39" i="21"/>
  <c r="J33" i="21"/>
  <c r="J34" i="21" s="1"/>
  <c r="E8" i="21"/>
  <c r="K76" i="21"/>
  <c r="J77" i="21" s="1"/>
  <c r="C7" i="21"/>
  <c r="E7" i="21" s="1"/>
  <c r="G4" i="21"/>
  <c r="F4" i="21"/>
  <c r="F92" i="21" s="1"/>
  <c r="J83" i="21"/>
  <c r="H84" i="21" s="1"/>
  <c r="F71" i="21"/>
  <c r="M62" i="21"/>
  <c r="M44" i="21"/>
  <c r="I62" i="21"/>
  <c r="E3" i="14"/>
  <c r="D3" i="14"/>
  <c r="C3" i="14"/>
  <c r="B3" i="14"/>
  <c r="C7" i="13"/>
  <c r="D11" i="13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F9" i="13"/>
  <c r="G9" i="13" s="1"/>
  <c r="H9" i="13" s="1"/>
  <c r="I9" i="13" s="1"/>
  <c r="J9" i="13" s="1"/>
  <c r="K9" i="13" s="1"/>
  <c r="L9" i="13" s="1"/>
  <c r="M9" i="13" s="1"/>
  <c r="N9" i="13" s="1"/>
  <c r="O9" i="13" s="1"/>
  <c r="P9" i="13" s="1"/>
  <c r="D101" i="21" l="1"/>
  <c r="H101" i="21"/>
  <c r="L101" i="21"/>
  <c r="E93" i="21"/>
  <c r="I93" i="21"/>
  <c r="M93" i="21"/>
  <c r="Q93" i="21"/>
  <c r="G94" i="21"/>
  <c r="K94" i="21"/>
  <c r="O94" i="21"/>
  <c r="C93" i="21"/>
  <c r="H94" i="21"/>
  <c r="L94" i="21"/>
  <c r="J101" i="21"/>
  <c r="C101" i="21"/>
  <c r="G93" i="21"/>
  <c r="K93" i="21"/>
  <c r="E94" i="21"/>
  <c r="I94" i="21"/>
  <c r="M94" i="21"/>
  <c r="Q94" i="21"/>
  <c r="N101" i="21"/>
  <c r="K101" i="21"/>
  <c r="H93" i="21"/>
  <c r="F94" i="21"/>
  <c r="N94" i="21"/>
  <c r="E101" i="21"/>
  <c r="I101" i="21"/>
  <c r="M101" i="21"/>
  <c r="F93" i="21"/>
  <c r="J93" i="21"/>
  <c r="N93" i="21"/>
  <c r="D94" i="21"/>
  <c r="P94" i="21"/>
  <c r="F101" i="21"/>
  <c r="O93" i="21"/>
  <c r="G101" i="21"/>
  <c r="L93" i="21"/>
  <c r="D93" i="21"/>
  <c r="P93" i="21"/>
  <c r="J94" i="21"/>
  <c r="C94" i="21"/>
  <c r="F89" i="21"/>
  <c r="F86" i="21"/>
  <c r="I84" i="21"/>
  <c r="D84" i="21"/>
  <c r="F84" i="21"/>
  <c r="J84" i="21"/>
  <c r="C84" i="21"/>
  <c r="G84" i="21"/>
  <c r="E84" i="21"/>
  <c r="C52" i="21"/>
  <c r="I52" i="21"/>
  <c r="D52" i="21"/>
  <c r="E52" i="21"/>
  <c r="F52" i="21"/>
  <c r="G52" i="21"/>
  <c r="H52" i="21"/>
  <c r="C34" i="21"/>
  <c r="I34" i="21"/>
  <c r="D34" i="21"/>
  <c r="E34" i="21"/>
  <c r="F34" i="21"/>
  <c r="G34" i="21"/>
  <c r="H34" i="21"/>
  <c r="J51" i="21"/>
  <c r="J52" i="21" s="1"/>
  <c r="K33" i="21"/>
  <c r="K34" i="21" s="1"/>
  <c r="D77" i="21"/>
  <c r="K83" i="21"/>
  <c r="K84" i="21" s="1"/>
  <c r="G71" i="21"/>
  <c r="D100" i="21" l="1"/>
  <c r="H100" i="21"/>
  <c r="L100" i="21"/>
  <c r="G90" i="21"/>
  <c r="K90" i="21"/>
  <c r="O90" i="21"/>
  <c r="F91" i="21"/>
  <c r="J91" i="21"/>
  <c r="N91" i="21"/>
  <c r="L90" i="21"/>
  <c r="G91" i="21"/>
  <c r="K91" i="21"/>
  <c r="O91" i="21"/>
  <c r="F100" i="21"/>
  <c r="N100" i="21"/>
  <c r="I90" i="21"/>
  <c r="Q90" i="21"/>
  <c r="H91" i="21"/>
  <c r="P91" i="21"/>
  <c r="G100" i="21"/>
  <c r="K100" i="21"/>
  <c r="F90" i="21"/>
  <c r="E91" i="21"/>
  <c r="M91" i="21"/>
  <c r="E100" i="21"/>
  <c r="I100" i="21"/>
  <c r="M100" i="21"/>
  <c r="H90" i="21"/>
  <c r="P90" i="21"/>
  <c r="J100" i="21"/>
  <c r="E90" i="21"/>
  <c r="L91" i="21"/>
  <c r="N90" i="21"/>
  <c r="M90" i="21"/>
  <c r="C100" i="21"/>
  <c r="J90" i="21"/>
  <c r="I91" i="21"/>
  <c r="Q91" i="21"/>
  <c r="K51" i="21"/>
  <c r="K52" i="21" s="1"/>
  <c r="L33" i="21"/>
  <c r="L34" i="21" s="1"/>
  <c r="E99" i="21"/>
  <c r="I99" i="21"/>
  <c r="M99" i="21"/>
  <c r="L99" i="21"/>
  <c r="F99" i="21"/>
  <c r="J99" i="21"/>
  <c r="N99" i="21"/>
  <c r="D99" i="21"/>
  <c r="G99" i="21"/>
  <c r="K99" i="21"/>
  <c r="C99" i="21"/>
  <c r="H99" i="21"/>
  <c r="L83" i="21"/>
  <c r="L84" i="21" s="1"/>
  <c r="H71" i="21"/>
  <c r="L51" i="21" l="1"/>
  <c r="L52" i="21" s="1"/>
  <c r="M33" i="21"/>
  <c r="M34" i="21" s="1"/>
  <c r="M83" i="21"/>
  <c r="M84" i="21" s="1"/>
  <c r="I71" i="21"/>
  <c r="E72" i="21" l="1"/>
  <c r="C72" i="21"/>
  <c r="I72" i="21"/>
  <c r="D72" i="21"/>
  <c r="F72" i="21"/>
  <c r="G72" i="21"/>
  <c r="H72" i="21"/>
  <c r="L35" i="21"/>
  <c r="L40" i="21" s="1"/>
  <c r="K54" i="21"/>
  <c r="K55" i="21" s="1"/>
  <c r="K53" i="21"/>
  <c r="M51" i="21"/>
  <c r="M52" i="21" s="1"/>
  <c r="L36" i="21"/>
  <c r="L37" i="21" s="1"/>
  <c r="N33" i="21"/>
  <c r="N34" i="21" s="1"/>
  <c r="K29" i="21"/>
  <c r="C85" i="21"/>
  <c r="D85" i="21"/>
  <c r="F85" i="21"/>
  <c r="F88" i="21" s="1"/>
  <c r="E85" i="21"/>
  <c r="E88" i="21" s="1"/>
  <c r="H85" i="21"/>
  <c r="H88" i="21" s="1"/>
  <c r="G85" i="21"/>
  <c r="G88" i="21" s="1"/>
  <c r="I85" i="21"/>
  <c r="I88" i="21" s="1"/>
  <c r="J85" i="21"/>
  <c r="J88" i="21" s="1"/>
  <c r="K85" i="21"/>
  <c r="K88" i="21" s="1"/>
  <c r="L85" i="21"/>
  <c r="L88" i="21" s="1"/>
  <c r="M85" i="21"/>
  <c r="M88" i="21" s="1"/>
  <c r="N83" i="21"/>
  <c r="N84" i="21" s="1"/>
  <c r="J71" i="21"/>
  <c r="J72" i="21" s="1"/>
  <c r="C88" i="21" l="1"/>
  <c r="C91" i="21"/>
  <c r="C90" i="21"/>
  <c r="D88" i="21"/>
  <c r="D90" i="21"/>
  <c r="D91" i="21"/>
  <c r="K58" i="21"/>
  <c r="K63" i="21"/>
  <c r="K65" i="21"/>
  <c r="K59" i="21"/>
  <c r="K64" i="21"/>
  <c r="E53" i="21"/>
  <c r="E54" i="21"/>
  <c r="E55" i="21" s="1"/>
  <c r="H54" i="21"/>
  <c r="H55" i="21" s="1"/>
  <c r="H53" i="21"/>
  <c r="D54" i="21"/>
  <c r="D55" i="21" s="1"/>
  <c r="D53" i="21"/>
  <c r="G53" i="21"/>
  <c r="G54" i="21"/>
  <c r="G55" i="21" s="1"/>
  <c r="C54" i="21"/>
  <c r="C55" i="21" s="1"/>
  <c r="C53" i="21"/>
  <c r="I53" i="21"/>
  <c r="I54" i="21"/>
  <c r="I55" i="21" s="1"/>
  <c r="J53" i="21"/>
  <c r="J54" i="21"/>
  <c r="J55" i="21" s="1"/>
  <c r="F53" i="21"/>
  <c r="F54" i="21"/>
  <c r="F55" i="21" s="1"/>
  <c r="L54" i="21"/>
  <c r="L55" i="21" s="1"/>
  <c r="L53" i="21"/>
  <c r="N51" i="21"/>
  <c r="N52" i="21" s="1"/>
  <c r="K28" i="21"/>
  <c r="K25" i="21"/>
  <c r="F36" i="21"/>
  <c r="F37" i="21" s="1"/>
  <c r="F35" i="21"/>
  <c r="F40" i="21" s="1"/>
  <c r="L47" i="21"/>
  <c r="L45" i="21"/>
  <c r="I35" i="21"/>
  <c r="I40" i="21" s="1"/>
  <c r="I36" i="21"/>
  <c r="I37" i="21" s="1"/>
  <c r="D36" i="21"/>
  <c r="D37" i="21" s="1"/>
  <c r="D35" i="21"/>
  <c r="D40" i="21" s="1"/>
  <c r="J36" i="21"/>
  <c r="J37" i="21" s="1"/>
  <c r="J35" i="21"/>
  <c r="J40" i="21" s="1"/>
  <c r="L46" i="21"/>
  <c r="L41" i="21"/>
  <c r="H35" i="21"/>
  <c r="H40" i="21" s="1"/>
  <c r="H36" i="21"/>
  <c r="H37" i="21" s="1"/>
  <c r="E35" i="21"/>
  <c r="E40" i="21" s="1"/>
  <c r="E36" i="21"/>
  <c r="E37" i="21" s="1"/>
  <c r="K35" i="21"/>
  <c r="K40" i="21" s="1"/>
  <c r="K36" i="21"/>
  <c r="K37" i="21" s="1"/>
  <c r="G36" i="21"/>
  <c r="G37" i="21" s="1"/>
  <c r="G35" i="21"/>
  <c r="G40" i="21" s="1"/>
  <c r="C35" i="21"/>
  <c r="C40" i="21" s="1"/>
  <c r="C36" i="21"/>
  <c r="C37" i="21" s="1"/>
  <c r="O33" i="21"/>
  <c r="O34" i="21" s="1"/>
  <c r="M35" i="21"/>
  <c r="M40" i="21" s="1"/>
  <c r="M36" i="21"/>
  <c r="M37" i="21" s="1"/>
  <c r="J28" i="21"/>
  <c r="J29" i="21"/>
  <c r="F28" i="21"/>
  <c r="F29" i="21"/>
  <c r="I28" i="21"/>
  <c r="I29" i="21"/>
  <c r="E29" i="21"/>
  <c r="E28" i="21"/>
  <c r="H29" i="21"/>
  <c r="H28" i="21"/>
  <c r="D29" i="21"/>
  <c r="G29" i="21"/>
  <c r="G28" i="21"/>
  <c r="C29" i="21"/>
  <c r="L29" i="21"/>
  <c r="L28" i="21"/>
  <c r="C73" i="21"/>
  <c r="C78" i="21" s="1"/>
  <c r="C74" i="21"/>
  <c r="C75" i="21" s="1"/>
  <c r="C79" i="21" s="1"/>
  <c r="I73" i="21"/>
  <c r="I78" i="21" s="1"/>
  <c r="I74" i="21"/>
  <c r="I75" i="21" s="1"/>
  <c r="I79" i="21" s="1"/>
  <c r="G73" i="21"/>
  <c r="G78" i="21" s="1"/>
  <c r="G74" i="21"/>
  <c r="G75" i="21" s="1"/>
  <c r="G79" i="21" s="1"/>
  <c r="E73" i="21"/>
  <c r="E78" i="21" s="1"/>
  <c r="E74" i="21"/>
  <c r="E75" i="21" s="1"/>
  <c r="E79" i="21" s="1"/>
  <c r="H73" i="21"/>
  <c r="H78" i="21" s="1"/>
  <c r="H74" i="21"/>
  <c r="H75" i="21" s="1"/>
  <c r="H79" i="21" s="1"/>
  <c r="F73" i="21"/>
  <c r="F78" i="21" s="1"/>
  <c r="F74" i="21"/>
  <c r="F75" i="21" s="1"/>
  <c r="F79" i="21" s="1"/>
  <c r="D73" i="21"/>
  <c r="D78" i="21" s="1"/>
  <c r="D74" i="21"/>
  <c r="D75" i="21" s="1"/>
  <c r="D79" i="21" s="1"/>
  <c r="I87" i="21"/>
  <c r="H87" i="21"/>
  <c r="K87" i="21"/>
  <c r="C87" i="21"/>
  <c r="J87" i="21"/>
  <c r="F87" i="21"/>
  <c r="D87" i="21"/>
  <c r="M87" i="21"/>
  <c r="E87" i="21"/>
  <c r="L87" i="21"/>
  <c r="G87" i="21"/>
  <c r="N85" i="21"/>
  <c r="N88" i="21" s="1"/>
  <c r="O83" i="21"/>
  <c r="O84" i="21" s="1"/>
  <c r="K71" i="21"/>
  <c r="K72" i="21" s="1"/>
  <c r="K24" i="21" l="1"/>
  <c r="D28" i="21"/>
  <c r="C28" i="21"/>
  <c r="F58" i="21"/>
  <c r="F63" i="21"/>
  <c r="F65" i="21"/>
  <c r="H59" i="21"/>
  <c r="H64" i="21"/>
  <c r="L58" i="21"/>
  <c r="L63" i="21"/>
  <c r="L65" i="21"/>
  <c r="J59" i="21"/>
  <c r="J64" i="21"/>
  <c r="C58" i="21"/>
  <c r="C65" i="21"/>
  <c r="C63" i="21"/>
  <c r="D58" i="21"/>
  <c r="D63" i="21"/>
  <c r="D65" i="21"/>
  <c r="E59" i="21"/>
  <c r="E64" i="21"/>
  <c r="G58" i="21"/>
  <c r="G63" i="21"/>
  <c r="G65" i="21"/>
  <c r="L59" i="21"/>
  <c r="L64" i="21"/>
  <c r="J58" i="21"/>
  <c r="J63" i="21"/>
  <c r="J65" i="21"/>
  <c r="C59" i="21"/>
  <c r="C64" i="21"/>
  <c r="D59" i="21"/>
  <c r="D64" i="21"/>
  <c r="E58" i="21"/>
  <c r="E63" i="21"/>
  <c r="E65" i="21"/>
  <c r="I58" i="21"/>
  <c r="I63" i="21"/>
  <c r="I65" i="21"/>
  <c r="F59" i="21"/>
  <c r="F64" i="21"/>
  <c r="I59" i="21"/>
  <c r="I64" i="21"/>
  <c r="G59" i="21"/>
  <c r="G64" i="21"/>
  <c r="H58" i="21"/>
  <c r="H63" i="21"/>
  <c r="H65" i="21"/>
  <c r="O51" i="21"/>
  <c r="O52" i="21" s="1"/>
  <c r="M53" i="21"/>
  <c r="M54" i="21"/>
  <c r="M55" i="21" s="1"/>
  <c r="F24" i="21"/>
  <c r="G46" i="21"/>
  <c r="G41" i="21"/>
  <c r="J41" i="21"/>
  <c r="J46" i="21"/>
  <c r="I47" i="21"/>
  <c r="I45" i="21"/>
  <c r="F47" i="21"/>
  <c r="F45" i="21"/>
  <c r="L24" i="21"/>
  <c r="C24" i="21"/>
  <c r="H24" i="21"/>
  <c r="I25" i="21"/>
  <c r="J25" i="21"/>
  <c r="M46" i="21"/>
  <c r="M41" i="21"/>
  <c r="C41" i="21"/>
  <c r="C46" i="21"/>
  <c r="K41" i="21"/>
  <c r="K46" i="21"/>
  <c r="H46" i="21"/>
  <c r="H41" i="21"/>
  <c r="D47" i="21"/>
  <c r="D45" i="21"/>
  <c r="F41" i="21"/>
  <c r="F46" i="21"/>
  <c r="G25" i="21"/>
  <c r="D25" i="21"/>
  <c r="E25" i="21"/>
  <c r="E47" i="21"/>
  <c r="E45" i="21"/>
  <c r="L25" i="21"/>
  <c r="C25" i="21"/>
  <c r="H25" i="21"/>
  <c r="I24" i="21"/>
  <c r="J24" i="21"/>
  <c r="M47" i="21"/>
  <c r="M45" i="21"/>
  <c r="C47" i="21"/>
  <c r="C45" i="21"/>
  <c r="K47" i="21"/>
  <c r="K45" i="21"/>
  <c r="H47" i="21"/>
  <c r="H45" i="21"/>
  <c r="D41" i="21"/>
  <c r="D46" i="21"/>
  <c r="G24" i="21"/>
  <c r="D24" i="21"/>
  <c r="E24" i="21"/>
  <c r="F25" i="21"/>
  <c r="G47" i="21"/>
  <c r="G45" i="21"/>
  <c r="E41" i="21"/>
  <c r="E46" i="21"/>
  <c r="J47" i="21"/>
  <c r="J45" i="21"/>
  <c r="I46" i="21"/>
  <c r="I41" i="21"/>
  <c r="O36" i="21"/>
  <c r="O37" i="21" s="1"/>
  <c r="O35" i="21"/>
  <c r="O40" i="21" s="1"/>
  <c r="N36" i="21"/>
  <c r="N37" i="21" s="1"/>
  <c r="N35" i="21"/>
  <c r="N40" i="21" s="1"/>
  <c r="M28" i="21"/>
  <c r="M29" i="21"/>
  <c r="J73" i="21"/>
  <c r="J78" i="21" s="1"/>
  <c r="J74" i="21"/>
  <c r="J75" i="21" s="1"/>
  <c r="J79" i="21" s="1"/>
  <c r="N87" i="21"/>
  <c r="O85" i="21"/>
  <c r="O88" i="21" s="1"/>
  <c r="P83" i="21"/>
  <c r="P84" i="21" s="1"/>
  <c r="L71" i="21"/>
  <c r="L72" i="21" s="1"/>
  <c r="M58" i="21" l="1"/>
  <c r="M63" i="21"/>
  <c r="M65" i="21"/>
  <c r="M59" i="21"/>
  <c r="M64" i="21"/>
  <c r="O53" i="21"/>
  <c r="O54" i="21"/>
  <c r="O55" i="21" s="1"/>
  <c r="N54" i="21"/>
  <c r="N55" i="21" s="1"/>
  <c r="N53" i="21"/>
  <c r="M24" i="21"/>
  <c r="O41" i="21"/>
  <c r="O46" i="21"/>
  <c r="O47" i="21"/>
  <c r="O45" i="21"/>
  <c r="N47" i="21"/>
  <c r="N45" i="21"/>
  <c r="M25" i="21"/>
  <c r="N46" i="21"/>
  <c r="N41" i="21"/>
  <c r="O29" i="21"/>
  <c r="N28" i="21"/>
  <c r="N29" i="21"/>
  <c r="K73" i="21"/>
  <c r="K78" i="21" s="1"/>
  <c r="K74" i="21"/>
  <c r="K75" i="21" s="1"/>
  <c r="K79" i="21" s="1"/>
  <c r="O87" i="21"/>
  <c r="P85" i="21"/>
  <c r="P88" i="21" s="1"/>
  <c r="Q83" i="21"/>
  <c r="M71" i="21"/>
  <c r="M72" i="21" s="1"/>
  <c r="Q84" i="21" l="1"/>
  <c r="Q85" i="21" s="1"/>
  <c r="Q88" i="21" s="1"/>
  <c r="N59" i="21"/>
  <c r="N64" i="21"/>
  <c r="O59" i="21"/>
  <c r="O64" i="21"/>
  <c r="O58" i="21"/>
  <c r="O63" i="21"/>
  <c r="O65" i="21"/>
  <c r="N58" i="21"/>
  <c r="N63" i="21"/>
  <c r="N65" i="21"/>
  <c r="N25" i="21"/>
  <c r="N24" i="21"/>
  <c r="O25" i="21"/>
  <c r="O28" i="21"/>
  <c r="L73" i="21"/>
  <c r="L78" i="21" s="1"/>
  <c r="L74" i="21"/>
  <c r="L75" i="21" s="1"/>
  <c r="L79" i="21" s="1"/>
  <c r="P87" i="21"/>
  <c r="N71" i="21"/>
  <c r="N72" i="21" s="1"/>
  <c r="Q139" i="21" l="1"/>
  <c r="Q140" i="21" s="1"/>
  <c r="Q138" i="21"/>
  <c r="Q87" i="21"/>
  <c r="O24" i="21"/>
  <c r="M73" i="21"/>
  <c r="M78" i="21" s="1"/>
  <c r="M74" i="21"/>
  <c r="M75" i="21" s="1"/>
  <c r="M79" i="21" s="1"/>
  <c r="O71" i="21"/>
  <c r="O72" i="21" s="1"/>
  <c r="N73" i="21" l="1"/>
  <c r="N78" i="21" s="1"/>
  <c r="N74" i="21"/>
  <c r="N75" i="21" s="1"/>
  <c r="N79" i="21" s="1"/>
  <c r="O73" i="21"/>
  <c r="O78" i="21" s="1"/>
  <c r="O74" i="21"/>
  <c r="O75" i="21" s="1"/>
  <c r="O79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<sst xmlns="http://schemas.openxmlformats.org/spreadsheetml/2006/main" count="1209" uniqueCount="841">
  <si>
    <t>Day</t>
  </si>
  <si>
    <t>سمت</t>
  </si>
  <si>
    <t>ارتفاع</t>
  </si>
  <si>
    <t>mBar</t>
  </si>
  <si>
    <r>
      <t>C</t>
    </r>
    <r>
      <rPr>
        <vertAlign val="superscript"/>
        <sz val="11"/>
        <color theme="1"/>
        <rFont val="Calibri"/>
        <family val="2"/>
        <scheme val="minor"/>
      </rPr>
      <t>o</t>
    </r>
  </si>
  <si>
    <t>اعتدال بهاری</t>
  </si>
  <si>
    <t>انقلاب تابستانی</t>
  </si>
  <si>
    <t>انقلاب زمستانی</t>
  </si>
  <si>
    <t>ماه</t>
  </si>
  <si>
    <t>روز</t>
  </si>
  <si>
    <t>ساعت</t>
  </si>
  <si>
    <t>دقیقه</t>
  </si>
  <si>
    <t xml:space="preserve">مکان </t>
  </si>
  <si>
    <t>عرض</t>
  </si>
  <si>
    <t>ساعت خورشیدی</t>
  </si>
  <si>
    <t>1400/12/29</t>
  </si>
  <si>
    <t>1401/8/16</t>
  </si>
  <si>
    <t>1401/9/1</t>
  </si>
  <si>
    <t>1401/9/30</t>
  </si>
  <si>
    <t>مکان</t>
  </si>
  <si>
    <t>ارتفاع شاخص</t>
  </si>
  <si>
    <t>میل صفحه</t>
  </si>
  <si>
    <t>قطبی</t>
  </si>
  <si>
    <t>طول شاخص</t>
  </si>
  <si>
    <t>زاویه با صفحه</t>
  </si>
  <si>
    <t>شیب صفحه</t>
  </si>
  <si>
    <t>طول</t>
  </si>
  <si>
    <t xml:space="preserve">اختلاف ساعت </t>
  </si>
  <si>
    <t>x پی شاخص</t>
  </si>
  <si>
    <t>y پی شاخص</t>
  </si>
  <si>
    <t>θ</t>
  </si>
  <si>
    <t>ε</t>
  </si>
  <si>
    <r>
      <rPr>
        <sz val="11"/>
        <color theme="1"/>
        <rFont val="Symbol"/>
        <family val="1"/>
        <charset val="2"/>
      </rPr>
      <t>p</t>
    </r>
    <r>
      <rPr>
        <sz val="11"/>
        <color theme="1"/>
        <rFont val="Calibri"/>
        <family val="2"/>
        <scheme val="minor"/>
      </rPr>
      <t>/2-φ</t>
    </r>
  </si>
  <si>
    <t>b</t>
  </si>
  <si>
    <t>r</t>
  </si>
  <si>
    <t>φ</t>
  </si>
  <si>
    <t>l</t>
  </si>
  <si>
    <t>e</t>
  </si>
  <si>
    <t>ye</t>
  </si>
  <si>
    <t>x=xe</t>
  </si>
  <si>
    <t>ساعت  خورشيدي دوسيم افقي</t>
  </si>
  <si>
    <t>0:0:0</t>
  </si>
  <si>
    <t xml:space="preserve">Sa = arctan (sin(φ) · tan(Ha )) </t>
  </si>
  <si>
    <t>Sa = arctan (cos(φ) · tan(Ha))</t>
  </si>
  <si>
    <t>90 - φ</t>
  </si>
  <si>
    <r>
      <t>Sa = ATAN(sin(</t>
    </r>
    <r>
      <rPr>
        <sz val="11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 xml:space="preserve">) · tan(Ha )) </t>
    </r>
  </si>
  <si>
    <r>
      <rPr>
        <b/>
        <sz val="11"/>
        <color theme="1"/>
        <rFont val="Calibri"/>
        <family val="2"/>
        <scheme val="minor"/>
      </rPr>
      <t>β</t>
    </r>
    <r>
      <rPr>
        <sz val="11"/>
        <color theme="1"/>
        <rFont val="Calibri"/>
        <family val="2"/>
        <scheme val="minor"/>
      </rPr>
      <t xml:space="preserve"> = arctan(tan(φ) sin(θ))</t>
    </r>
  </si>
  <si>
    <r>
      <rPr>
        <b/>
        <sz val="11"/>
        <color theme="1"/>
        <rFont val="Symbol"/>
        <family val="1"/>
        <charset val="2"/>
      </rPr>
      <t xml:space="preserve">r </t>
    </r>
    <r>
      <rPr>
        <sz val="11"/>
        <color theme="1"/>
        <rFont val="Calibri"/>
        <family val="2"/>
        <scheme val="minor"/>
      </rPr>
      <t>= arcsin(sin(φ) cos(θ)</t>
    </r>
  </si>
  <si>
    <t>Sa = ATAN(sin(φ)sin(Ha)/(cos(θ) cos(Ha) + cos(φ) sin(θ)sin(Ha)))</t>
  </si>
  <si>
    <t>Sa = ATAN(cos(φ)sin(Ha)/(cos(θ) cos(Ha) + sin(φ) sin(θ)sin(Ha)))</t>
  </si>
  <si>
    <r>
      <rPr>
        <b/>
        <sz val="11"/>
        <color theme="1"/>
        <rFont val="Calibri"/>
        <family val="2"/>
        <scheme val="minor"/>
      </rPr>
      <t>β</t>
    </r>
    <r>
      <rPr>
        <sz val="11"/>
        <color theme="1"/>
        <rFont val="Calibri"/>
        <family val="2"/>
        <scheme val="minor"/>
      </rPr>
      <t xml:space="preserve"> = arctan( sin(θ)/tan(φ))</t>
    </r>
  </si>
  <si>
    <r>
      <rPr>
        <b/>
        <sz val="11"/>
        <color theme="1"/>
        <rFont val="Symbol"/>
        <family val="1"/>
        <charset val="2"/>
      </rPr>
      <t xml:space="preserve">r </t>
    </r>
    <r>
      <rPr>
        <sz val="11"/>
        <color theme="1"/>
        <rFont val="Calibri"/>
        <family val="2"/>
        <scheme val="minor"/>
      </rPr>
      <t>= arcsin(cos(φ) cos(θ)</t>
    </r>
  </si>
  <si>
    <t>زاویه با افق</t>
  </si>
  <si>
    <t>1401/3/31</t>
  </si>
  <si>
    <t>1401/1/15</t>
  </si>
  <si>
    <t>1401/1/31</t>
  </si>
  <si>
    <t>1401/2/15</t>
  </si>
  <si>
    <t>1401/2/31</t>
  </si>
  <si>
    <t>1401/7/1</t>
  </si>
  <si>
    <t>1401/7/15</t>
  </si>
  <si>
    <t>1401/8/1</t>
  </si>
  <si>
    <t>Month</t>
  </si>
  <si>
    <t>Radians</t>
  </si>
  <si>
    <t>Sin</t>
  </si>
  <si>
    <t>Cos</t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</si>
  <si>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= ATAN((cos(φ) · sin(θ))/|cos(ε) · sin(φ) − sin(ε) · cos(θ) · cos(φ)|)</t>
    </r>
  </si>
  <si>
    <t>ρ = ASIN(sin(φ) sin(ε) + cos(ε) cos(φ) cos(θ))</t>
  </si>
  <si>
    <t>Sa=  ATAN((sin(ε) cos(θ) sin(φ) + cos(ε) cos(φ) − cot(τ) sin(ε) sin(θ))/(cot(τ) cos(θ) + sin(φ) sin(θ)))</t>
  </si>
  <si>
    <t>M =</t>
  </si>
  <si>
    <r>
      <rPr>
        <sz val="11"/>
        <color theme="1"/>
        <rFont val="Symbol"/>
        <family val="1"/>
        <charset val="2"/>
      </rPr>
      <t xml:space="preserve">d </t>
    </r>
    <r>
      <rPr>
        <sz val="11"/>
        <color theme="1"/>
        <rFont val="Calibri"/>
        <family val="2"/>
        <scheme val="minor"/>
      </rPr>
      <t xml:space="preserve">= </t>
    </r>
  </si>
  <si>
    <r>
      <rPr>
        <sz val="11"/>
        <color theme="1"/>
        <rFont val="Symbol"/>
        <family val="1"/>
        <charset val="2"/>
      </rPr>
      <t xml:space="preserve">d </t>
    </r>
    <r>
      <rPr>
        <sz val="11"/>
        <color theme="1"/>
        <rFont val="Calibri"/>
        <family val="2"/>
        <scheme val="minor"/>
      </rPr>
      <t>=</t>
    </r>
  </si>
  <si>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 xml:space="preserve"> = 0 , d =</t>
    </r>
  </si>
  <si>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 xml:space="preserve"> = 23.44 , d =</t>
    </r>
  </si>
  <si>
    <t>Sun Delination</t>
  </si>
  <si>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 xml:space="preserve"> = -23.44 , d =</t>
    </r>
  </si>
  <si>
    <t>23 Septemer</t>
  </si>
  <si>
    <t>طول جغرافیایی</t>
  </si>
  <si>
    <t>عرض جغرافیایی</t>
  </si>
  <si>
    <t>ارتفاع از سطح دریا</t>
  </si>
  <si>
    <t>ناحیه ساعتی</t>
  </si>
  <si>
    <t>اختلاف ساعت محلی و رسمی</t>
  </si>
  <si>
    <t>فشار هوا</t>
  </si>
  <si>
    <t>دمای هوا</t>
  </si>
  <si>
    <t>زاویه های خط ساعت</t>
  </si>
  <si>
    <r>
      <t xml:space="preserve">صفحه با زاویه نسبت به استوا   </t>
    </r>
    <r>
      <rPr>
        <b/>
        <sz val="12"/>
        <color theme="1"/>
        <rFont val="Symbol"/>
        <family val="1"/>
        <charset val="2"/>
      </rPr>
      <t>e</t>
    </r>
  </si>
  <si>
    <r>
      <t>e</t>
    </r>
    <r>
      <rPr>
        <b/>
        <sz val="11"/>
        <color theme="1"/>
        <rFont val="B Nazanin"/>
        <charset val="178"/>
      </rPr>
      <t xml:space="preserve"> استوایی</t>
    </r>
    <r>
      <rPr>
        <b/>
        <sz val="11"/>
        <color theme="1"/>
        <rFont val="Symbol"/>
        <family val="1"/>
        <charset val="2"/>
      </rPr>
      <t xml:space="preserve"> =</t>
    </r>
  </si>
  <si>
    <r>
      <t>e</t>
    </r>
    <r>
      <rPr>
        <b/>
        <sz val="11"/>
        <color theme="1"/>
        <rFont val="B Nazanin"/>
        <charset val="178"/>
      </rPr>
      <t xml:space="preserve"> قطبی</t>
    </r>
    <r>
      <rPr>
        <b/>
        <sz val="11"/>
        <color theme="1"/>
        <rFont val="Symbol"/>
        <family val="1"/>
        <charset val="2"/>
      </rPr>
      <t xml:space="preserve"> =</t>
    </r>
  </si>
  <si>
    <r>
      <t>e</t>
    </r>
    <r>
      <rPr>
        <b/>
        <sz val="11"/>
        <color theme="1"/>
        <rFont val="B Nazanin"/>
        <charset val="178"/>
      </rPr>
      <t xml:space="preserve"> افقی</t>
    </r>
    <r>
      <rPr>
        <b/>
        <sz val="11"/>
        <color theme="1"/>
        <rFont val="Symbol"/>
        <family val="1"/>
        <charset val="2"/>
      </rPr>
      <t xml:space="preserve"> =</t>
    </r>
  </si>
  <si>
    <r>
      <t>e</t>
    </r>
    <r>
      <rPr>
        <b/>
        <sz val="11"/>
        <color theme="1"/>
        <rFont val="B Nazanin"/>
        <charset val="178"/>
      </rPr>
      <t xml:space="preserve"> عمودی</t>
    </r>
    <r>
      <rPr>
        <b/>
        <sz val="11"/>
        <color theme="1"/>
        <rFont val="Symbol"/>
        <family val="1"/>
        <charset val="2"/>
      </rPr>
      <t xml:space="preserve"> =</t>
    </r>
  </si>
  <si>
    <t>زاویه ساعتی درجه</t>
  </si>
  <si>
    <t>زاویه ساعتی رادیان</t>
  </si>
  <si>
    <t>زاویه زمانی با ساعت رسمی درجه</t>
  </si>
  <si>
    <t>زاویه زمانی با ساعت رسمی رادیان</t>
  </si>
  <si>
    <t>زاویه های صفحه</t>
  </si>
  <si>
    <t>زاویه های خط ساعت خورشیدی</t>
  </si>
  <si>
    <t>زاویه های خط ساعت رسمی</t>
  </si>
  <si>
    <t>افقی</t>
  </si>
  <si>
    <t>عمودی</t>
  </si>
  <si>
    <t>ظهر به وقت محل</t>
  </si>
  <si>
    <t>تعدیل زمان</t>
  </si>
  <si>
    <t>میل متوسط خورشید</t>
  </si>
  <si>
    <t>ارتفاع خورشید در ظهر</t>
  </si>
  <si>
    <t>میل ظاهری خورشید</t>
  </si>
  <si>
    <t>استوایی</t>
  </si>
  <si>
    <t xml:space="preserve">عمودی </t>
  </si>
  <si>
    <t>عمومی</t>
  </si>
  <si>
    <t>دوسیم افقی</t>
  </si>
  <si>
    <t>دوسیم عمودی</t>
  </si>
  <si>
    <t>زمان خورشیدی در مکان</t>
  </si>
  <si>
    <t>زمان خورشیدی در مکان با ساعت رسمی</t>
  </si>
  <si>
    <t>انتخاب داده</t>
  </si>
  <si>
    <t>انتخاب  تقویم</t>
  </si>
  <si>
    <t>سال</t>
  </si>
  <si>
    <t>انتخاب ساعت خورشیدی</t>
  </si>
  <si>
    <t>انتخاب زمان</t>
  </si>
  <si>
    <t>شیب</t>
  </si>
  <si>
    <t>میل</t>
  </si>
  <si>
    <t xml:space="preserve">طول </t>
  </si>
  <si>
    <t>ناحیه زمانی</t>
  </si>
  <si>
    <t>اعتدال پائیزی</t>
  </si>
  <si>
    <t>زمان</t>
  </si>
  <si>
    <t>از سال</t>
  </si>
  <si>
    <t>تا سال</t>
  </si>
  <si>
    <t>زاویه های شاخص</t>
  </si>
  <si>
    <t>فاصله تا شاخص</t>
  </si>
  <si>
    <t>زاویه ساعتی با ساعت رسمی درجه</t>
  </si>
  <si>
    <t>زاویه ساعتی با ساعت رسمی رادیان</t>
  </si>
  <si>
    <r>
      <t xml:space="preserve"> صفحه افقی با دوران حول محور شمال-جنوب به اندازه  </t>
    </r>
    <r>
      <rPr>
        <b/>
        <sz val="11"/>
        <color theme="1"/>
        <rFont val="Symbol"/>
        <family val="1"/>
        <charset val="2"/>
      </rPr>
      <t>q</t>
    </r>
  </si>
  <si>
    <r>
      <t xml:space="preserve">θ </t>
    </r>
    <r>
      <rPr>
        <b/>
        <sz val="11"/>
        <color theme="1"/>
        <rFont val="B Nazanin"/>
        <charset val="178"/>
      </rPr>
      <t>دوران حول محور شمال-جنوب</t>
    </r>
    <r>
      <rPr>
        <b/>
        <sz val="11"/>
        <color theme="1"/>
        <rFont val="Calibri"/>
        <family val="2"/>
        <scheme val="minor"/>
      </rPr>
      <t xml:space="preserve"> </t>
    </r>
  </si>
  <si>
    <t>عمودی رو به شرق</t>
  </si>
  <si>
    <r>
      <t xml:space="preserve">صفحه عمودی با دوران حول محور شاغول به اندازه </t>
    </r>
    <r>
      <rPr>
        <b/>
        <sz val="11"/>
        <color theme="1"/>
        <rFont val="Symbol"/>
        <family val="1"/>
        <charset val="2"/>
      </rPr>
      <t>q</t>
    </r>
  </si>
  <si>
    <r>
      <t xml:space="preserve">θ </t>
    </r>
    <r>
      <rPr>
        <b/>
        <sz val="11"/>
        <color theme="1"/>
        <rFont val="B Nazanin"/>
        <charset val="178"/>
      </rPr>
      <t>دوران حول محور شاغول</t>
    </r>
    <r>
      <rPr>
        <b/>
        <sz val="11"/>
        <color theme="1"/>
        <rFont val="Calibri"/>
        <family val="2"/>
        <scheme val="minor"/>
      </rPr>
      <t xml:space="preserve"> </t>
    </r>
  </si>
  <si>
    <t>عمودی رو به غرب</t>
  </si>
  <si>
    <t xml:space="preserve">دوران صفحه افقی به اندازه 90 درجه </t>
  </si>
  <si>
    <t xml:space="preserve">دوران صفحه عمودی به اندازه 90 درجه </t>
  </si>
  <si>
    <r>
      <t xml:space="preserve">دوران صفحه عمودی حول شاغول به اندازه </t>
    </r>
    <r>
      <rPr>
        <b/>
        <sz val="11"/>
        <color theme="1"/>
        <rFont val="Symbol"/>
        <family val="1"/>
        <charset val="2"/>
      </rPr>
      <t>، q،</t>
    </r>
    <r>
      <rPr>
        <b/>
        <sz val="11"/>
        <color theme="1"/>
        <rFont val="B Nazanin"/>
        <charset val="178"/>
      </rPr>
      <t xml:space="preserve"> و  دوران حول محور افقی صفحه با اندازه </t>
    </r>
    <r>
      <rPr>
        <b/>
        <sz val="11"/>
        <color theme="1"/>
        <rFont val="Symbol"/>
        <family val="1"/>
        <charset val="2"/>
      </rPr>
      <t>e</t>
    </r>
  </si>
  <si>
    <t>زاویه</t>
  </si>
  <si>
    <t xml:space="preserve"> ساعت بی شاخص ثابت با شاخصی با ارتفاع  =</t>
  </si>
  <si>
    <t>استوایی شمالی</t>
  </si>
  <si>
    <t>استوایی جنوبی</t>
  </si>
  <si>
    <t>عمومی با شاخص کلی</t>
  </si>
  <si>
    <t>میل شاخص</t>
  </si>
  <si>
    <t>شیب شاخص</t>
  </si>
  <si>
    <t xml:space="preserve">افقی </t>
  </si>
  <si>
    <t>زاویه با محور</t>
  </si>
  <si>
    <t>ساعت خورشيدي عمومي</t>
  </si>
  <si>
    <t>ساعت خورشيدي افقي</t>
  </si>
  <si>
    <t>ساعت خورشيدي استوايي</t>
  </si>
  <si>
    <t>ساعت خورشيدي قطبي</t>
  </si>
  <si>
    <t>ساعت خورشيدي عمودي</t>
  </si>
  <si>
    <t>ساعت خورشيدي استوايي جنوب</t>
  </si>
  <si>
    <t>-8:27:45</t>
  </si>
  <si>
    <t>Apparent Declination of Sun, Delta,Degrees</t>
  </si>
  <si>
    <t>0:12:10</t>
  </si>
  <si>
    <t>0:35:52</t>
  </si>
  <si>
    <t>0:59:32</t>
  </si>
  <si>
    <t>1:23:11</t>
  </si>
  <si>
    <t>1:46:47</t>
  </si>
  <si>
    <t>2:10:21</t>
  </si>
  <si>
    <t>2:33:52</t>
  </si>
  <si>
    <t>2:57:20</t>
  </si>
  <si>
    <t>3:20:45</t>
  </si>
  <si>
    <t>3:44:6</t>
  </si>
  <si>
    <t>4:7:22</t>
  </si>
  <si>
    <t>4:30:34</t>
  </si>
  <si>
    <t>4:53:42</t>
  </si>
  <si>
    <t>5:16:43</t>
  </si>
  <si>
    <t>5:39:40</t>
  </si>
  <si>
    <t>6:2:30</t>
  </si>
  <si>
    <t>6:25:14</t>
  </si>
  <si>
    <t>6:47:52</t>
  </si>
  <si>
    <t>7:10:22</t>
  </si>
  <si>
    <t>7:32:46</t>
  </si>
  <si>
    <t>7:55:1</t>
  </si>
  <si>
    <t>8:17:9</t>
  </si>
  <si>
    <t>8:39:8</t>
  </si>
  <si>
    <t>9:0:59</t>
  </si>
  <si>
    <t>9:22:41</t>
  </si>
  <si>
    <t>9:44:13</t>
  </si>
  <si>
    <t>10:5:36</t>
  </si>
  <si>
    <t>10:26:48</t>
  </si>
  <si>
    <t>10:47:51</t>
  </si>
  <si>
    <t>11:8:42</t>
  </si>
  <si>
    <t>11:29:23</t>
  </si>
  <si>
    <t>11:49:52</t>
  </si>
  <si>
    <t>12:10:10</t>
  </si>
  <si>
    <t>12:30:15</t>
  </si>
  <si>
    <t>12:50:8</t>
  </si>
  <si>
    <t>13:9:49</t>
  </si>
  <si>
    <t>13:29:16</t>
  </si>
  <si>
    <t>13:48:31</t>
  </si>
  <si>
    <t>14:7:31</t>
  </si>
  <si>
    <t>14:26:18</t>
  </si>
  <si>
    <t>14:44:50</t>
  </si>
  <si>
    <t>15:3:8</t>
  </si>
  <si>
    <t>15:21:11</t>
  </si>
  <si>
    <t>15:38:59</t>
  </si>
  <si>
    <t>15:56:31</t>
  </si>
  <si>
    <t>16:13:47</t>
  </si>
  <si>
    <t>16:30:47</t>
  </si>
  <si>
    <t>16:47:30</t>
  </si>
  <si>
    <t>17:3:57</t>
  </si>
  <si>
    <t>17:20:7</t>
  </si>
  <si>
    <t>17:35:59</t>
  </si>
  <si>
    <t>17:51:34</t>
  </si>
  <si>
    <t>18:6:50</t>
  </si>
  <si>
    <t>18:21:48</t>
  </si>
  <si>
    <t>18:36:28</t>
  </si>
  <si>
    <t>18:50:49</t>
  </si>
  <si>
    <t>19:4:51</t>
  </si>
  <si>
    <t>19:18:33</t>
  </si>
  <si>
    <t>19:31:56</t>
  </si>
  <si>
    <t>19:44:59</t>
  </si>
  <si>
    <t>19:57:42</t>
  </si>
  <si>
    <t>20:10:4</t>
  </si>
  <si>
    <t>20:22:5</t>
  </si>
  <si>
    <t>20:33:46</t>
  </si>
  <si>
    <t>20:45:5</t>
  </si>
  <si>
    <t>20:56:3</t>
  </si>
  <si>
    <t>21:6:39</t>
  </si>
  <si>
    <t>21:16:54</t>
  </si>
  <si>
    <t>21:26:46</t>
  </si>
  <si>
    <t>21:36:16</t>
  </si>
  <si>
    <t>21:45:24</t>
  </si>
  <si>
    <t>21:54:9</t>
  </si>
  <si>
    <t>22:2:31</t>
  </si>
  <si>
    <t>22:10:30</t>
  </si>
  <si>
    <t>22:18:6</t>
  </si>
  <si>
    <t>22:25:18</t>
  </si>
  <si>
    <t>22:32:7</t>
  </si>
  <si>
    <t>22:38:32</t>
  </si>
  <si>
    <t>22:44:33</t>
  </si>
  <si>
    <t>22:50:11</t>
  </si>
  <si>
    <t>22:55:24</t>
  </si>
  <si>
    <t>23:0:13</t>
  </si>
  <si>
    <t>23:4:38</t>
  </si>
  <si>
    <t>23:8:38</t>
  </si>
  <si>
    <t>23:12:14</t>
  </si>
  <si>
    <t>23:15:25</t>
  </si>
  <si>
    <t>23:18:12</t>
  </si>
  <si>
    <t>23:20:34</t>
  </si>
  <si>
    <t>23:22:31</t>
  </si>
  <si>
    <t>23:24:4</t>
  </si>
  <si>
    <t>23:25:11</t>
  </si>
  <si>
    <t>23:25:54</t>
  </si>
  <si>
    <t>23:26:12</t>
  </si>
  <si>
    <t>23:26:5</t>
  </si>
  <si>
    <t>23:25:34</t>
  </si>
  <si>
    <t>23:24:38</t>
  </si>
  <si>
    <t>23:23:17</t>
  </si>
  <si>
    <t>23:21:31</t>
  </si>
  <si>
    <t>23:19:20</t>
  </si>
  <si>
    <t>23:16:45</t>
  </si>
  <si>
    <t>23:13:46</t>
  </si>
  <si>
    <t>23:10:22</t>
  </si>
  <si>
    <t>23:6:34</t>
  </si>
  <si>
    <t>23:2:21</t>
  </si>
  <si>
    <t>22:57:44</t>
  </si>
  <si>
    <t>22:52:43</t>
  </si>
  <si>
    <t>22:47:19</t>
  </si>
  <si>
    <t>22:41:30</t>
  </si>
  <si>
    <t>22:35:18</t>
  </si>
  <si>
    <t>22:28:43</t>
  </si>
  <si>
    <t>22:21:44</t>
  </si>
  <si>
    <t>22:14:22</t>
  </si>
  <si>
    <t>22:6:37</t>
  </si>
  <si>
    <t>21:58:29</t>
  </si>
  <si>
    <t>21:49:59</t>
  </si>
  <si>
    <t>21:41:6</t>
  </si>
  <si>
    <t>21:31:51</t>
  </si>
  <si>
    <t>21:22:14</t>
  </si>
  <si>
    <t>21:12:15</t>
  </si>
  <si>
    <t>21:1:55</t>
  </si>
  <si>
    <t>20:51:13</t>
  </si>
  <si>
    <t>20:40:11</t>
  </si>
  <si>
    <t>20:28:47</t>
  </si>
  <si>
    <t>20:17:3</t>
  </si>
  <si>
    <t>20:4:58</t>
  </si>
  <si>
    <t>19:52:34</t>
  </si>
  <si>
    <t>19:39:49</t>
  </si>
  <si>
    <t>19:26:45</t>
  </si>
  <si>
    <t>19:13:22</t>
  </si>
  <si>
    <t>18:59:39</t>
  </si>
  <si>
    <t>18:45:38</t>
  </si>
  <si>
    <t>18:31:18</t>
  </si>
  <si>
    <t>18:16:40</t>
  </si>
  <si>
    <t>18:1:45</t>
  </si>
  <si>
    <t>17:46:31</t>
  </si>
  <si>
    <t>17:31:0</t>
  </si>
  <si>
    <t>17:15:12</t>
  </si>
  <si>
    <t>16:59:8</t>
  </si>
  <si>
    <t>16:42:47</t>
  </si>
  <si>
    <t>16:26:9</t>
  </si>
  <si>
    <t>16:9:16</t>
  </si>
  <si>
    <t>15:52:8</t>
  </si>
  <si>
    <t>15:34:44</t>
  </si>
  <si>
    <t>15:17:5</t>
  </si>
  <si>
    <t>14:59:11</t>
  </si>
  <si>
    <t>14:41:4</t>
  </si>
  <si>
    <t>14:22:42</t>
  </si>
  <si>
    <t>14:4:6</t>
  </si>
  <si>
    <t>13:45:17</t>
  </si>
  <si>
    <t>13:26:15</t>
  </si>
  <si>
    <t>13:7:0</t>
  </si>
  <si>
    <t>12:47:33</t>
  </si>
  <si>
    <t>12:27:54</t>
  </si>
  <si>
    <t>12:8:3</t>
  </si>
  <si>
    <t>11:48:0</t>
  </si>
  <si>
    <t>11:27:46</t>
  </si>
  <si>
    <t>11:7:22</t>
  </si>
  <si>
    <t>10:46:46</t>
  </si>
  <si>
    <t>10:26:1</t>
  </si>
  <si>
    <t>10:5:6</t>
  </si>
  <si>
    <t>9:44:1</t>
  </si>
  <si>
    <t>9:22:46</t>
  </si>
  <si>
    <t>9:1:23</t>
  </si>
  <si>
    <t>8:39:51</t>
  </si>
  <si>
    <t>8:18:11</t>
  </si>
  <si>
    <t>7:56:23</t>
  </si>
  <si>
    <t>7:34:27</t>
  </si>
  <si>
    <t>7:12:24</t>
  </si>
  <si>
    <t>6:50:14</t>
  </si>
  <si>
    <t>6:27:57</t>
  </si>
  <si>
    <t>6:5:34</t>
  </si>
  <si>
    <t>5:43:5</t>
  </si>
  <si>
    <t>5:20:30</t>
  </si>
  <si>
    <t>4:57:49</t>
  </si>
  <si>
    <t>4:35:4</t>
  </si>
  <si>
    <t>4:12:14</t>
  </si>
  <si>
    <t>3:49:19</t>
  </si>
  <si>
    <t>3:26:21</t>
  </si>
  <si>
    <t>3:3:18</t>
  </si>
  <si>
    <t>2:40:13</t>
  </si>
  <si>
    <t>2:17:4</t>
  </si>
  <si>
    <t>1:53:52</t>
  </si>
  <si>
    <t>1:30:38</t>
  </si>
  <si>
    <t>1:7:22</t>
  </si>
  <si>
    <t>0:44:4</t>
  </si>
  <si>
    <t>0:20:44</t>
  </si>
  <si>
    <t>0:-2:36</t>
  </si>
  <si>
    <t>0:-25:57</t>
  </si>
  <si>
    <t>0:-49:19</t>
  </si>
  <si>
    <t>-1:12:40</t>
  </si>
  <si>
    <t>-1:36:2</t>
  </si>
  <si>
    <t>-1:59:23</t>
  </si>
  <si>
    <t>-2:22:42</t>
  </si>
  <si>
    <t>-2:46:1</t>
  </si>
  <si>
    <t>-3:9:18</t>
  </si>
  <si>
    <t>-3:32:33</t>
  </si>
  <si>
    <t>-3:55:45</t>
  </si>
  <si>
    <t>-4:18:55</t>
  </si>
  <si>
    <t>-4:42:1</t>
  </si>
  <si>
    <t>-5:5:4</t>
  </si>
  <si>
    <t>-5:28:4</t>
  </si>
  <si>
    <t>-5:50:59</t>
  </si>
  <si>
    <t>-6:13:49</t>
  </si>
  <si>
    <t>-6:36:35</t>
  </si>
  <si>
    <t>-6:59:16</t>
  </si>
  <si>
    <t>-7:21:51</t>
  </si>
  <si>
    <t>-7:44:19</t>
  </si>
  <si>
    <t>-8:6:42</t>
  </si>
  <si>
    <t>-8:28:57</t>
  </si>
  <si>
    <t>-8:51:6</t>
  </si>
  <si>
    <t>-9:13:7</t>
  </si>
  <si>
    <t>-9:35:0</t>
  </si>
  <si>
    <t>-9:56:45</t>
  </si>
  <si>
    <t>-10:18:21</t>
  </si>
  <si>
    <t>-10:39:48</t>
  </si>
  <si>
    <t>-11:1:5</t>
  </si>
  <si>
    <t>-11:22:13</t>
  </si>
  <si>
    <t>-11:43:10</t>
  </si>
  <si>
    <t>-12:3:57</t>
  </si>
  <si>
    <t>-12:24:33</t>
  </si>
  <si>
    <t>-12:44:57</t>
  </si>
  <si>
    <t>-13:5:10</t>
  </si>
  <si>
    <t>-13:25:10</t>
  </si>
  <si>
    <t>-13:44:57</t>
  </si>
  <si>
    <t>-14:4:32</t>
  </si>
  <si>
    <t>-14:23:53</t>
  </si>
  <si>
    <t>-14:43:0</t>
  </si>
  <si>
    <t>-15:1:53</t>
  </si>
  <si>
    <t>-15:20:31</t>
  </si>
  <si>
    <t>-15:38:54</t>
  </si>
  <si>
    <t>-15:57:2</t>
  </si>
  <si>
    <t>-16:14:54</t>
  </si>
  <si>
    <t>-16:32:29</t>
  </si>
  <si>
    <t>-16:49:48</t>
  </si>
  <si>
    <t>-17:6:50</t>
  </si>
  <si>
    <t>-17:23:34</t>
  </si>
  <si>
    <t>-17:40:0</t>
  </si>
  <si>
    <t>-17:56:8</t>
  </si>
  <si>
    <t>-18:11:57</t>
  </si>
  <si>
    <t>-18:27:28</t>
  </si>
  <si>
    <t>-18:42:38</t>
  </si>
  <si>
    <t>-18:57:29</t>
  </si>
  <si>
    <t>-19:12:0</t>
  </si>
  <si>
    <t>-19:26:10</t>
  </si>
  <si>
    <t>-19:39:59</t>
  </si>
  <si>
    <t>-19:53:26</t>
  </si>
  <si>
    <t>-20:6:32</t>
  </si>
  <si>
    <t>-20:19:16</t>
  </si>
  <si>
    <t>-20:31:37</t>
  </si>
  <si>
    <t>-20:43:36</t>
  </si>
  <si>
    <t>-20:55:11</t>
  </si>
  <si>
    <t>-21:6:23</t>
  </si>
  <si>
    <t>-21:17:11</t>
  </si>
  <si>
    <t>-21:27:35</t>
  </si>
  <si>
    <t>-21:37:35</t>
  </si>
  <si>
    <t>-21:47:10</t>
  </si>
  <si>
    <t>-21:56:20</t>
  </si>
  <si>
    <t>-22:5:4</t>
  </si>
  <si>
    <t>-22:13:23</t>
  </si>
  <si>
    <t>-22:21:17</t>
  </si>
  <si>
    <t>-22:28:44</t>
  </si>
  <si>
    <t>-22:35:45</t>
  </si>
  <si>
    <t>-22:42:19</t>
  </si>
  <si>
    <t>-22:48:27</t>
  </si>
  <si>
    <t>-22:54:8</t>
  </si>
  <si>
    <t>-22:59:21</t>
  </si>
  <si>
    <t>-23:4:8</t>
  </si>
  <si>
    <t>-23:8:27</t>
  </si>
  <si>
    <t>-23:12:18</t>
  </si>
  <si>
    <t>-23:15:41</t>
  </si>
  <si>
    <t>-23:18:37</t>
  </si>
  <si>
    <t>-23:21:5</t>
  </si>
  <si>
    <t>-23:23:5</t>
  </si>
  <si>
    <t>-23:24:36</t>
  </si>
  <si>
    <t>-23:25:40</t>
  </si>
  <si>
    <t>-23:26:15</t>
  </si>
  <si>
    <t>-23:26:22</t>
  </si>
  <si>
    <t>-23:26:1</t>
  </si>
  <si>
    <t>-23:25:11</t>
  </si>
  <si>
    <t>-23:23:53</t>
  </si>
  <si>
    <t>-23:22:7</t>
  </si>
  <si>
    <t>-23:19:53</t>
  </si>
  <si>
    <t>-23:17:11</t>
  </si>
  <si>
    <t>-23:14:0</t>
  </si>
  <si>
    <t>-23:10:22</t>
  </si>
  <si>
    <t>-23:6:16</t>
  </si>
  <si>
    <t>-23:1:42</t>
  </si>
  <si>
    <t>-22:56:40</t>
  </si>
  <si>
    <t>-22:51:11</t>
  </si>
  <si>
    <t>-22:45:15</t>
  </si>
  <si>
    <t>-22:38:52</t>
  </si>
  <si>
    <t>-22:32:1</t>
  </si>
  <si>
    <t>-22:24:44</t>
  </si>
  <si>
    <t>-22:17:1</t>
  </si>
  <si>
    <t>-22:8:51</t>
  </si>
  <si>
    <t>-22:0:15</t>
  </si>
  <si>
    <t>-21:51:13</t>
  </si>
  <si>
    <t>-21:41:46</t>
  </si>
  <si>
    <t>-21:31:54</t>
  </si>
  <si>
    <t>-21:21:36</t>
  </si>
  <si>
    <t>-21:10:54</t>
  </si>
  <si>
    <t>-20:59:48</t>
  </si>
  <si>
    <t>-20:48:17</t>
  </si>
  <si>
    <t>-20:36:23</t>
  </si>
  <si>
    <t>-20:24:5</t>
  </si>
  <si>
    <t>-20:11:24</t>
  </si>
  <si>
    <t>-19:58:21</t>
  </si>
  <si>
    <t>-19:44:55</t>
  </si>
  <si>
    <t>-19:31:7</t>
  </si>
  <si>
    <t>-19:16:57</t>
  </si>
  <si>
    <t>-19:2:26</t>
  </si>
  <si>
    <t>-18:47:34</t>
  </si>
  <si>
    <t>-18:32:21</t>
  </si>
  <si>
    <t>-18:16:49</t>
  </si>
  <si>
    <t>-18:0:56</t>
  </si>
  <si>
    <t>-17:44:44</t>
  </si>
  <si>
    <t>-17:28:13</t>
  </si>
  <si>
    <t>-17:11:24</t>
  </si>
  <si>
    <t>-16:54:16</t>
  </si>
  <si>
    <t>-16:36:51</t>
  </si>
  <si>
    <t>-16:19:8</t>
  </si>
  <si>
    <t>-16:1:9</t>
  </si>
  <si>
    <t>-15:42:52</t>
  </si>
  <si>
    <t>-15:24:20</t>
  </si>
  <si>
    <t>-15:5:32</t>
  </si>
  <si>
    <t>-14:46:28</t>
  </si>
  <si>
    <t>-14:27:10</t>
  </si>
  <si>
    <t>-14:7:37</t>
  </si>
  <si>
    <t>-13:47:51</t>
  </si>
  <si>
    <t>-13:27:50</t>
  </si>
  <si>
    <t>-13:7:37</t>
  </si>
  <si>
    <t>-12:47:10</t>
  </si>
  <si>
    <t>-12:26:31</t>
  </si>
  <si>
    <t>-12:5:41</t>
  </si>
  <si>
    <t>-11:44:38</t>
  </si>
  <si>
    <t>-11:23:25</t>
  </si>
  <si>
    <t>-11:2:0</t>
  </si>
  <si>
    <t>-10:40:26</t>
  </si>
  <si>
    <t>-10:18:41</t>
  </si>
  <si>
    <t>-9:56:47</t>
  </si>
  <si>
    <t>-9:34:44</t>
  </si>
  <si>
    <t>-9:12:33</t>
  </si>
  <si>
    <t>-8:50:13</t>
  </si>
  <si>
    <t>-8:5:9</t>
  </si>
  <si>
    <t>-7:42:27</t>
  </si>
  <si>
    <t>-7:19:38</t>
  </si>
  <si>
    <t>-6:56:43</t>
  </si>
  <si>
    <t>-6:33:41</t>
  </si>
  <si>
    <t>-6:10:35</t>
  </si>
  <si>
    <t>-5:47:23</t>
  </si>
  <si>
    <t>-5:24:6</t>
  </si>
  <si>
    <t>-5:0:45</t>
  </si>
  <si>
    <t>-4:37:21</t>
  </si>
  <si>
    <t>-4:13:52</t>
  </si>
  <si>
    <t>-3:50:21</t>
  </si>
  <si>
    <t>-3:26:46</t>
  </si>
  <si>
    <t>-3:3:10</t>
  </si>
  <si>
    <t>-2:39:31</t>
  </si>
  <si>
    <t>-2:15:50</t>
  </si>
  <si>
    <t>-1:52:9</t>
  </si>
  <si>
    <t>-1:28:26</t>
  </si>
  <si>
    <t>-1:4:43</t>
  </si>
  <si>
    <t>0:-40:59</t>
  </si>
  <si>
    <t>0:-17:16</t>
  </si>
  <si>
    <t>0:0:-16</t>
  </si>
  <si>
    <t>تبریز</t>
  </si>
  <si>
    <t>Local Noon Times, Hour</t>
  </si>
  <si>
    <t>12:32:3</t>
  </si>
  <si>
    <t>12:31:45</t>
  </si>
  <si>
    <t>12:31:27</t>
  </si>
  <si>
    <t>12:31:9</t>
  </si>
  <si>
    <t>12:30:51</t>
  </si>
  <si>
    <t>12:30:33</t>
  </si>
  <si>
    <t>12:29:57</t>
  </si>
  <si>
    <t>12:29:39</t>
  </si>
  <si>
    <t>12:29:21</t>
  </si>
  <si>
    <t>12:29:3</t>
  </si>
  <si>
    <t>12:28:45</t>
  </si>
  <si>
    <t>12:28:27</t>
  </si>
  <si>
    <t>12:28:10</t>
  </si>
  <si>
    <t>12:27:52</t>
  </si>
  <si>
    <t>12:27:35</t>
  </si>
  <si>
    <t>12:27:18</t>
  </si>
  <si>
    <t>12:27:1</t>
  </si>
  <si>
    <t>12:26:44</t>
  </si>
  <si>
    <t>12:26:28</t>
  </si>
  <si>
    <t>12:26:11</t>
  </si>
  <si>
    <t>12:25:56</t>
  </si>
  <si>
    <t>12:25:40</t>
  </si>
  <si>
    <t>12:25:25</t>
  </si>
  <si>
    <t>12:25:10</t>
  </si>
  <si>
    <t>12:24:55</t>
  </si>
  <si>
    <t>12:24:41</t>
  </si>
  <si>
    <t>12:24:27</t>
  </si>
  <si>
    <t>12:24:13</t>
  </si>
  <si>
    <t>12:24:0</t>
  </si>
  <si>
    <t>12:23:47</t>
  </si>
  <si>
    <t>12:23:35</t>
  </si>
  <si>
    <t>12:23:23</t>
  </si>
  <si>
    <t>12:23:12</t>
  </si>
  <si>
    <t>12:23:1</t>
  </si>
  <si>
    <t>12:22:50</t>
  </si>
  <si>
    <t>12:22:40</t>
  </si>
  <si>
    <t>12:22:31</t>
  </si>
  <si>
    <t>12:22:22</t>
  </si>
  <si>
    <t>12:22:13</t>
  </si>
  <si>
    <t>12:22:5</t>
  </si>
  <si>
    <t>12:21:58</t>
  </si>
  <si>
    <t>12:21:51</t>
  </si>
  <si>
    <t>12:21:44</t>
  </si>
  <si>
    <t>12:21:39</t>
  </si>
  <si>
    <t>12:21:33</t>
  </si>
  <si>
    <t>12:21:29</t>
  </si>
  <si>
    <t>12:21:25</t>
  </si>
  <si>
    <t>12:21:21</t>
  </si>
  <si>
    <t>12:21:18</t>
  </si>
  <si>
    <t>12:21:16</t>
  </si>
  <si>
    <t>12:21:14</t>
  </si>
  <si>
    <t>12:21:12</t>
  </si>
  <si>
    <t>12:21:13</t>
  </si>
  <si>
    <t>12:21:15</t>
  </si>
  <si>
    <t>12:21:17</t>
  </si>
  <si>
    <t>12:21:19</t>
  </si>
  <si>
    <t>12:21:23</t>
  </si>
  <si>
    <t>12:21:26</t>
  </si>
  <si>
    <t>12:21:31</t>
  </si>
  <si>
    <t>12:21:35</t>
  </si>
  <si>
    <t>12:21:41</t>
  </si>
  <si>
    <t>12:21:47</t>
  </si>
  <si>
    <t>12:21:53</t>
  </si>
  <si>
    <t>12:22:0</t>
  </si>
  <si>
    <t>12:22:7</t>
  </si>
  <si>
    <t>12:22:15</t>
  </si>
  <si>
    <t>12:22:23</t>
  </si>
  <si>
    <t>12:23:0</t>
  </si>
  <si>
    <t>12:23:10</t>
  </si>
  <si>
    <t>12:23:20</t>
  </si>
  <si>
    <t>12:23:31</t>
  </si>
  <si>
    <t>12:23:42</t>
  </si>
  <si>
    <t>12:23:53</t>
  </si>
  <si>
    <t>12:24:5</t>
  </si>
  <si>
    <t>12:24:17</t>
  </si>
  <si>
    <t>12:24:29</t>
  </si>
  <si>
    <t>12:24:54</t>
  </si>
  <si>
    <t>12:25:7</t>
  </si>
  <si>
    <t>12:25:19</t>
  </si>
  <si>
    <t>12:25:32</t>
  </si>
  <si>
    <t>12:25:45</t>
  </si>
  <si>
    <t>12:25:58</t>
  </si>
  <si>
    <t>12:26:24</t>
  </si>
  <si>
    <t>12:26:37</t>
  </si>
  <si>
    <t>12:26:51</t>
  </si>
  <si>
    <t>12:27:4</t>
  </si>
  <si>
    <t>12:27:16</t>
  </si>
  <si>
    <t>12:27:29</t>
  </si>
  <si>
    <t>12:27:42</t>
  </si>
  <si>
    <t>12:28:7</t>
  </si>
  <si>
    <t>12:28:19</t>
  </si>
  <si>
    <t>12:28:31</t>
  </si>
  <si>
    <t>12:28:43</t>
  </si>
  <si>
    <t>12:28:54</t>
  </si>
  <si>
    <t>12:29:5</t>
  </si>
  <si>
    <t>12:29:16</t>
  </si>
  <si>
    <t>12:29:27</t>
  </si>
  <si>
    <t>12:29:37</t>
  </si>
  <si>
    <t>12:29:47</t>
  </si>
  <si>
    <t>12:29:56</t>
  </si>
  <si>
    <t>12:30:5</t>
  </si>
  <si>
    <t>12:30:14</t>
  </si>
  <si>
    <t>12:30:22</t>
  </si>
  <si>
    <t>12:30:30</t>
  </si>
  <si>
    <t>12:30:37</t>
  </si>
  <si>
    <t>12:30:44</t>
  </si>
  <si>
    <t>12:30:50</t>
  </si>
  <si>
    <t>12:30:56</t>
  </si>
  <si>
    <t>12:31:1</t>
  </si>
  <si>
    <t>12:31:6</t>
  </si>
  <si>
    <t>12:31:10</t>
  </si>
  <si>
    <t>12:31:14</t>
  </si>
  <si>
    <t>12:31:17</t>
  </si>
  <si>
    <t>12:31:20</t>
  </si>
  <si>
    <t>12:31:22</t>
  </si>
  <si>
    <t>12:31:23</t>
  </si>
  <si>
    <t>12:31:24</t>
  </si>
  <si>
    <t>12:31:21</t>
  </si>
  <si>
    <t>12:31:19</t>
  </si>
  <si>
    <t>12:31:16</t>
  </si>
  <si>
    <t>12:31:13</t>
  </si>
  <si>
    <t>12:31:8</t>
  </si>
  <si>
    <t>12:31:4</t>
  </si>
  <si>
    <t>12:30:59</t>
  </si>
  <si>
    <t>12:30:53</t>
  </si>
  <si>
    <t>12:30:46</t>
  </si>
  <si>
    <t>12:30:39</t>
  </si>
  <si>
    <t>12:30:32</t>
  </si>
  <si>
    <t>12:30:23</t>
  </si>
  <si>
    <t>12:29:55</t>
  </si>
  <si>
    <t>12:29:45</t>
  </si>
  <si>
    <t>12:29:34</t>
  </si>
  <si>
    <t>12:29:22</t>
  </si>
  <si>
    <t>12:29:10</t>
  </si>
  <si>
    <t>12:28:57</t>
  </si>
  <si>
    <t>12:28:44</t>
  </si>
  <si>
    <t>12:28:16</t>
  </si>
  <si>
    <t>12:28:2</t>
  </si>
  <si>
    <t>12:27:47</t>
  </si>
  <si>
    <t>12:27:31</t>
  </si>
  <si>
    <t>12:27:15</t>
  </si>
  <si>
    <t>12:26:59</t>
  </si>
  <si>
    <t>12:26:42</t>
  </si>
  <si>
    <t>12:26:25</t>
  </si>
  <si>
    <t>12:26:7</t>
  </si>
  <si>
    <t>12:25:50</t>
  </si>
  <si>
    <t>12:25:31</t>
  </si>
  <si>
    <t>12:25:13</t>
  </si>
  <si>
    <t>12:24:35</t>
  </si>
  <si>
    <t>12:24:15</t>
  </si>
  <si>
    <t>12:23:55</t>
  </si>
  <si>
    <t>12:23:15</t>
  </si>
  <si>
    <t>12:22:55</t>
  </si>
  <si>
    <t>12:22:34</t>
  </si>
  <si>
    <t>12:21:10</t>
  </si>
  <si>
    <t>12:20:49</t>
  </si>
  <si>
    <t>12:20:28</t>
  </si>
  <si>
    <t>12:20:6</t>
  </si>
  <si>
    <t>12:19:45</t>
  </si>
  <si>
    <t>12:19:23</t>
  </si>
  <si>
    <t>12:19:2</t>
  </si>
  <si>
    <t>12:18:41</t>
  </si>
  <si>
    <t>12:18:19</t>
  </si>
  <si>
    <t>12:17:58</t>
  </si>
  <si>
    <t>12:17:37</t>
  </si>
  <si>
    <t>12:17:16</t>
  </si>
  <si>
    <t>12:16:55</t>
  </si>
  <si>
    <t>12:16:34</t>
  </si>
  <si>
    <t>12:16:13</t>
  </si>
  <si>
    <t>12:15:53</t>
  </si>
  <si>
    <t>12:15:32</t>
  </si>
  <si>
    <t>12:15:12</t>
  </si>
  <si>
    <t>12:14:53</t>
  </si>
  <si>
    <t>12:14:33</t>
  </si>
  <si>
    <t>12:14:14</t>
  </si>
  <si>
    <t>12:13:55</t>
  </si>
  <si>
    <t>12:13:36</t>
  </si>
  <si>
    <t>12:13:18</t>
  </si>
  <si>
    <t>12:13:0</t>
  </si>
  <si>
    <t>12:12:43</t>
  </si>
  <si>
    <t>12:12:26</t>
  </si>
  <si>
    <t>12:12:9</t>
  </si>
  <si>
    <t>12:11:53</t>
  </si>
  <si>
    <t>12:11:37</t>
  </si>
  <si>
    <t>12:11:22</t>
  </si>
  <si>
    <t>12:11:7</t>
  </si>
  <si>
    <t>12:10:53</t>
  </si>
  <si>
    <t>12:10:39</t>
  </si>
  <si>
    <t>12:10:26</t>
  </si>
  <si>
    <t>12:10:14</t>
  </si>
  <si>
    <t>12:10:2</t>
  </si>
  <si>
    <t>12:9:50</t>
  </si>
  <si>
    <t>12:9:40</t>
  </si>
  <si>
    <t>12:9:30</t>
  </si>
  <si>
    <t>12:9:20</t>
  </si>
  <si>
    <t>12:9:11</t>
  </si>
  <si>
    <t>12:9:3</t>
  </si>
  <si>
    <t>12:8:56</t>
  </si>
  <si>
    <t>12:8:50</t>
  </si>
  <si>
    <t>12:8:44</t>
  </si>
  <si>
    <t>12:8:39</t>
  </si>
  <si>
    <t>12:8:34</t>
  </si>
  <si>
    <t>12:8:31</t>
  </si>
  <si>
    <t>12:8:28</t>
  </si>
  <si>
    <t>12:8:26</t>
  </si>
  <si>
    <t>12:8:25</t>
  </si>
  <si>
    <t>12:8:24</t>
  </si>
  <si>
    <t>12:8:51</t>
  </si>
  <si>
    <t>12:8:58</t>
  </si>
  <si>
    <t>12:9:6</t>
  </si>
  <si>
    <t>12:9:15</t>
  </si>
  <si>
    <t>12:9:24</t>
  </si>
  <si>
    <t>12:9:35</t>
  </si>
  <si>
    <t>12:9:46</t>
  </si>
  <si>
    <t>12:9:58</t>
  </si>
  <si>
    <t>12:10:11</t>
  </si>
  <si>
    <t>12:10:25</t>
  </si>
  <si>
    <t>12:10:40</t>
  </si>
  <si>
    <t>12:10:55</t>
  </si>
  <si>
    <t>12:11:11</t>
  </si>
  <si>
    <t>12:11:28</t>
  </si>
  <si>
    <t>12:11:46</t>
  </si>
  <si>
    <t>12:12:5</t>
  </si>
  <si>
    <t>12:12:24</t>
  </si>
  <si>
    <t>12:12:44</t>
  </si>
  <si>
    <t>12:13:5</t>
  </si>
  <si>
    <t>12:13:26</t>
  </si>
  <si>
    <t>12:13:48</t>
  </si>
  <si>
    <t>12:14:11</t>
  </si>
  <si>
    <t>12:14:34</t>
  </si>
  <si>
    <t>12:14:58</t>
  </si>
  <si>
    <t>12:15:23</t>
  </si>
  <si>
    <t>12:15:48</t>
  </si>
  <si>
    <t>12:16:39</t>
  </si>
  <si>
    <t>12:17:6</t>
  </si>
  <si>
    <t>12:17:33</t>
  </si>
  <si>
    <t>12:18:0</t>
  </si>
  <si>
    <t>12:18:28</t>
  </si>
  <si>
    <t>12:18:56</t>
  </si>
  <si>
    <t>12:19:25</t>
  </si>
  <si>
    <t>12:19:53</t>
  </si>
  <si>
    <t>12:20:22</t>
  </si>
  <si>
    <t>12:20:52</t>
  </si>
  <si>
    <t>12:22:20</t>
  </si>
  <si>
    <t>12:23:50</t>
  </si>
  <si>
    <t>12:24:20</t>
  </si>
  <si>
    <t>12:24:49</t>
  </si>
  <si>
    <t>12:25:49</t>
  </si>
  <si>
    <t>12:26:18</t>
  </si>
  <si>
    <t>12:26:47</t>
  </si>
  <si>
    <t>12:27:17</t>
  </si>
  <si>
    <t>12:27:45</t>
  </si>
  <si>
    <t>12:28:14</t>
  </si>
  <si>
    <t>12:28:42</t>
  </si>
  <si>
    <t>12:30:4</t>
  </si>
  <si>
    <t>12:30:31</t>
  </si>
  <si>
    <t>12:30:57</t>
  </si>
  <si>
    <t>12:31:48</t>
  </si>
  <si>
    <t>12:32:13</t>
  </si>
  <si>
    <t>12:32:37</t>
  </si>
  <si>
    <t>12:33:0</t>
  </si>
  <si>
    <t>12:33:23</t>
  </si>
  <si>
    <t>12:33:46</t>
  </si>
  <si>
    <t>12:34:7</t>
  </si>
  <si>
    <t>12:34:28</t>
  </si>
  <si>
    <t>12:34:48</t>
  </si>
  <si>
    <t>12:35:8</t>
  </si>
  <si>
    <t>12:35:27</t>
  </si>
  <si>
    <t>12:35:45</t>
  </si>
  <si>
    <t>12:36:2</t>
  </si>
  <si>
    <t>12:36:19</t>
  </si>
  <si>
    <t>12:36:35</t>
  </si>
  <si>
    <t>12:36:50</t>
  </si>
  <si>
    <t>12:37:4</t>
  </si>
  <si>
    <t>12:37:17</t>
  </si>
  <si>
    <t>12:37:30</t>
  </si>
  <si>
    <t>12:37:42</t>
  </si>
  <si>
    <t>12:37:53</t>
  </si>
  <si>
    <t>12:38:3</t>
  </si>
  <si>
    <t>12:38:13</t>
  </si>
  <si>
    <t>12:38:21</t>
  </si>
  <si>
    <t>12:38:29</t>
  </si>
  <si>
    <t>12:38:36</t>
  </si>
  <si>
    <t>12:38:42</t>
  </si>
  <si>
    <t>12:38:47</t>
  </si>
  <si>
    <t>12:38:52</t>
  </si>
  <si>
    <t>12:38:56</t>
  </si>
  <si>
    <t>12:38:59</t>
  </si>
  <si>
    <t>12:39:1</t>
  </si>
  <si>
    <t>12:39:2</t>
  </si>
  <si>
    <t>12:39:3</t>
  </si>
  <si>
    <t>12:39:0</t>
  </si>
  <si>
    <t>12:38:58</t>
  </si>
  <si>
    <t>12:38:54</t>
  </si>
  <si>
    <t>12:38:51</t>
  </si>
  <si>
    <t>12:38:46</t>
  </si>
  <si>
    <t>12:38:41</t>
  </si>
  <si>
    <t>12:38:35</t>
  </si>
  <si>
    <t>12:38:28</t>
  </si>
  <si>
    <t>12:38:5</t>
  </si>
  <si>
    <t>12:37:56</t>
  </si>
  <si>
    <t>12:37:46</t>
  </si>
  <si>
    <t>12:37:36</t>
  </si>
  <si>
    <t>12:37:25</t>
  </si>
  <si>
    <t>12:37:14</t>
  </si>
  <si>
    <t>12:37:2</t>
  </si>
  <si>
    <t>12:36:37</t>
  </si>
  <si>
    <t>12:36:24</t>
  </si>
  <si>
    <t>12:36:10</t>
  </si>
  <si>
    <t>12:35:56</t>
  </si>
  <si>
    <t>12:35:42</t>
  </si>
  <si>
    <t>12:35:12</t>
  </si>
  <si>
    <t>12:34:56</t>
  </si>
  <si>
    <t>12:34:41</t>
  </si>
  <si>
    <t>12:34:25</t>
  </si>
  <si>
    <t>12:34:8</t>
  </si>
  <si>
    <t>12:33:52</t>
  </si>
  <si>
    <t>12:33:35</t>
  </si>
  <si>
    <t>12:33:18</t>
  </si>
  <si>
    <t>12:32:43</t>
  </si>
  <si>
    <t>12:32:25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</si>
</sst>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0000"/>
    <numFmt numFmtId="166" formatCode="0.0"/>
    <numFmt numFmtId="167" formatCode="0.00000"/>
  </numFmts>
  <fonts count="2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B Nazanin"/>
      <charset val="178"/>
    </font>
    <font>
      <b/>
      <sz val="12"/>
      <color theme="1"/>
      <name val="B Nazanin"/>
      <charset val="178"/>
    </font>
    <font>
      <b/>
      <sz val="12"/>
      <color theme="1"/>
      <name val="Calibri"/>
      <family val="2"/>
      <scheme val="minor"/>
    </font>
    <font>
      <sz val="11"/>
      <color theme="1"/>
      <name val="B Nazanin"/>
      <charset val="178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B Nazanin"/>
      <charset val="178"/>
    </font>
    <font>
      <sz val="11"/>
      <color theme="1"/>
      <name val="B Titr"/>
      <charset val="178"/>
    </font>
    <font>
      <b/>
      <sz val="11"/>
      <color theme="1"/>
      <name val="Symbol"/>
      <family val="1"/>
      <charset val="2"/>
    </font>
    <font>
      <b/>
      <sz val="12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1"/>
      <color theme="1"/>
      <name val="Calibri"/>
      <family val="1"/>
      <charset val="2"/>
      <scheme val="minor"/>
    </font>
    <font>
      <b/>
      <sz val="11"/>
      <color rgb="FFFF0000"/>
      <name val="Calibri "/>
    </font>
    <font>
      <sz val="11"/>
      <color theme="1"/>
      <name val=" B Nazanin"/>
    </font>
    <font>
      <sz val="12"/>
      <color theme="1"/>
      <name val=" B Nazanin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5">
    <xf numFmtId="0" fontId="0" fillId="0" borderId="0" xfId="0"/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13" xfId="0" applyBorder="1"/>
    <xf numFmtId="0" fontId="0" fillId="0" borderId="4" xfId="0" applyBorder="1"/>
    <xf numFmtId="0" fontId="0" fillId="0" borderId="0" xfId="0" applyAlignment="1">
      <alignment horizontal="right"/>
    </xf>
    <xf numFmtId="0" fontId="1" fillId="0" borderId="0" xfId="0" applyFo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/>
    <xf numFmtId="49" fontId="0" fillId="0" borderId="4" xfId="0" applyNumberFormat="1" applyBorder="1"/>
    <xf numFmtId="49" fontId="0" fillId="0" borderId="5" xfId="0" applyNumberFormat="1" applyBorder="1"/>
    <xf numFmtId="21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0" fillId="0" borderId="14" xfId="0" applyBorder="1"/>
    <xf numFmtId="0" fontId="0" fillId="0" borderId="5" xfId="0" applyBorder="1"/>
    <xf numFmtId="0" fontId="9" fillId="0" borderId="0" xfId="0" applyFont="1"/>
    <xf numFmtId="0" fontId="0" fillId="0" borderId="20" xfId="0" applyBorder="1" applyAlignment="1">
      <alignment horizontal="center"/>
    </xf>
    <xf numFmtId="0" fontId="8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15" xfId="0" applyFont="1" applyBorder="1"/>
    <xf numFmtId="0" fontId="0" fillId="0" borderId="8" xfId="0" applyBorder="1"/>
    <xf numFmtId="0" fontId="1" fillId="0" borderId="16" xfId="0" applyFont="1" applyBorder="1"/>
    <xf numFmtId="0" fontId="0" fillId="0" borderId="10" xfId="0" applyBorder="1"/>
    <xf numFmtId="0" fontId="1" fillId="0" borderId="12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2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166" fontId="1" fillId="0" borderId="15" xfId="0" applyNumberFormat="1" applyFont="1" applyBorder="1" applyAlignment="1">
      <alignment horizontal="center"/>
    </xf>
    <xf numFmtId="0" fontId="1" fillId="0" borderId="13" xfId="0" applyFont="1" applyBorder="1" applyAlignment="1">
      <alignment horizontal="right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0" fillId="0" borderId="11" xfId="0" applyBorder="1" applyAlignment="1">
      <alignment horizontal="right"/>
    </xf>
    <xf numFmtId="0" fontId="0" fillId="0" borderId="10" xfId="0" applyBorder="1" applyAlignment="1">
      <alignment horizontal="right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 applyAlignment="1">
      <alignment horizontal="center"/>
    </xf>
    <xf numFmtId="0" fontId="13" fillId="0" borderId="0" xfId="0" applyFont="1"/>
    <xf numFmtId="49" fontId="0" fillId="0" borderId="25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20" xfId="0" applyBorder="1"/>
    <xf numFmtId="0" fontId="0" fillId="0" borderId="22" xfId="0" applyBorder="1"/>
    <xf numFmtId="0" fontId="0" fillId="0" borderId="31" xfId="0" applyBorder="1"/>
    <xf numFmtId="0" fontId="14" fillId="0" borderId="25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0" fillId="0" borderId="29" xfId="0" applyBorder="1"/>
    <xf numFmtId="0" fontId="14" fillId="0" borderId="31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16" xfId="0" applyBorder="1"/>
    <xf numFmtId="0" fontId="0" fillId="0" borderId="10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/>
    <xf numFmtId="0" fontId="18" fillId="0" borderId="35" xfId="0" applyFont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0" borderId="40" xfId="0" applyBorder="1"/>
    <xf numFmtId="0" fontId="13" fillId="0" borderId="0" xfId="0" applyFont="1" applyAlignment="1">
      <alignment horizontal="right"/>
    </xf>
    <xf numFmtId="0" fontId="19" fillId="0" borderId="16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4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9" fillId="0" borderId="33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4" fontId="0" fillId="0" borderId="0" xfId="0" applyNumberFormat="1"/>
    <xf numFmtId="14" fontId="1" fillId="0" borderId="15" xfId="0" applyNumberFormat="1" applyFont="1" applyBorder="1" applyAlignment="1">
      <alignment horizontal="right"/>
    </xf>
    <xf numFmtId="14" fontId="1" fillId="0" borderId="14" xfId="0" applyNumberFormat="1" applyFont="1" applyBorder="1" applyAlignment="1">
      <alignment horizontal="right"/>
    </xf>
    <xf numFmtId="14" fontId="1" fillId="0" borderId="24" xfId="0" applyNumberFormat="1" applyFont="1" applyBorder="1"/>
    <xf numFmtId="0" fontId="0" fillId="0" borderId="0" xfId="0" applyAlignment="1">
      <alignment horizontal="center" vertical="center"/>
    </xf>
    <xf numFmtId="0" fontId="15" fillId="0" borderId="0" xfId="0" applyFont="1"/>
    <xf numFmtId="0" fontId="1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20" fillId="0" borderId="0" xfId="0" applyFont="1" applyAlignment="1">
      <alignment horizontal="center"/>
    </xf>
    <xf numFmtId="0" fontId="0" fillId="0" borderId="16" xfId="0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3" fillId="0" borderId="21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1" fillId="0" borderId="19" xfId="0" applyFon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0" fontId="21" fillId="0" borderId="41" xfId="0" applyFont="1" applyBorder="1" applyAlignment="1">
      <alignment horizontal="center"/>
    </xf>
    <xf numFmtId="49" fontId="0" fillId="0" borderId="44" xfId="0" applyNumberFormat="1" applyBorder="1" applyAlignment="1">
      <alignment horizontal="center"/>
    </xf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16" fontId="1" fillId="0" borderId="13" xfId="0" applyNumberFormat="1" applyFont="1" applyBorder="1" applyAlignment="1">
      <alignment horizontal="center"/>
    </xf>
    <xf numFmtId="16" fontId="1" fillId="0" borderId="14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14" fontId="1" fillId="0" borderId="0" xfId="0" applyNumberFormat="1" applyFont="1"/>
    <xf numFmtId="0" fontId="0" fillId="0" borderId="0" xfId="0" applyAlignment="1">
      <alignment vertical="center"/>
    </xf>
    <xf numFmtId="0" fontId="20" fillId="0" borderId="17" xfId="0" applyFont="1" applyBorder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right"/>
    </xf>
    <xf numFmtId="0" fontId="8" fillId="0" borderId="21" xfId="0" applyFont="1" applyBorder="1" applyAlignment="1">
      <alignment horizontal="right"/>
    </xf>
    <xf numFmtId="0" fontId="8" fillId="0" borderId="18" xfId="0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" xfId="0" applyFont="1" applyBorder="1" applyAlignment="1">
      <alignment horizontal="right"/>
    </xf>
    <xf numFmtId="0" fontId="8" fillId="0" borderId="34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8" fillId="0" borderId="45" xfId="0" applyFont="1" applyBorder="1" applyAlignment="1">
      <alignment horizontal="right"/>
    </xf>
    <xf numFmtId="0" fontId="8" fillId="0" borderId="46" xfId="0" applyFont="1" applyBorder="1" applyAlignment="1">
      <alignment horizontal="right"/>
    </xf>
    <xf numFmtId="0" fontId="8" fillId="0" borderId="47" xfId="0" applyFont="1" applyBorder="1" applyAlignment="1">
      <alignment horizontal="right"/>
    </xf>
    <xf numFmtId="0" fontId="8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6" fillId="0" borderId="17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49" fontId="8" fillId="0" borderId="0" xfId="0" applyNumberFormat="1" applyFont="1" applyAlignment="1">
      <alignment vertical="center"/>
    </xf>
    <xf numFmtId="49" fontId="8" fillId="0" borderId="2" xfId="0" applyNumberFormat="1" applyFont="1" applyBorder="1" applyAlignment="1">
      <alignment vertical="center"/>
    </xf>
    <xf numFmtId="0" fontId="9" fillId="0" borderId="19" xfId="0" applyFont="1" applyBorder="1" applyAlignment="1">
      <alignment horizontal="center" vertical="center"/>
    </xf>
    <xf numFmtId="49" fontId="8" fillId="0" borderId="4" xfId="0" applyNumberFormat="1" applyFont="1" applyBorder="1" applyAlignment="1">
      <alignment vertical="center"/>
    </xf>
    <xf numFmtId="49" fontId="8" fillId="0" borderId="5" xfId="0" applyNumberFormat="1" applyFont="1" applyBorder="1" applyAlignment="1">
      <alignment vertical="center"/>
    </xf>
    <xf numFmtId="0" fontId="9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 sz="1400">
                <a:cs typeface="B Traffic" panose="00000400000000000000" pitchFamily="2" charset="-78"/>
              </a:rPr>
              <a:t>ساعت خورشیدی</a:t>
            </a:r>
            <a:r>
              <a:rPr lang="fa-IR" sz="1400" baseline="0">
                <a:cs typeface="B Traffic" panose="00000400000000000000" pitchFamily="2" charset="-78"/>
              </a:rPr>
              <a:t> بی شاخص ثابت</a:t>
            </a:r>
            <a:endParaRPr lang="en-US" sz="1400">
              <a:cs typeface="B Traffic" panose="00000400000000000000" pitchFamily="2" charset="-78"/>
            </a:endParaRPr>
          </a:p>
        </c:rich>
      </c:tx>
      <c:layout>
        <c:manualLayout>
          <c:xMode val="edge"/>
          <c:yMode val="edge"/>
          <c:x val="0.4094577506169938"/>
          <c:y val="3.19149741881078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HourLines!$C$87:$Q$87</c:f>
              <c:numCache>
                <c:formatCode>General</c:formatCode>
                <c:ptCount val="15"/>
                <c:pt idx="0">
                  <c:v>-2.0860792245120257</c:v>
                </c:pt>
                <c:pt idx="1">
                  <c:v>-2.1596681315856379</c:v>
                </c:pt>
                <c:pt idx="2">
                  <c:v>-2.0860792245120257</c:v>
                </c:pt>
                <c:pt idx="3">
                  <c:v>-1.8703274656968361</c:v>
                </c:pt>
                <c:pt idx="4">
                  <c:v>-1.5271159809566854</c:v>
                </c:pt>
                <c:pt idx="5">
                  <c:v>-1.0798340657928187</c:v>
                </c:pt>
                <c:pt idx="6">
                  <c:v>-0.55896324355533988</c:v>
                </c:pt>
                <c:pt idx="7">
                  <c:v>0</c:v>
                </c:pt>
                <c:pt idx="8">
                  <c:v>0.55896324355533988</c:v>
                </c:pt>
                <c:pt idx="9">
                  <c:v>1.0798340657928187</c:v>
                </c:pt>
                <c:pt idx="10">
                  <c:v>1.5271159809566854</c:v>
                </c:pt>
                <c:pt idx="11">
                  <c:v>1.8703274656968361</c:v>
                </c:pt>
                <c:pt idx="12">
                  <c:v>2.0860792245120257</c:v>
                </c:pt>
                <c:pt idx="13">
                  <c:v>2.1596681315856379</c:v>
                </c:pt>
                <c:pt idx="14">
                  <c:v>2.0860792245120257</c:v>
                </c:pt>
              </c:numCache>
            </c:numRef>
          </c:xVal>
          <c:yVal>
            <c:numRef>
              <c:f>HourLines!$C$88:$Q$88</c:f>
              <c:numCache>
                <c:formatCode>General</c:formatCode>
                <c:ptCount val="15"/>
                <c:pt idx="0">
                  <c:v>-0.344741375692591</c:v>
                </c:pt>
                <c:pt idx="1">
                  <c:v>8.1593563488643033E-17</c:v>
                </c:pt>
                <c:pt idx="2">
                  <c:v>0.34474137569259083</c:v>
                </c:pt>
                <c:pt idx="3">
                  <c:v>0.66598919634379206</c:v>
                </c:pt>
                <c:pt idx="4">
                  <c:v>0.94185095386334872</c:v>
                </c:pt>
                <c:pt idx="5">
                  <c:v>1.1535271253594124</c:v>
                </c:pt>
                <c:pt idx="6">
                  <c:v>1.2865923295559396</c:v>
                </c:pt>
                <c:pt idx="7">
                  <c:v>1.3319783926875839</c:v>
                </c:pt>
                <c:pt idx="8">
                  <c:v>1.2865923295559396</c:v>
                </c:pt>
                <c:pt idx="9">
                  <c:v>1.1535271253594124</c:v>
                </c:pt>
                <c:pt idx="10">
                  <c:v>0.94185095386334872</c:v>
                </c:pt>
                <c:pt idx="11">
                  <c:v>0.66598919634379206</c:v>
                </c:pt>
                <c:pt idx="12">
                  <c:v>0.34474137569259083</c:v>
                </c:pt>
                <c:pt idx="13">
                  <c:v>8.1593563488643033E-17</c:v>
                </c:pt>
                <c:pt idx="14">
                  <c:v>-0.344741375692591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40-411C-AB13-DB12C8949161}"/>
            </c:ext>
          </c:extLst>
        </c:ser>
        <c:ser>
          <c:idx val="0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HourLines!$C$90:$Q$90</c:f>
              <c:numCache>
                <c:formatCode>General</c:formatCode>
                <c:ptCount val="15"/>
                <c:pt idx="0">
                  <c:v>-0.69546809442783808</c:v>
                </c:pt>
                <c:pt idx="1">
                  <c:v>-0.72000155239633112</c:v>
                </c:pt>
                <c:pt idx="2">
                  <c:v>-0.69546809442783808</c:v>
                </c:pt>
                <c:pt idx="3">
                  <c:v>-0.62353963513945532</c:v>
                </c:pt>
                <c:pt idx="4">
                  <c:v>-0.509117980164287</c:v>
                </c:pt>
                <c:pt idx="5">
                  <c:v>-0.36000077619816551</c:v>
                </c:pt>
                <c:pt idx="6">
                  <c:v>-0.18635011426355097</c:v>
                </c:pt>
                <c:pt idx="7">
                  <c:v>0</c:v>
                </c:pt>
                <c:pt idx="8">
                  <c:v>0.18635011426355097</c:v>
                </c:pt>
                <c:pt idx="9">
                  <c:v>0.36000077619816551</c:v>
                </c:pt>
                <c:pt idx="10">
                  <c:v>0.509117980164287</c:v>
                </c:pt>
                <c:pt idx="11">
                  <c:v>0.62353963513945532</c:v>
                </c:pt>
                <c:pt idx="12">
                  <c:v>0.69546809442783808</c:v>
                </c:pt>
                <c:pt idx="13">
                  <c:v>0.72000155239633112</c:v>
                </c:pt>
                <c:pt idx="14">
                  <c:v>0.69546809442783808</c:v>
                </c:pt>
              </c:numCache>
            </c:numRef>
          </c:xVal>
          <c:yVal>
            <c:numRef>
              <c:f>HourLines!$C$91:$Q$91</c:f>
              <c:numCache>
                <c:formatCode>General</c:formatCode>
                <c:ptCount val="15"/>
                <c:pt idx="0">
                  <c:v>-0.11493169808996176</c:v>
                </c:pt>
                <c:pt idx="1">
                  <c:v>2.720209254291256E-17</c:v>
                </c:pt>
                <c:pt idx="2">
                  <c:v>0.1149316980899617</c:v>
                </c:pt>
                <c:pt idx="3">
                  <c:v>0.22203099088870404</c:v>
                </c:pt>
                <c:pt idx="4">
                  <c:v>0.31399923858194234</c:v>
                </c:pt>
                <c:pt idx="5">
                  <c:v>0.38456895707409783</c:v>
                </c:pt>
                <c:pt idx="6">
                  <c:v>0.42893093667190407</c:v>
                </c:pt>
                <c:pt idx="7">
                  <c:v>0.44406198177740802</c:v>
                </c:pt>
                <c:pt idx="8">
                  <c:v>0.42893093667190407</c:v>
                </c:pt>
                <c:pt idx="9">
                  <c:v>0.38456895707409783</c:v>
                </c:pt>
                <c:pt idx="10">
                  <c:v>0.31399923858194234</c:v>
                </c:pt>
                <c:pt idx="11">
                  <c:v>0.22203099088870404</c:v>
                </c:pt>
                <c:pt idx="12">
                  <c:v>0.1149316980899617</c:v>
                </c:pt>
                <c:pt idx="13">
                  <c:v>2.720209254291256E-17</c:v>
                </c:pt>
                <c:pt idx="14">
                  <c:v>-0.11493169808996176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8A-44F5-959D-E22B7B85AB26}"/>
            </c:ext>
          </c:extLst>
        </c:ser>
        <c:ser>
          <c:idx val="1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HourLines!$C$93:$Q$93</c:f>
              <c:numCache>
                <c:formatCode>General</c:formatCode>
                <c:ptCount val="15"/>
                <c:pt idx="0">
                  <c:v>-4.9075749981679326</c:v>
                </c:pt>
                <c:pt idx="1">
                  <c:v>-5.0806954991793178</c:v>
                </c:pt>
                <c:pt idx="2">
                  <c:v>-4.9075749981679326</c:v>
                </c:pt>
                <c:pt idx="3">
                  <c:v>-4.4000113711825488</c:v>
                </c:pt>
                <c:pt idx="4">
                  <c:v>-3.5925942406136664</c:v>
                </c:pt>
                <c:pt idx="5">
                  <c:v>-2.5403477495896585</c:v>
                </c:pt>
                <c:pt idx="6">
                  <c:v>-1.314980757554266</c:v>
                </c:pt>
                <c:pt idx="7">
                  <c:v>0</c:v>
                </c:pt>
                <c:pt idx="8">
                  <c:v>1.314980757554266</c:v>
                </c:pt>
                <c:pt idx="9">
                  <c:v>2.5403477495896585</c:v>
                </c:pt>
                <c:pt idx="10">
                  <c:v>3.5925942406136664</c:v>
                </c:pt>
                <c:pt idx="11">
                  <c:v>4.4000113711825488</c:v>
                </c:pt>
                <c:pt idx="12">
                  <c:v>4.9075749981679326</c:v>
                </c:pt>
                <c:pt idx="13">
                  <c:v>5.0806954991793178</c:v>
                </c:pt>
                <c:pt idx="14">
                  <c:v>4.9075749981679326</c:v>
                </c:pt>
              </c:numCache>
            </c:numRef>
          </c:xVal>
          <c:yVal>
            <c:numRef>
              <c:f>HourLines!$C$94:$Q$94</c:f>
              <c:numCache>
                <c:formatCode>General</c:formatCode>
                <c:ptCount val="15"/>
                <c:pt idx="0">
                  <c:v>-0.81101625302784608</c:v>
                </c:pt>
                <c:pt idx="1">
                  <c:v>1.9195173773036351E-16</c:v>
                </c:pt>
                <c:pt idx="2">
                  <c:v>0.81101625302784586</c:v>
                </c:pt>
                <c:pt idx="3">
                  <c:v>1.5667630886795725</c:v>
                </c:pt>
                <c:pt idx="4">
                  <c:v>2.2157376090362111</c:v>
                </c:pt>
                <c:pt idx="5">
                  <c:v>2.7137132730165616</c:v>
                </c:pt>
                <c:pt idx="6">
                  <c:v>3.0267538620640568</c:v>
                </c:pt>
                <c:pt idx="7">
                  <c:v>3.1335261773591445</c:v>
                </c:pt>
                <c:pt idx="8">
                  <c:v>3.0267538620640568</c:v>
                </c:pt>
                <c:pt idx="9">
                  <c:v>2.7137132730165616</c:v>
                </c:pt>
                <c:pt idx="10">
                  <c:v>2.2157376090362111</c:v>
                </c:pt>
                <c:pt idx="11">
                  <c:v>1.5667630886795725</c:v>
                </c:pt>
                <c:pt idx="12">
                  <c:v>0.81101625302784586</c:v>
                </c:pt>
                <c:pt idx="13">
                  <c:v>1.9195173773036351E-16</c:v>
                </c:pt>
                <c:pt idx="14">
                  <c:v>-0.81101625302784608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8A-44F5-959D-E22B7B85A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626312"/>
        <c:axId val="619624672"/>
      </c:scatterChart>
      <c:valAx>
        <c:axId val="619626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624672"/>
        <c:crosses val="autoZero"/>
        <c:crossBetween val="midCat"/>
        <c:majorUnit val="1"/>
      </c:valAx>
      <c:valAx>
        <c:axId val="61962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626312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Equatorial</a:t>
            </a:r>
          </a:p>
        </c:rich>
      </c:tx>
      <c:layout>
        <c:manualLayout>
          <c:xMode val="edge"/>
          <c:yMode val="edge"/>
          <c:x val="0.40393734011096716"/>
          <c:y val="1.74735313755206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21805001818523"/>
          <c:y val="0.11579143389199256"/>
          <c:w val="0.83923995247900329"/>
          <c:h val="0.8208938547486033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Equatorial!$A$5:$A$17</c:f>
              <c:numCache>
                <c:formatCode>0.0000000</c:formatCode>
                <c:ptCount val="13"/>
                <c:pt idx="0">
                  <c:v>-49.274220590023887</c:v>
                </c:pt>
                <c:pt idx="1">
                  <c:v>-47.844634543024561</c:v>
                </c:pt>
                <c:pt idx="2">
                  <c:v>-43.154515713940803</c:v>
                </c:pt>
                <c:pt idx="3">
                  <c:v>-35.523487950674458</c:v>
                </c:pt>
                <c:pt idx="4">
                  <c:v>-25.471593227406807</c:v>
                </c:pt>
                <c:pt idx="5">
                  <c:v>-13.683851482680442</c:v>
                </c:pt>
                <c:pt idx="6">
                  <c:v>-0.96357787162050645</c:v>
                </c:pt>
                <c:pt idx="7">
                  <c:v>11.822361979102824</c:v>
                </c:pt>
                <c:pt idx="8">
                  <c:v>23.802627397098082</c:v>
                </c:pt>
                <c:pt idx="9">
                  <c:v>34.160783055684533</c:v>
                </c:pt>
                <c:pt idx="10">
                  <c:v>42.190937841992181</c:v>
                </c:pt>
                <c:pt idx="11">
                  <c:v>47.345849933803002</c:v>
                </c:pt>
                <c:pt idx="12">
                  <c:v>49.274220590419155</c:v>
                </c:pt>
              </c:numCache>
            </c:numRef>
          </c:xVal>
          <c:yVal>
            <c:numRef>
              <c:f>Equatorial!$B$5:$B$17</c:f>
              <c:numCache>
                <c:formatCode>0.0000000</c:formatCode>
                <c:ptCount val="13"/>
                <c:pt idx="0">
                  <c:v>0.96357788172681613</c:v>
                </c:pt>
                <c:pt idx="1">
                  <c:v>-11.822361969289727</c:v>
                </c:pt>
                <c:pt idx="2">
                  <c:v>-23.802627388246943</c:v>
                </c:pt>
                <c:pt idx="3">
                  <c:v>-34.160783083922034</c:v>
                </c:pt>
                <c:pt idx="4">
                  <c:v>-42.190937836767873</c:v>
                </c:pt>
                <c:pt idx="5">
                  <c:v>-47.345849930996394</c:v>
                </c:pt>
                <c:pt idx="6">
                  <c:v>-49.274220590221518</c:v>
                </c:pt>
                <c:pt idx="7">
                  <c:v>-47.844634540599749</c:v>
                </c:pt>
                <c:pt idx="8">
                  <c:v>-43.154515709058799</c:v>
                </c:pt>
                <c:pt idx="9">
                  <c:v>-35.523487977828751</c:v>
                </c:pt>
                <c:pt idx="10">
                  <c:v>-25.471593218753302</c:v>
                </c:pt>
                <c:pt idx="11">
                  <c:v>-13.683851472969645</c:v>
                </c:pt>
                <c:pt idx="12">
                  <c:v>-0.963577861514193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3-42FF-96EA-B9A3458015E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Equatorial!$C$5:$C$17</c:f>
              <c:numCache>
                <c:formatCode>0.0000000</c:formatCode>
                <c:ptCount val="13"/>
                <c:pt idx="0">
                  <c:v>-23.060036796920489</c:v>
                </c:pt>
                <c:pt idx="1">
                  <c:v>-22.390999185499744</c:v>
                </c:pt>
                <c:pt idx="2">
                  <c:v>-20.196051980134953</c:v>
                </c:pt>
                <c:pt idx="3">
                  <c:v>-16.624777205778173</c:v>
                </c:pt>
                <c:pt idx="4">
                  <c:v>-11.920551356607607</c:v>
                </c:pt>
                <c:pt idx="5">
                  <c:v>-6.4039596149003852</c:v>
                </c:pt>
                <c:pt idx="6">
                  <c:v>-0.45094860781554241</c:v>
                </c:pt>
                <c:pt idx="7">
                  <c:v>5.5327938017110041</c:v>
                </c:pt>
                <c:pt idx="8">
                  <c:v>11.139485456449783</c:v>
                </c:pt>
                <c:pt idx="9">
                  <c:v>15.987039568418702</c:v>
                </c:pt>
                <c:pt idx="10">
                  <c:v>19.745103372165858</c:v>
                </c:pt>
                <c:pt idx="11">
                  <c:v>22.157571009373189</c:v>
                </c:pt>
                <c:pt idx="12">
                  <c:v>23.060036797105472</c:v>
                </c:pt>
              </c:numCache>
            </c:numRef>
          </c:xVal>
          <c:yVal>
            <c:numRef>
              <c:f>Equatorial!$D$5:$D$17</c:f>
              <c:numCache>
                <c:formatCode>0.0000000</c:formatCode>
                <c:ptCount val="13"/>
                <c:pt idx="0">
                  <c:v>0.45094861254523416</c:v>
                </c:pt>
                <c:pt idx="1">
                  <c:v>-5.5327937971185337</c:v>
                </c:pt>
                <c:pt idx="2">
                  <c:v>-11.139485452307504</c:v>
                </c:pt>
                <c:pt idx="3">
                  <c:v>-15.987039581633681</c:v>
                </c:pt>
                <c:pt idx="4">
                  <c:v>-19.745103369720912</c:v>
                </c:pt>
                <c:pt idx="5">
                  <c:v>-22.157571008059715</c:v>
                </c:pt>
                <c:pt idx="6">
                  <c:v>-23.06003679701298</c:v>
                </c:pt>
                <c:pt idx="7">
                  <c:v>-22.390999184364947</c:v>
                </c:pt>
                <c:pt idx="8">
                  <c:v>-20.196051977850207</c:v>
                </c:pt>
                <c:pt idx="9">
                  <c:v>-16.624777218486216</c:v>
                </c:pt>
                <c:pt idx="10">
                  <c:v>-11.920551352557819</c:v>
                </c:pt>
                <c:pt idx="11">
                  <c:v>-6.4039596103557912</c:v>
                </c:pt>
                <c:pt idx="12">
                  <c:v>-0.45094860308584894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3-42FF-96EA-B9A3458015E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Equatorial!$E$5:$E$17</c:f>
              <c:numCache>
                <c:formatCode>0.0000000</c:formatCode>
                <c:ptCount val="13"/>
                <c:pt idx="0">
                  <c:v>49.274220590023887</c:v>
                </c:pt>
                <c:pt idx="1">
                  <c:v>47.844634543024561</c:v>
                </c:pt>
                <c:pt idx="2">
                  <c:v>43.154515713940803</c:v>
                </c:pt>
                <c:pt idx="3">
                  <c:v>35.523487950674458</c:v>
                </c:pt>
                <c:pt idx="4">
                  <c:v>25.471593227406807</c:v>
                </c:pt>
                <c:pt idx="5">
                  <c:v>13.683851482680442</c:v>
                </c:pt>
                <c:pt idx="6">
                  <c:v>0.96357787162050645</c:v>
                </c:pt>
                <c:pt idx="7">
                  <c:v>-11.822361979102824</c:v>
                </c:pt>
                <c:pt idx="8">
                  <c:v>-23.802627397098082</c:v>
                </c:pt>
                <c:pt idx="9">
                  <c:v>-34.160783055684533</c:v>
                </c:pt>
                <c:pt idx="10">
                  <c:v>-42.190937841992181</c:v>
                </c:pt>
                <c:pt idx="11">
                  <c:v>-47.345849933803002</c:v>
                </c:pt>
                <c:pt idx="12">
                  <c:v>-49.274220590419155</c:v>
                </c:pt>
              </c:numCache>
            </c:numRef>
          </c:xVal>
          <c:yVal>
            <c:numRef>
              <c:f>Equatorial!$F$5:$F$17</c:f>
              <c:numCache>
                <c:formatCode>0.0000000</c:formatCode>
                <c:ptCount val="13"/>
                <c:pt idx="0">
                  <c:v>-0.96357788172681613</c:v>
                </c:pt>
                <c:pt idx="1">
                  <c:v>11.822361969289727</c:v>
                </c:pt>
                <c:pt idx="2">
                  <c:v>23.802627388246943</c:v>
                </c:pt>
                <c:pt idx="3">
                  <c:v>34.160783083922034</c:v>
                </c:pt>
                <c:pt idx="4">
                  <c:v>42.190937836767873</c:v>
                </c:pt>
                <c:pt idx="5">
                  <c:v>47.345849930996394</c:v>
                </c:pt>
                <c:pt idx="6">
                  <c:v>49.274220590221518</c:v>
                </c:pt>
                <c:pt idx="7">
                  <c:v>47.844634540599749</c:v>
                </c:pt>
                <c:pt idx="8">
                  <c:v>43.154515709058799</c:v>
                </c:pt>
                <c:pt idx="9">
                  <c:v>35.523487977828751</c:v>
                </c:pt>
                <c:pt idx="10">
                  <c:v>25.471593218753302</c:v>
                </c:pt>
                <c:pt idx="11">
                  <c:v>13.683851472969645</c:v>
                </c:pt>
                <c:pt idx="12">
                  <c:v>0.963577861514193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3-42FF-96EA-B9A3458015E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Equatorial!$G$5:$G$17</c:f>
              <c:numCache>
                <c:formatCode>0.0000000</c:formatCode>
                <c:ptCount val="13"/>
                <c:pt idx="0">
                  <c:v>23.060036796920489</c:v>
                </c:pt>
                <c:pt idx="1">
                  <c:v>22.390999185499744</c:v>
                </c:pt>
                <c:pt idx="2">
                  <c:v>20.196051980134953</c:v>
                </c:pt>
                <c:pt idx="3">
                  <c:v>16.624777205778173</c:v>
                </c:pt>
                <c:pt idx="4">
                  <c:v>11.920551356607607</c:v>
                </c:pt>
                <c:pt idx="5">
                  <c:v>6.4039596149003852</c:v>
                </c:pt>
                <c:pt idx="6">
                  <c:v>0.45094860781554241</c:v>
                </c:pt>
                <c:pt idx="7">
                  <c:v>-5.5327938017110041</c:v>
                </c:pt>
                <c:pt idx="8">
                  <c:v>-11.139485456449783</c:v>
                </c:pt>
                <c:pt idx="9">
                  <c:v>-15.987039568418702</c:v>
                </c:pt>
                <c:pt idx="10">
                  <c:v>-19.745103372165858</c:v>
                </c:pt>
                <c:pt idx="11">
                  <c:v>-22.157571009373189</c:v>
                </c:pt>
                <c:pt idx="12">
                  <c:v>-23.060036797105472</c:v>
                </c:pt>
              </c:numCache>
            </c:numRef>
          </c:xVal>
          <c:yVal>
            <c:numRef>
              <c:f>Equatorial!$H$5:$H$17</c:f>
              <c:numCache>
                <c:formatCode>0.0000000</c:formatCode>
                <c:ptCount val="13"/>
                <c:pt idx="0">
                  <c:v>-0.45094861254523416</c:v>
                </c:pt>
                <c:pt idx="1">
                  <c:v>5.5327937971185337</c:v>
                </c:pt>
                <c:pt idx="2">
                  <c:v>11.139485452307504</c:v>
                </c:pt>
                <c:pt idx="3">
                  <c:v>15.987039581633681</c:v>
                </c:pt>
                <c:pt idx="4">
                  <c:v>19.745103369720912</c:v>
                </c:pt>
                <c:pt idx="5">
                  <c:v>22.157571008059715</c:v>
                </c:pt>
                <c:pt idx="6">
                  <c:v>23.06003679701298</c:v>
                </c:pt>
                <c:pt idx="7">
                  <c:v>22.390999184364947</c:v>
                </c:pt>
                <c:pt idx="8">
                  <c:v>20.196051977850207</c:v>
                </c:pt>
                <c:pt idx="9">
                  <c:v>16.624777218486216</c:v>
                </c:pt>
                <c:pt idx="10">
                  <c:v>11.920551352557819</c:v>
                </c:pt>
                <c:pt idx="11">
                  <c:v>6.4039596103557912</c:v>
                </c:pt>
                <c:pt idx="12">
                  <c:v>0.45094860308584894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3-42FF-96EA-B9A3458015E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Equatorial!$A$19:$A$20</c:f>
              <c:numCache>
                <c:formatCode>0.0000000</c:formatCode>
                <c:ptCount val="2"/>
                <c:pt idx="0">
                  <c:v>-49.274220590023887</c:v>
                </c:pt>
                <c:pt idx="1">
                  <c:v>-23.060036796920489</c:v>
                </c:pt>
              </c:numCache>
            </c:numRef>
          </c:xVal>
          <c:yVal>
            <c:numRef>
              <c:f>Equatorial!$B$19:$B$20</c:f>
              <c:numCache>
                <c:formatCode>0.0000000</c:formatCode>
                <c:ptCount val="2"/>
                <c:pt idx="0">
                  <c:v>0.96357788172681613</c:v>
                </c:pt>
                <c:pt idx="1">
                  <c:v>0.45094861254523416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3-42FF-96EA-B9A3458015E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Equatorial!$C$19:$C$20</c:f>
              <c:numCache>
                <c:formatCode>0.0000000</c:formatCode>
                <c:ptCount val="2"/>
                <c:pt idx="0">
                  <c:v>-47.844634543024561</c:v>
                </c:pt>
                <c:pt idx="1">
                  <c:v>-22.390999185499744</c:v>
                </c:pt>
              </c:numCache>
            </c:numRef>
          </c:xVal>
          <c:yVal>
            <c:numRef>
              <c:f>Equatorial!$D$19:$D$20</c:f>
              <c:numCache>
                <c:formatCode>0.0000000</c:formatCode>
                <c:ptCount val="2"/>
                <c:pt idx="0">
                  <c:v>-11.822361969289727</c:v>
                </c:pt>
                <c:pt idx="1">
                  <c:v>-5.5327937971185337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703-42FF-96EA-B9A3458015E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Equatorial!$C$21:$C$22</c:f>
              <c:numCache>
                <c:formatCode>0.0000000</c:formatCode>
                <c:ptCount val="2"/>
                <c:pt idx="0">
                  <c:v>47.844634543024561</c:v>
                </c:pt>
                <c:pt idx="1">
                  <c:v>22.390999185499744</c:v>
                </c:pt>
              </c:numCache>
            </c:numRef>
          </c:xVal>
          <c:yVal>
            <c:numRef>
              <c:f>Equatorial!$D$21:$D$22</c:f>
              <c:numCache>
                <c:formatCode>0.0000000</c:formatCode>
                <c:ptCount val="2"/>
                <c:pt idx="0">
                  <c:v>11.822361969289727</c:v>
                </c:pt>
                <c:pt idx="1">
                  <c:v>5.5327937971185337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03-42FF-96EA-B9A3458015E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Equatorial!$E$19:$E$20</c:f>
              <c:numCache>
                <c:formatCode>0.0000000</c:formatCode>
                <c:ptCount val="2"/>
                <c:pt idx="0">
                  <c:v>-43.154515713940803</c:v>
                </c:pt>
                <c:pt idx="1">
                  <c:v>-20.196051980134953</c:v>
                </c:pt>
              </c:numCache>
            </c:numRef>
          </c:xVal>
          <c:yVal>
            <c:numRef>
              <c:f>Equatorial!$F$19:$F$20</c:f>
              <c:numCache>
                <c:formatCode>0.0000000</c:formatCode>
                <c:ptCount val="2"/>
                <c:pt idx="0">
                  <c:v>-23.802627388246943</c:v>
                </c:pt>
                <c:pt idx="1">
                  <c:v>-11.139485452307504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703-42FF-96EA-B9A3458015E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Equatorial!$E$21:$E$22</c:f>
              <c:numCache>
                <c:formatCode>0.0000000</c:formatCode>
                <c:ptCount val="2"/>
                <c:pt idx="0">
                  <c:v>43.154515713940803</c:v>
                </c:pt>
                <c:pt idx="1">
                  <c:v>20.196051980134953</c:v>
                </c:pt>
              </c:numCache>
            </c:numRef>
          </c:xVal>
          <c:yVal>
            <c:numRef>
              <c:f>Equatorial!$F$21:$F$22</c:f>
              <c:numCache>
                <c:formatCode>0.0000000</c:formatCode>
                <c:ptCount val="2"/>
                <c:pt idx="0">
                  <c:v>23.802627388246943</c:v>
                </c:pt>
                <c:pt idx="1">
                  <c:v>11.139485452307504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703-42FF-96EA-B9A3458015E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Equatorial!$G$19:$G$20</c:f>
              <c:numCache>
                <c:formatCode>0.0000000</c:formatCode>
                <c:ptCount val="2"/>
                <c:pt idx="0">
                  <c:v>-35.523487950674458</c:v>
                </c:pt>
                <c:pt idx="1">
                  <c:v>-16.624777205778173</c:v>
                </c:pt>
              </c:numCache>
            </c:numRef>
          </c:xVal>
          <c:yVal>
            <c:numRef>
              <c:f>Equatorial!$H$19:$H$20</c:f>
              <c:numCache>
                <c:formatCode>0.0000000</c:formatCode>
                <c:ptCount val="2"/>
                <c:pt idx="0">
                  <c:v>-34.160783083922034</c:v>
                </c:pt>
                <c:pt idx="1">
                  <c:v>-15.987039581633681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03-42FF-96EA-B9A3458015E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Equatorial!$G$21:$G$22</c:f>
              <c:numCache>
                <c:formatCode>0.0000000</c:formatCode>
                <c:ptCount val="2"/>
                <c:pt idx="0">
                  <c:v>35.523487950674458</c:v>
                </c:pt>
                <c:pt idx="1">
                  <c:v>16.624777205778173</c:v>
                </c:pt>
              </c:numCache>
            </c:numRef>
          </c:xVal>
          <c:yVal>
            <c:numRef>
              <c:f>Equatorial!$H$21:$H$22</c:f>
              <c:numCache>
                <c:formatCode>0.0000000</c:formatCode>
                <c:ptCount val="2"/>
                <c:pt idx="0">
                  <c:v>34.160783083922034</c:v>
                </c:pt>
                <c:pt idx="1">
                  <c:v>15.987039581633681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03-42FF-96EA-B9A3458015E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Equatorial!$I$19:$I$20</c:f>
              <c:numCache>
                <c:formatCode>0.0000000</c:formatCode>
                <c:ptCount val="2"/>
                <c:pt idx="0">
                  <c:v>-25.471593227406807</c:v>
                </c:pt>
                <c:pt idx="1">
                  <c:v>-11.920551356607607</c:v>
                </c:pt>
              </c:numCache>
            </c:numRef>
          </c:xVal>
          <c:yVal>
            <c:numRef>
              <c:f>Equatorial!$J$19:$J$20</c:f>
              <c:numCache>
                <c:formatCode>0.0000000</c:formatCode>
                <c:ptCount val="2"/>
                <c:pt idx="0">
                  <c:v>-42.190937836767873</c:v>
                </c:pt>
                <c:pt idx="1">
                  <c:v>-19.745103369720912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03-42FF-96EA-B9A3458015E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Equatorial!$I$21:$I$22</c:f>
              <c:numCache>
                <c:formatCode>0.0000000</c:formatCode>
                <c:ptCount val="2"/>
                <c:pt idx="0">
                  <c:v>25.471593227406807</c:v>
                </c:pt>
                <c:pt idx="1">
                  <c:v>11.920551356607607</c:v>
                </c:pt>
              </c:numCache>
            </c:numRef>
          </c:xVal>
          <c:yVal>
            <c:numRef>
              <c:f>Equatorial!$J$21:$J$22</c:f>
              <c:numCache>
                <c:formatCode>0.0000000</c:formatCode>
                <c:ptCount val="2"/>
                <c:pt idx="0">
                  <c:v>42.190937836767873</c:v>
                </c:pt>
                <c:pt idx="1">
                  <c:v>19.745103369720912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03-42FF-96EA-B9A3458015E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Equatorial!$K$19:$K$20</c:f>
              <c:numCache>
                <c:formatCode>0.0000000</c:formatCode>
                <c:ptCount val="2"/>
                <c:pt idx="0">
                  <c:v>-13.683851482680442</c:v>
                </c:pt>
                <c:pt idx="1">
                  <c:v>-6.4039596149003852</c:v>
                </c:pt>
              </c:numCache>
            </c:numRef>
          </c:xVal>
          <c:yVal>
            <c:numRef>
              <c:f>Equatorial!$L$19:$L$20</c:f>
              <c:numCache>
                <c:formatCode>0.0000000</c:formatCode>
                <c:ptCount val="2"/>
                <c:pt idx="0">
                  <c:v>-47.345849930996394</c:v>
                </c:pt>
                <c:pt idx="1">
                  <c:v>-22.157571008059715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703-42FF-96EA-B9A3458015E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Equatorial!$K$21:$K$22</c:f>
              <c:numCache>
                <c:formatCode>0.0000000</c:formatCode>
                <c:ptCount val="2"/>
                <c:pt idx="0">
                  <c:v>13.683851482680442</c:v>
                </c:pt>
                <c:pt idx="1">
                  <c:v>6.4039596149003852</c:v>
                </c:pt>
              </c:numCache>
            </c:numRef>
          </c:xVal>
          <c:yVal>
            <c:numRef>
              <c:f>Equatorial!$L$21:$L$22</c:f>
              <c:numCache>
                <c:formatCode>0.0000000</c:formatCode>
                <c:ptCount val="2"/>
                <c:pt idx="0">
                  <c:v>47.345849930996394</c:v>
                </c:pt>
                <c:pt idx="1">
                  <c:v>22.157571008059715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703-42FF-96EA-B9A3458015E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Equatorial!$M$19:$M$20</c:f>
              <c:numCache>
                <c:formatCode>0.0000000</c:formatCode>
                <c:ptCount val="2"/>
                <c:pt idx="0">
                  <c:v>-0.96357787162050645</c:v>
                </c:pt>
                <c:pt idx="1">
                  <c:v>-0.45094860781554241</c:v>
                </c:pt>
              </c:numCache>
            </c:numRef>
          </c:xVal>
          <c:yVal>
            <c:numRef>
              <c:f>Equatorial!$N$19:$N$20</c:f>
              <c:numCache>
                <c:formatCode>0.0000000</c:formatCode>
                <c:ptCount val="2"/>
                <c:pt idx="0">
                  <c:v>-49.274220590221518</c:v>
                </c:pt>
                <c:pt idx="1">
                  <c:v>-23.06003679701298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703-42FF-96EA-B9A3458015E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Equatorial!$M$21:$M$22</c:f>
              <c:numCache>
                <c:formatCode>0.0000000</c:formatCode>
                <c:ptCount val="2"/>
                <c:pt idx="0">
                  <c:v>0.96357787162050645</c:v>
                </c:pt>
                <c:pt idx="1">
                  <c:v>0.45094860781554241</c:v>
                </c:pt>
              </c:numCache>
            </c:numRef>
          </c:xVal>
          <c:yVal>
            <c:numRef>
              <c:f>Equatorial!$N$21:$N$22</c:f>
              <c:numCache>
                <c:formatCode>0.0000000</c:formatCode>
                <c:ptCount val="2"/>
                <c:pt idx="0">
                  <c:v>49.274220590221518</c:v>
                </c:pt>
                <c:pt idx="1">
                  <c:v>23.06003679701298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703-42FF-96EA-B9A3458015E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Equatorial!$O$19:$O$20</c:f>
              <c:numCache>
                <c:formatCode>0.0000000</c:formatCode>
                <c:ptCount val="2"/>
                <c:pt idx="0">
                  <c:v>11.822361979102824</c:v>
                </c:pt>
                <c:pt idx="1">
                  <c:v>5.5327938017110041</c:v>
                </c:pt>
              </c:numCache>
            </c:numRef>
          </c:xVal>
          <c:yVal>
            <c:numRef>
              <c:f>Equatorial!$P$19:$P$20</c:f>
              <c:numCache>
                <c:formatCode>0.0000000</c:formatCode>
                <c:ptCount val="2"/>
                <c:pt idx="0">
                  <c:v>-47.844634540599749</c:v>
                </c:pt>
                <c:pt idx="1">
                  <c:v>-22.390999184364947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703-42FF-96EA-B9A3458015E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Equatorial!$O$21:$O$22</c:f>
              <c:numCache>
                <c:formatCode>0.0000000</c:formatCode>
                <c:ptCount val="2"/>
                <c:pt idx="0">
                  <c:v>-11.822361979102824</c:v>
                </c:pt>
                <c:pt idx="1">
                  <c:v>-5.5327938017110041</c:v>
                </c:pt>
              </c:numCache>
            </c:numRef>
          </c:xVal>
          <c:yVal>
            <c:numRef>
              <c:f>Equatorial!$P$21:$P$22</c:f>
              <c:numCache>
                <c:formatCode>0.0000000</c:formatCode>
                <c:ptCount val="2"/>
                <c:pt idx="0">
                  <c:v>47.844634540599749</c:v>
                </c:pt>
                <c:pt idx="1">
                  <c:v>22.390999184364947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703-42FF-96EA-B9A3458015E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Equatorial!$Q$19:$Q$20</c:f>
              <c:numCache>
                <c:formatCode>0.0000000</c:formatCode>
                <c:ptCount val="2"/>
                <c:pt idx="0">
                  <c:v>23.802627397098082</c:v>
                </c:pt>
                <c:pt idx="1">
                  <c:v>11.139485456449783</c:v>
                </c:pt>
              </c:numCache>
            </c:numRef>
          </c:xVal>
          <c:yVal>
            <c:numRef>
              <c:f>Equatorial!$R$19:$R$20</c:f>
              <c:numCache>
                <c:formatCode>0.0000000</c:formatCode>
                <c:ptCount val="2"/>
                <c:pt idx="0">
                  <c:v>-43.154515709058799</c:v>
                </c:pt>
                <c:pt idx="1">
                  <c:v>-20.196051977850207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703-42FF-96EA-B9A3458015E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Equatorial!$Q$21:$Q$22</c:f>
              <c:numCache>
                <c:formatCode>0.0000000</c:formatCode>
                <c:ptCount val="2"/>
                <c:pt idx="0">
                  <c:v>-23.802627397098082</c:v>
                </c:pt>
                <c:pt idx="1">
                  <c:v>-11.139485456449783</c:v>
                </c:pt>
              </c:numCache>
            </c:numRef>
          </c:xVal>
          <c:yVal>
            <c:numRef>
              <c:f>Equatorial!$R$21:$R$22</c:f>
              <c:numCache>
                <c:formatCode>0.0000000</c:formatCode>
                <c:ptCount val="2"/>
                <c:pt idx="0">
                  <c:v>43.154515709058799</c:v>
                </c:pt>
                <c:pt idx="1">
                  <c:v>20.196051977850207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703-42FF-96EA-B9A3458015E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Equatorial!$S$19:$S$20</c:f>
              <c:numCache>
                <c:formatCode>0.0000000</c:formatCode>
                <c:ptCount val="2"/>
                <c:pt idx="0">
                  <c:v>34.160783055684533</c:v>
                </c:pt>
                <c:pt idx="1">
                  <c:v>15.987039568418702</c:v>
                </c:pt>
              </c:numCache>
            </c:numRef>
          </c:xVal>
          <c:yVal>
            <c:numRef>
              <c:f>Equatorial!$T$19:$T$20</c:f>
              <c:numCache>
                <c:formatCode>0.0000000</c:formatCode>
                <c:ptCount val="2"/>
                <c:pt idx="0">
                  <c:v>-35.523487977828751</c:v>
                </c:pt>
                <c:pt idx="1">
                  <c:v>-16.624777218486216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703-42FF-96EA-B9A3458015E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Equatorial!$S$21:$S$22</c:f>
              <c:numCache>
                <c:formatCode>0.0000000</c:formatCode>
                <c:ptCount val="2"/>
                <c:pt idx="0">
                  <c:v>-34.160783055684533</c:v>
                </c:pt>
                <c:pt idx="1">
                  <c:v>-15.987039568418702</c:v>
                </c:pt>
              </c:numCache>
            </c:numRef>
          </c:xVal>
          <c:yVal>
            <c:numRef>
              <c:f>Equatorial!$T$21:$T$22</c:f>
              <c:numCache>
                <c:formatCode>0.0000000</c:formatCode>
                <c:ptCount val="2"/>
                <c:pt idx="0">
                  <c:v>35.523487977828751</c:v>
                </c:pt>
                <c:pt idx="1">
                  <c:v>16.624777218486216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703-42FF-96EA-B9A3458015E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Equatorial!$Y$19:$Y$20</c:f>
              <c:numCache>
                <c:formatCode>0.0000000</c:formatCode>
                <c:ptCount val="2"/>
                <c:pt idx="0">
                  <c:v>49.274220590419155</c:v>
                </c:pt>
                <c:pt idx="1">
                  <c:v>23.060036797105472</c:v>
                </c:pt>
              </c:numCache>
            </c:numRef>
          </c:xVal>
          <c:yVal>
            <c:numRef>
              <c:f>Equatorial!$Z$19:$Z$20</c:f>
              <c:numCache>
                <c:formatCode>0.0000000</c:formatCode>
                <c:ptCount val="2"/>
                <c:pt idx="0">
                  <c:v>-0.963577861514193</c:v>
                </c:pt>
                <c:pt idx="1">
                  <c:v>-0.45094860308584894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703-42FF-96EA-B9A3458015E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Equatorial!$W$19:$W$20</c:f>
              <c:numCache>
                <c:formatCode>0.0000000</c:formatCode>
                <c:ptCount val="2"/>
                <c:pt idx="0">
                  <c:v>47.345849933803002</c:v>
                </c:pt>
                <c:pt idx="1">
                  <c:v>22.157571009373189</c:v>
                </c:pt>
              </c:numCache>
            </c:numRef>
          </c:xVal>
          <c:yVal>
            <c:numRef>
              <c:f>Equatorial!$X$19:$X$20</c:f>
              <c:numCache>
                <c:formatCode>0.0000000</c:formatCode>
                <c:ptCount val="2"/>
                <c:pt idx="0">
                  <c:v>-13.683851472969645</c:v>
                </c:pt>
                <c:pt idx="1">
                  <c:v>-6.4039596103557912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703-42FF-96EA-B9A3458015E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Equatorial!$U$19:$U$20</c:f>
              <c:numCache>
                <c:formatCode>0.0000000</c:formatCode>
                <c:ptCount val="2"/>
                <c:pt idx="0">
                  <c:v>42.190937841992181</c:v>
                </c:pt>
                <c:pt idx="1">
                  <c:v>19.745103372165858</c:v>
                </c:pt>
              </c:numCache>
            </c:numRef>
          </c:xVal>
          <c:yVal>
            <c:numRef>
              <c:f>Equatorial!$V$19:$V$20</c:f>
              <c:numCache>
                <c:formatCode>0.0000000</c:formatCode>
                <c:ptCount val="2"/>
                <c:pt idx="0">
                  <c:v>-25.471593218753302</c:v>
                </c:pt>
                <c:pt idx="1">
                  <c:v>-11.920551352557819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C703-42FF-96EA-B9A3458015E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Equatorial!$W$21:$W$22</c:f>
              <c:numCache>
                <c:formatCode>0.0000000</c:formatCode>
                <c:ptCount val="2"/>
                <c:pt idx="0">
                  <c:v>-47.345849933803002</c:v>
                </c:pt>
                <c:pt idx="1">
                  <c:v>-22.157571009373189</c:v>
                </c:pt>
              </c:numCache>
            </c:numRef>
          </c:xVal>
          <c:yVal>
            <c:numRef>
              <c:f>Equatorial!$X$21:$X$22</c:f>
              <c:numCache>
                <c:formatCode>0.0000000</c:formatCode>
                <c:ptCount val="2"/>
                <c:pt idx="0">
                  <c:v>13.683851472969645</c:v>
                </c:pt>
                <c:pt idx="1">
                  <c:v>6.4039596103557912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03-42FF-96EA-B9A3458015E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Equatorial!$U$21:$U$22</c:f>
              <c:numCache>
                <c:formatCode>0.0000000</c:formatCode>
                <c:ptCount val="2"/>
                <c:pt idx="0">
                  <c:v>-42.190937841992181</c:v>
                </c:pt>
                <c:pt idx="1">
                  <c:v>-19.745103372165858</c:v>
                </c:pt>
              </c:numCache>
            </c:numRef>
          </c:xVal>
          <c:yVal>
            <c:numRef>
              <c:f>Equatorial!$V$21:$V$22</c:f>
              <c:numCache>
                <c:formatCode>0.0000000</c:formatCode>
                <c:ptCount val="2"/>
                <c:pt idx="0">
                  <c:v>25.471593218753302</c:v>
                </c:pt>
                <c:pt idx="1">
                  <c:v>11.920551352557819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C703-42FF-96EA-B9A345801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999976"/>
        <c:axId val="444012112"/>
      </c:scatterChart>
      <c:valAx>
        <c:axId val="443999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12112"/>
        <c:crosses val="autoZero"/>
        <c:crossBetween val="midCat"/>
      </c:valAx>
      <c:valAx>
        <c:axId val="44401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99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Polar Sundial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Polar!$C$20:$C$30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-40.469607230186178</c:v>
                </c:pt>
                <c:pt idx="2">
                  <c:v>-40.469607230186178</c:v>
                </c:pt>
                <c:pt idx="3">
                  <c:v>-40.469607230186178</c:v>
                </c:pt>
                <c:pt idx="4">
                  <c:v>-40.469607230186178</c:v>
                </c:pt>
                <c:pt idx="5">
                  <c:v>-40.469607230186178</c:v>
                </c:pt>
                <c:pt idx="6">
                  <c:v>-40.469607230186178</c:v>
                </c:pt>
                <c:pt idx="7">
                  <c:v>-40.469607230186178</c:v>
                </c:pt>
                <c:pt idx="8">
                  <c:v>-40.469607230186178</c:v>
                </c:pt>
                <c:pt idx="9">
                  <c:v>-40.469607230186178</c:v>
                </c:pt>
                <c:pt idx="10">
                  <c:v>-40.469607230186178</c:v>
                </c:pt>
              </c:numCache>
            </c:numRef>
          </c:xVal>
          <c:yVal>
            <c:numRef>
              <c:f>Polar!$D$20:$D$30</c:f>
              <c:numCache>
                <c:formatCode>General</c:formatCode>
                <c:ptCount val="11"/>
                <c:pt idx="0">
                  <c:v>-18.071702375931391</c:v>
                </c:pt>
                <c:pt idx="1">
                  <c:v>-4.1882333682271131</c:v>
                </c:pt>
                <c:pt idx="2">
                  <c:v>-8.5253510020094776</c:v>
                </c:pt>
                <c:pt idx="3">
                  <c:v>-12.179765307023183</c:v>
                </c:pt>
                <c:pt idx="4">
                  <c:v>-15.344714883378145</c:v>
                </c:pt>
                <c:pt idx="5">
                  <c:v>8.7957835981724977E-2</c:v>
                </c:pt>
                <c:pt idx="6">
                  <c:v>4.0465018946513727</c:v>
                </c:pt>
                <c:pt idx="7">
                  <c:v>8.4360906962682023</c:v>
                </c:pt>
                <c:pt idx="8">
                  <c:v>12.196054179295206</c:v>
                </c:pt>
                <c:pt idx="9">
                  <c:v>15.298299361132798</c:v>
                </c:pt>
                <c:pt idx="10">
                  <c:v>18.073297175610278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C-4A45-87E7-47A0374661F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Polar!$E$20:$E$30</c:f>
              <c:numCache>
                <c:formatCode>General</c:formatCode>
                <c:ptCount val="11"/>
                <c:pt idx="0">
                  <c:v>-18.130147991666362</c:v>
                </c:pt>
                <c:pt idx="1">
                  <c:v>-18.130147991666362</c:v>
                </c:pt>
                <c:pt idx="2">
                  <c:v>-18.130147991666362</c:v>
                </c:pt>
                <c:pt idx="3">
                  <c:v>-18.130147991666362</c:v>
                </c:pt>
                <c:pt idx="4">
                  <c:v>-18.130147991666362</c:v>
                </c:pt>
                <c:pt idx="5">
                  <c:v>-18.130147991666362</c:v>
                </c:pt>
                <c:pt idx="6">
                  <c:v>-18.130147991666362</c:v>
                </c:pt>
                <c:pt idx="7">
                  <c:v>-18.130147991666362</c:v>
                </c:pt>
                <c:pt idx="8">
                  <c:v>-18.130147991666362</c:v>
                </c:pt>
                <c:pt idx="9">
                  <c:v>-18.130147991666362</c:v>
                </c:pt>
                <c:pt idx="10">
                  <c:v>-18.130147991666362</c:v>
                </c:pt>
              </c:numCache>
            </c:numRef>
          </c:xVal>
          <c:yVal>
            <c:numRef>
              <c:f>Polar!$F$20:$F$30</c:f>
              <c:numCache>
                <c:formatCode>General</c:formatCode>
                <c:ptCount val="11"/>
                <c:pt idx="0">
                  <c:v>-8.9759085585244431</c:v>
                </c:pt>
                <c:pt idx="1">
                  <c:v>-2.0802245938398984</c:v>
                </c:pt>
                <c:pt idx="2">
                  <c:v>-4.2343974812952805</c:v>
                </c:pt>
                <c:pt idx="3">
                  <c:v>-6.0494831856976106</c:v>
                </c:pt>
                <c:pt idx="4">
                  <c:v>-7.6214600475752228</c:v>
                </c:pt>
                <c:pt idx="5">
                  <c:v>4.3687167725224602E-2</c:v>
                </c:pt>
                <c:pt idx="6">
                  <c:v>2.0098289708810402</c:v>
                </c:pt>
                <c:pt idx="7">
                  <c:v>4.1900633988954574</c:v>
                </c:pt>
                <c:pt idx="8">
                  <c:v>6.0575735927325276</c:v>
                </c:pt>
                <c:pt idx="9">
                  <c:v>7.5984062436388946</c:v>
                </c:pt>
                <c:pt idx="10">
                  <c:v>8.9767006685199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C-4A45-87E7-47A0374661F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Polar!$G$20:$G$30</c:f>
              <c:numCache>
                <c:formatCode>General</c:formatCode>
                <c:ptCount val="11"/>
                <c:pt idx="0">
                  <c:v>-10.398909141925902</c:v>
                </c:pt>
                <c:pt idx="1">
                  <c:v>-10.398909141925902</c:v>
                </c:pt>
                <c:pt idx="2">
                  <c:v>-10.398909141925902</c:v>
                </c:pt>
                <c:pt idx="3">
                  <c:v>-10.398909141925902</c:v>
                </c:pt>
                <c:pt idx="4">
                  <c:v>-10.398909141925902</c:v>
                </c:pt>
                <c:pt idx="5">
                  <c:v>-10.398909141925902</c:v>
                </c:pt>
                <c:pt idx="6">
                  <c:v>-10.398909141925902</c:v>
                </c:pt>
                <c:pt idx="7">
                  <c:v>-10.398909141925902</c:v>
                </c:pt>
                <c:pt idx="8">
                  <c:v>-10.398909141925902</c:v>
                </c:pt>
                <c:pt idx="9">
                  <c:v>-10.398909141925902</c:v>
                </c:pt>
                <c:pt idx="10">
                  <c:v>-10.398909141925902</c:v>
                </c:pt>
              </c:numCache>
            </c:numRef>
          </c:xVal>
          <c:yVal>
            <c:numRef>
              <c:f>Polar!$H$20:$H$30</c:f>
              <c:numCache>
                <c:formatCode>General</c:formatCode>
                <c:ptCount val="11"/>
                <c:pt idx="0">
                  <c:v>-6.2542537846589861</c:v>
                </c:pt>
                <c:pt idx="1">
                  <c:v>-1.4494635784371954</c:v>
                </c:pt>
                <c:pt idx="2">
                  <c:v>-2.9504530154766915</c:v>
                </c:pt>
                <c:pt idx="3">
                  <c:v>-4.2151725212762088</c:v>
                </c:pt>
                <c:pt idx="4">
                  <c:v>-5.3104981001511593</c:v>
                </c:pt>
                <c:pt idx="5">
                  <c:v>3.0440443137873772E-2</c:v>
                </c:pt>
                <c:pt idx="6">
                  <c:v>1.4004131576978107</c:v>
                </c:pt>
                <c:pt idx="7">
                  <c:v>2.9195618136746018</c:v>
                </c:pt>
                <c:pt idx="8">
                  <c:v>4.2208097733145555</c:v>
                </c:pt>
                <c:pt idx="9">
                  <c:v>5.2944346187131011</c:v>
                </c:pt>
                <c:pt idx="10">
                  <c:v>6.2548057128459371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C-4A45-87E7-47A0374661F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Polar!$I$20:$I$30</c:f>
              <c:numCache>
                <c:formatCode>General</c:formatCode>
                <c:ptCount val="11"/>
                <c:pt idx="0">
                  <c:v>-6.0372190174946141</c:v>
                </c:pt>
                <c:pt idx="1">
                  <c:v>-6.0372190174946141</c:v>
                </c:pt>
                <c:pt idx="2">
                  <c:v>-6.0372190174946141</c:v>
                </c:pt>
                <c:pt idx="3">
                  <c:v>-6.0372190174946141</c:v>
                </c:pt>
                <c:pt idx="4">
                  <c:v>-6.0372190174946141</c:v>
                </c:pt>
                <c:pt idx="5">
                  <c:v>-6.0372190174946141</c:v>
                </c:pt>
                <c:pt idx="6">
                  <c:v>-6.0372190174946141</c:v>
                </c:pt>
                <c:pt idx="7">
                  <c:v>-6.0372190174946141</c:v>
                </c:pt>
                <c:pt idx="8">
                  <c:v>-6.0372190174946141</c:v>
                </c:pt>
                <c:pt idx="9">
                  <c:v>-6.0372190174946141</c:v>
                </c:pt>
                <c:pt idx="10">
                  <c:v>-6.0372190174946141</c:v>
                </c:pt>
              </c:numCache>
            </c:numRef>
          </c:xVal>
          <c:yVal>
            <c:numRef>
              <c:f>Polar!$J$20:$J$30</c:f>
              <c:numCache>
                <c:formatCode>General</c:formatCode>
                <c:ptCount val="11"/>
                <c:pt idx="0">
                  <c:v>-5.0638885467804338</c:v>
                </c:pt>
                <c:pt idx="1">
                  <c:v>-1.1735887711860267</c:v>
                </c:pt>
                <c:pt idx="2">
                  <c:v>-2.3888965410284926</c:v>
                </c:pt>
                <c:pt idx="3">
                  <c:v>-3.4129033755476303</c:v>
                </c:pt>
                <c:pt idx="4">
                  <c:v>-4.2997568427775246</c:v>
                </c:pt>
                <c:pt idx="5">
                  <c:v>2.4646747105610923E-2</c:v>
                </c:pt>
                <c:pt idx="6">
                  <c:v>1.1338740630291246</c:v>
                </c:pt>
                <c:pt idx="7">
                  <c:v>2.3638848276590112</c:v>
                </c:pt>
                <c:pt idx="8">
                  <c:v>3.417467695611252</c:v>
                </c:pt>
                <c:pt idx="9">
                  <c:v>4.2867507060781902</c:v>
                </c:pt>
                <c:pt idx="10">
                  <c:v>5.0643354270831491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DC-4A45-87E7-47A0374661F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Polar!$K$20:$K$30</c:f>
              <c:numCache>
                <c:formatCode>General</c:formatCode>
                <c:ptCount val="11"/>
                <c:pt idx="0">
                  <c:v>-2.8901902706623277</c:v>
                </c:pt>
                <c:pt idx="1">
                  <c:v>-2.8901902706623277</c:v>
                </c:pt>
                <c:pt idx="2">
                  <c:v>-2.8901902706623277</c:v>
                </c:pt>
                <c:pt idx="3">
                  <c:v>-2.8901902706623277</c:v>
                </c:pt>
                <c:pt idx="4">
                  <c:v>-2.8901902706623277</c:v>
                </c:pt>
                <c:pt idx="5">
                  <c:v>-2.8901902706623277</c:v>
                </c:pt>
                <c:pt idx="6">
                  <c:v>-2.8901902706623277</c:v>
                </c:pt>
                <c:pt idx="7">
                  <c:v>-2.8901902706623277</c:v>
                </c:pt>
                <c:pt idx="8">
                  <c:v>-2.8901902706623277</c:v>
                </c:pt>
                <c:pt idx="9">
                  <c:v>-2.8901902706623277</c:v>
                </c:pt>
                <c:pt idx="10">
                  <c:v>-2.8901902706623277</c:v>
                </c:pt>
              </c:numCache>
            </c:numRef>
          </c:xVal>
          <c:yVal>
            <c:numRef>
              <c:f>Polar!$L$20:$L$30</c:f>
              <c:numCache>
                <c:formatCode>General</c:formatCode>
                <c:ptCount val="11"/>
                <c:pt idx="0">
                  <c:v>-4.5125434901034795</c:v>
                </c:pt>
                <c:pt idx="1">
                  <c:v>-1.045811004833648</c:v>
                </c:pt>
                <c:pt idx="2">
                  <c:v>-2.1287987354308289</c:v>
                </c:pt>
                <c:pt idx="3">
                  <c:v>-3.0413139561437155</c:v>
                </c:pt>
                <c:pt idx="4">
                  <c:v>-3.8316087667924146</c:v>
                </c:pt>
                <c:pt idx="5">
                  <c:v>2.1963263443932537E-2</c:v>
                </c:pt>
                <c:pt idx="6">
                  <c:v>1.0104203468246502</c:v>
                </c:pt>
                <c:pt idx="7">
                  <c:v>2.1065102424477939</c:v>
                </c:pt>
                <c:pt idx="8">
                  <c:v>3.0453813230692655</c:v>
                </c:pt>
                <c:pt idx="9">
                  <c:v>3.8200187096748874</c:v>
                </c:pt>
                <c:pt idx="10">
                  <c:v>4.5129417150608901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DC-4A45-87E7-47A0374661F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Polar!$M$20:$M$30</c:f>
              <c:numCache>
                <c:formatCode>General</c:formatCode>
                <c:ptCount val="11"/>
                <c:pt idx="0">
                  <c:v>-0.19555415795084716</c:v>
                </c:pt>
                <c:pt idx="1">
                  <c:v>-0.19555415795084716</c:v>
                </c:pt>
                <c:pt idx="2">
                  <c:v>-0.19555415795084716</c:v>
                </c:pt>
                <c:pt idx="3">
                  <c:v>-0.19555415795084716</c:v>
                </c:pt>
                <c:pt idx="4">
                  <c:v>-0.19555415795084716</c:v>
                </c:pt>
                <c:pt idx="5">
                  <c:v>-0.19555415795084716</c:v>
                </c:pt>
                <c:pt idx="6">
                  <c:v>-0.19555415795084716</c:v>
                </c:pt>
                <c:pt idx="7">
                  <c:v>-0.19555415795084716</c:v>
                </c:pt>
                <c:pt idx="8">
                  <c:v>-0.19555415795084716</c:v>
                </c:pt>
                <c:pt idx="9">
                  <c:v>-0.19555415795084716</c:v>
                </c:pt>
                <c:pt idx="10">
                  <c:v>-0.19555415795084716</c:v>
                </c:pt>
              </c:numCache>
            </c:numRef>
          </c:xVal>
          <c:yVal>
            <c:numRef>
              <c:f>Polar!$N$20:$N$30</c:f>
              <c:numCache>
                <c:formatCode>General</c:formatCode>
                <c:ptCount val="11"/>
                <c:pt idx="0">
                  <c:v>-4.3359428993572555</c:v>
                </c:pt>
                <c:pt idx="1">
                  <c:v>-1.0048826810030693</c:v>
                </c:pt>
                <c:pt idx="2">
                  <c:v>-2.0454871584717602</c:v>
                </c:pt>
                <c:pt idx="3">
                  <c:v>-2.9222906508885678</c:v>
                </c:pt>
                <c:pt idx="4">
                  <c:v>-3.6816568886093117</c:v>
                </c:pt>
                <c:pt idx="5">
                  <c:v>2.1103720415168399E-2</c:v>
                </c:pt>
                <c:pt idx="6">
                  <c:v>0.97087705365914845</c:v>
                </c:pt>
                <c:pt idx="7">
                  <c:v>2.0240709365341525</c:v>
                </c:pt>
                <c:pt idx="8">
                  <c:v>2.9261988394253864</c:v>
                </c:pt>
                <c:pt idx="9">
                  <c:v>3.6705204140308174</c:v>
                </c:pt>
                <c:pt idx="10">
                  <c:v>4.3363255395867002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DC-4A45-87E7-47A0374661F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Polar!$O$20:$O$30</c:f>
              <c:numCache>
                <c:formatCode>General</c:formatCode>
                <c:ptCount val="11"/>
                <c:pt idx="0">
                  <c:v>2.4709901314160243</c:v>
                </c:pt>
                <c:pt idx="1">
                  <c:v>2.4709901314160243</c:v>
                </c:pt>
                <c:pt idx="2">
                  <c:v>2.4709901314160243</c:v>
                </c:pt>
                <c:pt idx="3">
                  <c:v>2.4709901314160243</c:v>
                </c:pt>
                <c:pt idx="4">
                  <c:v>2.4709901314160243</c:v>
                </c:pt>
                <c:pt idx="5">
                  <c:v>2.4709901314160243</c:v>
                </c:pt>
                <c:pt idx="6">
                  <c:v>2.4709901314160243</c:v>
                </c:pt>
                <c:pt idx="7">
                  <c:v>2.4709901314160243</c:v>
                </c:pt>
                <c:pt idx="8">
                  <c:v>2.4709901314160243</c:v>
                </c:pt>
                <c:pt idx="9">
                  <c:v>2.4709901314160243</c:v>
                </c:pt>
                <c:pt idx="10">
                  <c:v>2.4709901314160243</c:v>
                </c:pt>
              </c:numCache>
            </c:numRef>
          </c:xVal>
          <c:yVal>
            <c:numRef>
              <c:f>Polar!$P$20:$P$30</c:f>
              <c:numCache>
                <c:formatCode>General</c:formatCode>
                <c:ptCount val="11"/>
                <c:pt idx="0">
                  <c:v>-4.4654998191748305</c:v>
                </c:pt>
                <c:pt idx="1">
                  <c:v>-1.0349083312366285</c:v>
                </c:pt>
                <c:pt idx="2">
                  <c:v>-2.106605817533735</c:v>
                </c:pt>
                <c:pt idx="3">
                  <c:v>-3.0096079851636439</c:v>
                </c:pt>
                <c:pt idx="4">
                  <c:v>-3.7916639014747457</c:v>
                </c:pt>
                <c:pt idx="5">
                  <c:v>2.1734294451114723E-2</c:v>
                </c:pt>
                <c:pt idx="6">
                  <c:v>0.9998866240140275</c:v>
                </c:pt>
                <c:pt idx="7">
                  <c:v>2.0845496840906557</c:v>
                </c:pt>
                <c:pt idx="8">
                  <c:v>3.0136329494239096</c:v>
                </c:pt>
                <c:pt idx="9">
                  <c:v>3.7801946717429882</c:v>
                </c:pt>
                <c:pt idx="10">
                  <c:v>4.4658938926013159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DC-4A45-87E7-47A0374661F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Polar!$Q$20:$Q$30</c:f>
              <c:numCache>
                <c:formatCode>General</c:formatCode>
                <c:ptCount val="11"/>
                <c:pt idx="0">
                  <c:v>5.5156747807278812</c:v>
                </c:pt>
                <c:pt idx="1">
                  <c:v>5.5156747807278812</c:v>
                </c:pt>
                <c:pt idx="2">
                  <c:v>5.5156747807278812</c:v>
                </c:pt>
                <c:pt idx="3">
                  <c:v>5.5156747807278812</c:v>
                </c:pt>
                <c:pt idx="4">
                  <c:v>5.5156747807278812</c:v>
                </c:pt>
                <c:pt idx="5">
                  <c:v>5.5156747807278812</c:v>
                </c:pt>
                <c:pt idx="6">
                  <c:v>5.5156747807278812</c:v>
                </c:pt>
                <c:pt idx="7">
                  <c:v>5.5156747807278812</c:v>
                </c:pt>
                <c:pt idx="8">
                  <c:v>5.5156747807278812</c:v>
                </c:pt>
                <c:pt idx="9">
                  <c:v>5.5156747807278812</c:v>
                </c:pt>
                <c:pt idx="10">
                  <c:v>5.5156747807278812</c:v>
                </c:pt>
              </c:numCache>
            </c:numRef>
          </c:xVal>
          <c:yVal>
            <c:numRef>
              <c:f>Polar!$R$20:$R$30</c:f>
              <c:numCache>
                <c:formatCode>General</c:formatCode>
                <c:ptCount val="11"/>
                <c:pt idx="0">
                  <c:v>-4.9508192451962936</c:v>
                </c:pt>
                <c:pt idx="1">
                  <c:v>-1.1473842326226018</c:v>
                </c:pt>
                <c:pt idx="2">
                  <c:v>-2.3355559390473148</c:v>
                </c:pt>
                <c:pt idx="3">
                  <c:v>-3.3366981831381977</c:v>
                </c:pt>
                <c:pt idx="4">
                  <c:v>-4.2037494961103894</c:v>
                </c:pt>
                <c:pt idx="5">
                  <c:v>2.4096420917384651E-2</c:v>
                </c:pt>
                <c:pt idx="6">
                  <c:v>1.1085562964142597</c:v>
                </c:pt>
                <c:pt idx="7">
                  <c:v>2.311102701034466</c:v>
                </c:pt>
                <c:pt idx="8">
                  <c:v>3.3411605885413698</c:v>
                </c:pt>
                <c:pt idx="9">
                  <c:v>4.1910337676179736</c:v>
                </c:pt>
                <c:pt idx="10">
                  <c:v>4.9512561473086807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DC-4A45-87E7-47A0374661F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Polar!$S$20:$S$30</c:f>
              <c:numCache>
                <c:formatCode>General</c:formatCode>
                <c:ptCount val="11"/>
                <c:pt idx="0">
                  <c:v>9.6163932654938851</c:v>
                </c:pt>
                <c:pt idx="1">
                  <c:v>9.6163932654938851</c:v>
                </c:pt>
                <c:pt idx="2">
                  <c:v>9.6163932654938851</c:v>
                </c:pt>
                <c:pt idx="3">
                  <c:v>9.6163932654938851</c:v>
                </c:pt>
                <c:pt idx="4">
                  <c:v>9.6163932654938851</c:v>
                </c:pt>
                <c:pt idx="5">
                  <c:v>9.6163932654938851</c:v>
                </c:pt>
                <c:pt idx="6">
                  <c:v>9.6163932654938851</c:v>
                </c:pt>
                <c:pt idx="7">
                  <c:v>9.6163932654938851</c:v>
                </c:pt>
                <c:pt idx="8">
                  <c:v>9.6163932654938851</c:v>
                </c:pt>
                <c:pt idx="9">
                  <c:v>9.6163932654938851</c:v>
                </c:pt>
                <c:pt idx="10">
                  <c:v>9.6163932654938851</c:v>
                </c:pt>
              </c:numCache>
            </c:numRef>
          </c:xVal>
          <c:yVal>
            <c:numRef>
              <c:f>Polar!$T$20:$T$30</c:f>
              <c:numCache>
                <c:formatCode>General</c:formatCode>
                <c:ptCount val="11"/>
                <c:pt idx="0">
                  <c:v>-6.0143364025199171</c:v>
                </c:pt>
                <c:pt idx="1">
                  <c:v>-1.3938611805783849</c:v>
                </c:pt>
                <c:pt idx="2">
                  <c:v>-2.8372716531639233</c:v>
                </c:pt>
                <c:pt idx="3">
                  <c:v>-4.0534756680001678</c:v>
                </c:pt>
                <c:pt idx="4">
                  <c:v>-5.1067838208924652</c:v>
                </c:pt>
                <c:pt idx="5">
                  <c:v>2.9272727263166893E-2</c:v>
                </c:pt>
                <c:pt idx="6">
                  <c:v>1.346692366972609</c:v>
                </c:pt>
                <c:pt idx="7">
                  <c:v>2.8075654586421055</c:v>
                </c:pt>
                <c:pt idx="8">
                  <c:v>4.0588966712583945</c:v>
                </c:pt>
                <c:pt idx="9">
                  <c:v>5.0913365454075628</c:v>
                </c:pt>
                <c:pt idx="10">
                  <c:v>6.0148671583703592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DC-4A45-87E7-47A0374661F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Polar!$U$20:$U$30</c:f>
              <c:numCache>
                <c:formatCode>General</c:formatCode>
                <c:ptCount val="11"/>
                <c:pt idx="0">
                  <c:v>16.563917882815971</c:v>
                </c:pt>
                <c:pt idx="1">
                  <c:v>16.563917882815971</c:v>
                </c:pt>
                <c:pt idx="2">
                  <c:v>16.563917882815971</c:v>
                </c:pt>
                <c:pt idx="3">
                  <c:v>16.563917882815971</c:v>
                </c:pt>
                <c:pt idx="4">
                  <c:v>16.563917882815971</c:v>
                </c:pt>
                <c:pt idx="5">
                  <c:v>16.563917882815971</c:v>
                </c:pt>
                <c:pt idx="6">
                  <c:v>16.563917882815971</c:v>
                </c:pt>
                <c:pt idx="7">
                  <c:v>16.563917882815971</c:v>
                </c:pt>
                <c:pt idx="8">
                  <c:v>16.563917882815971</c:v>
                </c:pt>
                <c:pt idx="9">
                  <c:v>16.563917882815971</c:v>
                </c:pt>
                <c:pt idx="10">
                  <c:v>16.563917882815971</c:v>
                </c:pt>
              </c:numCache>
            </c:numRef>
          </c:xVal>
          <c:yVal>
            <c:numRef>
              <c:f>Polar!$V$20:$V$30</c:f>
              <c:numCache>
                <c:formatCode>General</c:formatCode>
                <c:ptCount val="11"/>
                <c:pt idx="0">
                  <c:v>-8.3877834046217199</c:v>
                </c:pt>
                <c:pt idx="1">
                  <c:v>-1.9439228031713176</c:v>
                </c:pt>
                <c:pt idx="2">
                  <c:v>-3.9569486131239358</c:v>
                </c:pt>
                <c:pt idx="3">
                  <c:v>-5.6531051247556405</c:v>
                </c:pt>
                <c:pt idx="4">
                  <c:v>-7.1220819251024032</c:v>
                </c:pt>
                <c:pt idx="5">
                  <c:v>4.0824669508532023E-2</c:v>
                </c:pt>
                <c:pt idx="6">
                  <c:v>1.8781396867143707</c:v>
                </c:pt>
                <c:pt idx="7">
                  <c:v>3.9155194164930038</c:v>
                </c:pt>
                <c:pt idx="8">
                  <c:v>5.6606654270271761</c:v>
                </c:pt>
                <c:pt idx="9">
                  <c:v>7.100538667079026</c:v>
                </c:pt>
                <c:pt idx="10">
                  <c:v>8.3885236134853898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DC-4A45-87E7-47A0374661F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Polar!$W$20:$W$30</c:f>
              <c:numCache>
                <c:formatCode>General</c:formatCode>
                <c:ptCount val="11"/>
                <c:pt idx="0">
                  <c:v>34.599798183521273</c:v>
                </c:pt>
                <c:pt idx="1">
                  <c:v>34.599798183521273</c:v>
                </c:pt>
                <c:pt idx="2">
                  <c:v>34.599798183521273</c:v>
                </c:pt>
                <c:pt idx="3">
                  <c:v>34.599798183521273</c:v>
                </c:pt>
                <c:pt idx="4">
                  <c:v>34.599798183521273</c:v>
                </c:pt>
                <c:pt idx="5">
                  <c:v>34.599798183521273</c:v>
                </c:pt>
                <c:pt idx="6">
                  <c:v>34.599798183521273</c:v>
                </c:pt>
                <c:pt idx="7">
                  <c:v>34.599798183521273</c:v>
                </c:pt>
                <c:pt idx="8">
                  <c:v>34.599798183521273</c:v>
                </c:pt>
                <c:pt idx="9">
                  <c:v>34.599798183521273</c:v>
                </c:pt>
                <c:pt idx="10">
                  <c:v>34.599798183521273</c:v>
                </c:pt>
              </c:numCache>
            </c:numRef>
          </c:xVal>
          <c:yVal>
            <c:numRef>
              <c:f>Polar!$X$20:$X$30</c:f>
              <c:numCache>
                <c:formatCode>General</c:formatCode>
                <c:ptCount val="11"/>
                <c:pt idx="0">
                  <c:v>-15.613309404268774</c:v>
                </c:pt>
                <c:pt idx="1">
                  <c:v>-3.6184849703204818</c:v>
                </c:pt>
                <c:pt idx="2">
                  <c:v>-7.3656006614875738</c:v>
                </c:pt>
                <c:pt idx="3">
                  <c:v>-10.522884908906137</c:v>
                </c:pt>
                <c:pt idx="4">
                  <c:v>-13.257289004136961</c:v>
                </c:pt>
                <c:pt idx="5">
                  <c:v>7.599244825665287E-2</c:v>
                </c:pt>
                <c:pt idx="6">
                  <c:v>3.4960340078584058</c:v>
                </c:pt>
                <c:pt idx="7">
                  <c:v>7.2884829255893608</c:v>
                </c:pt>
                <c:pt idx="8">
                  <c:v>10.536957916381539</c:v>
                </c:pt>
                <c:pt idx="9">
                  <c:v>13.217187640419146</c:v>
                </c:pt>
                <c:pt idx="10">
                  <c:v>15.614687254584497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DC-4A45-87E7-47A0374661F0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Polar!$C$7:$C$17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Polar!$D$7:$D$17</c:f>
              <c:numCache>
                <c:formatCode>General</c:formatCode>
                <c:ptCount val="11"/>
                <c:pt idx="0">
                  <c:v>-4.1882333682271131</c:v>
                </c:pt>
                <c:pt idx="1">
                  <c:v>-2.0802245938398984</c:v>
                </c:pt>
                <c:pt idx="2">
                  <c:v>-1.4494635784371954</c:v>
                </c:pt>
                <c:pt idx="3">
                  <c:v>-1.1735887711860267</c:v>
                </c:pt>
                <c:pt idx="4">
                  <c:v>-1.045811004833648</c:v>
                </c:pt>
                <c:pt idx="5">
                  <c:v>-1.0048826810030693</c:v>
                </c:pt>
                <c:pt idx="6">
                  <c:v>-1.0349083312366285</c:v>
                </c:pt>
                <c:pt idx="7">
                  <c:v>-1.1473842326226018</c:v>
                </c:pt>
                <c:pt idx="8">
                  <c:v>-1.3938611805783849</c:v>
                </c:pt>
                <c:pt idx="9">
                  <c:v>-1.9439228031713176</c:v>
                </c:pt>
                <c:pt idx="10">
                  <c:v>-3.6184849703204818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DC-4A45-87E7-47A0374661F0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Polar!$E$7:$E$17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Polar!$F$7:$F$17</c:f>
              <c:numCache>
                <c:formatCode>General</c:formatCode>
                <c:ptCount val="11"/>
                <c:pt idx="0">
                  <c:v>-8.5253510020094776</c:v>
                </c:pt>
                <c:pt idx="1">
                  <c:v>-4.2343974812952805</c:v>
                </c:pt>
                <c:pt idx="2">
                  <c:v>-2.9504530154766915</c:v>
                </c:pt>
                <c:pt idx="3">
                  <c:v>-2.3888965410284926</c:v>
                </c:pt>
                <c:pt idx="4">
                  <c:v>-2.1287987354308289</c:v>
                </c:pt>
                <c:pt idx="5">
                  <c:v>-2.0454871584717602</c:v>
                </c:pt>
                <c:pt idx="6">
                  <c:v>-2.106605817533735</c:v>
                </c:pt>
                <c:pt idx="7">
                  <c:v>-2.3355559390473148</c:v>
                </c:pt>
                <c:pt idx="8">
                  <c:v>-2.8372716531639233</c:v>
                </c:pt>
                <c:pt idx="9">
                  <c:v>-3.9569486131239358</c:v>
                </c:pt>
                <c:pt idx="10">
                  <c:v>-7.3656006614875738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DC-4A45-87E7-47A0374661F0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Polar!$G$7:$G$17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Polar!$H$7:$H$17</c:f>
              <c:numCache>
                <c:formatCode>General</c:formatCode>
                <c:ptCount val="11"/>
                <c:pt idx="0">
                  <c:v>-12.179765307023183</c:v>
                </c:pt>
                <c:pt idx="1">
                  <c:v>-6.0494831856976106</c:v>
                </c:pt>
                <c:pt idx="2">
                  <c:v>-4.2151725212762088</c:v>
                </c:pt>
                <c:pt idx="3">
                  <c:v>-3.4129033755476303</c:v>
                </c:pt>
                <c:pt idx="4">
                  <c:v>-3.0413139561437155</c:v>
                </c:pt>
                <c:pt idx="5">
                  <c:v>-2.9222906508885678</c:v>
                </c:pt>
                <c:pt idx="6">
                  <c:v>-3.0096079851636439</c:v>
                </c:pt>
                <c:pt idx="7">
                  <c:v>-3.3366981831381977</c:v>
                </c:pt>
                <c:pt idx="8">
                  <c:v>-4.0534756680001678</c:v>
                </c:pt>
                <c:pt idx="9">
                  <c:v>-5.6531051247556405</c:v>
                </c:pt>
                <c:pt idx="10">
                  <c:v>-10.522884908906137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DC-4A45-87E7-47A0374661F0}"/>
            </c:ext>
          </c:extLst>
        </c:ser>
        <c:ser>
          <c:idx val="11"/>
          <c:order val="14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5DC-4A45-87E7-47A0374661F0}"/>
              </c:ext>
            </c:extLst>
          </c:dPt>
          <c:xVal>
            <c:numRef>
              <c:f>Polar!$A$7:$A$17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Polar!$B$7:$B$17</c:f>
              <c:numCache>
                <c:formatCode>General</c:formatCode>
                <c:ptCount val="11"/>
                <c:pt idx="0">
                  <c:v>-18.071702375931391</c:v>
                </c:pt>
                <c:pt idx="1">
                  <c:v>-8.9759085585244431</c:v>
                </c:pt>
                <c:pt idx="2">
                  <c:v>-6.2542537846589861</c:v>
                </c:pt>
                <c:pt idx="3">
                  <c:v>-5.0638885467804338</c:v>
                </c:pt>
                <c:pt idx="4">
                  <c:v>-4.5125434901034795</c:v>
                </c:pt>
                <c:pt idx="5">
                  <c:v>-4.3359428993572555</c:v>
                </c:pt>
                <c:pt idx="6">
                  <c:v>-4.4654998191748305</c:v>
                </c:pt>
                <c:pt idx="7">
                  <c:v>-4.9508192451962936</c:v>
                </c:pt>
                <c:pt idx="8">
                  <c:v>-6.0143364025199171</c:v>
                </c:pt>
                <c:pt idx="9">
                  <c:v>-8.3877834046217199</c:v>
                </c:pt>
                <c:pt idx="10">
                  <c:v>-15.613309404268774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DC-4A45-87E7-47A0374661F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Polar!$I$7:$I$17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Polar!$J$7:$J$17</c:f>
              <c:numCache>
                <c:formatCode>General</c:formatCode>
                <c:ptCount val="11"/>
                <c:pt idx="0">
                  <c:v>-15.344714883378145</c:v>
                </c:pt>
                <c:pt idx="1">
                  <c:v>-7.6214600475752228</c:v>
                </c:pt>
                <c:pt idx="2">
                  <c:v>-5.3104981001511593</c:v>
                </c:pt>
                <c:pt idx="3">
                  <c:v>-4.2997568427775246</c:v>
                </c:pt>
                <c:pt idx="4">
                  <c:v>-3.8316087667924146</c:v>
                </c:pt>
                <c:pt idx="5">
                  <c:v>-3.6816568886093117</c:v>
                </c:pt>
                <c:pt idx="6">
                  <c:v>-3.7916639014747457</c:v>
                </c:pt>
                <c:pt idx="7">
                  <c:v>-4.2037494961103894</c:v>
                </c:pt>
                <c:pt idx="8">
                  <c:v>-5.1067838208924652</c:v>
                </c:pt>
                <c:pt idx="9">
                  <c:v>-7.1220819251024032</c:v>
                </c:pt>
                <c:pt idx="10">
                  <c:v>-13.257289004136961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DC-4A45-87E7-47A0374661F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Polar!$K$7:$K$17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Polar!$L$7:$L$17</c:f>
              <c:numCache>
                <c:formatCode>General</c:formatCode>
                <c:ptCount val="11"/>
                <c:pt idx="0">
                  <c:v>8.7957835981724977E-2</c:v>
                </c:pt>
                <c:pt idx="1">
                  <c:v>4.3687167725224602E-2</c:v>
                </c:pt>
                <c:pt idx="2">
                  <c:v>3.0440443137873772E-2</c:v>
                </c:pt>
                <c:pt idx="3">
                  <c:v>2.4646747105610923E-2</c:v>
                </c:pt>
                <c:pt idx="4">
                  <c:v>2.1963263443932537E-2</c:v>
                </c:pt>
                <c:pt idx="5">
                  <c:v>2.1103720415168399E-2</c:v>
                </c:pt>
                <c:pt idx="6">
                  <c:v>2.1734294451114723E-2</c:v>
                </c:pt>
                <c:pt idx="7">
                  <c:v>2.4096420917384651E-2</c:v>
                </c:pt>
                <c:pt idx="8">
                  <c:v>2.9272727263166893E-2</c:v>
                </c:pt>
                <c:pt idx="9">
                  <c:v>4.0824669508532023E-2</c:v>
                </c:pt>
                <c:pt idx="10">
                  <c:v>7.599244825665287E-2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DC-4A45-87E7-47A0374661F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Polar!$W$20:$W$30</c:f>
              <c:numCache>
                <c:formatCode>General</c:formatCode>
                <c:ptCount val="11"/>
                <c:pt idx="0">
                  <c:v>34.599798183521273</c:v>
                </c:pt>
                <c:pt idx="1">
                  <c:v>34.599798183521273</c:v>
                </c:pt>
                <c:pt idx="2">
                  <c:v>34.599798183521273</c:v>
                </c:pt>
                <c:pt idx="3">
                  <c:v>34.599798183521273</c:v>
                </c:pt>
                <c:pt idx="4">
                  <c:v>34.599798183521273</c:v>
                </c:pt>
                <c:pt idx="5">
                  <c:v>34.599798183521273</c:v>
                </c:pt>
                <c:pt idx="6">
                  <c:v>34.599798183521273</c:v>
                </c:pt>
                <c:pt idx="7">
                  <c:v>34.599798183521273</c:v>
                </c:pt>
                <c:pt idx="8">
                  <c:v>34.599798183521273</c:v>
                </c:pt>
                <c:pt idx="9">
                  <c:v>34.599798183521273</c:v>
                </c:pt>
                <c:pt idx="10">
                  <c:v>34.599798183521273</c:v>
                </c:pt>
              </c:numCache>
            </c:numRef>
          </c:xVal>
          <c:yVal>
            <c:numRef>
              <c:f>Polar!$X$20:$X$30</c:f>
              <c:numCache>
                <c:formatCode>General</c:formatCode>
                <c:ptCount val="11"/>
                <c:pt idx="0">
                  <c:v>-15.613309404268774</c:v>
                </c:pt>
                <c:pt idx="1">
                  <c:v>-3.6184849703204818</c:v>
                </c:pt>
                <c:pt idx="2">
                  <c:v>-7.3656006614875738</c:v>
                </c:pt>
                <c:pt idx="3">
                  <c:v>-10.522884908906137</c:v>
                </c:pt>
                <c:pt idx="4">
                  <c:v>-13.257289004136961</c:v>
                </c:pt>
                <c:pt idx="5">
                  <c:v>7.599244825665287E-2</c:v>
                </c:pt>
                <c:pt idx="6">
                  <c:v>3.4960340078584058</c:v>
                </c:pt>
                <c:pt idx="7">
                  <c:v>7.2884829255893608</c:v>
                </c:pt>
                <c:pt idx="8">
                  <c:v>10.536957916381539</c:v>
                </c:pt>
                <c:pt idx="9">
                  <c:v>13.217187640419146</c:v>
                </c:pt>
                <c:pt idx="10">
                  <c:v>15.614687254584497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DC-4A45-87E7-47A0374661F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Polar!$U$20:$U$30</c:f>
              <c:numCache>
                <c:formatCode>General</c:formatCode>
                <c:ptCount val="11"/>
                <c:pt idx="0">
                  <c:v>16.563917882815971</c:v>
                </c:pt>
                <c:pt idx="1">
                  <c:v>16.563917882815971</c:v>
                </c:pt>
                <c:pt idx="2">
                  <c:v>16.563917882815971</c:v>
                </c:pt>
                <c:pt idx="3">
                  <c:v>16.563917882815971</c:v>
                </c:pt>
                <c:pt idx="4">
                  <c:v>16.563917882815971</c:v>
                </c:pt>
                <c:pt idx="5">
                  <c:v>16.563917882815971</c:v>
                </c:pt>
                <c:pt idx="6">
                  <c:v>16.563917882815971</c:v>
                </c:pt>
                <c:pt idx="7">
                  <c:v>16.563917882815971</c:v>
                </c:pt>
                <c:pt idx="8">
                  <c:v>16.563917882815971</c:v>
                </c:pt>
                <c:pt idx="9">
                  <c:v>16.563917882815971</c:v>
                </c:pt>
                <c:pt idx="10">
                  <c:v>16.563917882815971</c:v>
                </c:pt>
              </c:numCache>
            </c:numRef>
          </c:xVal>
          <c:yVal>
            <c:numRef>
              <c:f>Polar!$V$20:$V$30</c:f>
              <c:numCache>
                <c:formatCode>General</c:formatCode>
                <c:ptCount val="11"/>
                <c:pt idx="0">
                  <c:v>-8.3877834046217199</c:v>
                </c:pt>
                <c:pt idx="1">
                  <c:v>-1.9439228031713176</c:v>
                </c:pt>
                <c:pt idx="2">
                  <c:v>-3.9569486131239358</c:v>
                </c:pt>
                <c:pt idx="3">
                  <c:v>-5.6531051247556405</c:v>
                </c:pt>
                <c:pt idx="4">
                  <c:v>-7.1220819251024032</c:v>
                </c:pt>
                <c:pt idx="5">
                  <c:v>4.0824669508532023E-2</c:v>
                </c:pt>
                <c:pt idx="6">
                  <c:v>1.8781396867143707</c:v>
                </c:pt>
                <c:pt idx="7">
                  <c:v>3.9155194164930038</c:v>
                </c:pt>
                <c:pt idx="8">
                  <c:v>5.6606654270271761</c:v>
                </c:pt>
                <c:pt idx="9">
                  <c:v>7.100538667079026</c:v>
                </c:pt>
                <c:pt idx="10">
                  <c:v>8.3885236134853898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DC-4A45-87E7-47A0374661F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Polar!$S$20:$S$30</c:f>
              <c:numCache>
                <c:formatCode>General</c:formatCode>
                <c:ptCount val="11"/>
                <c:pt idx="0">
                  <c:v>9.6163932654938851</c:v>
                </c:pt>
                <c:pt idx="1">
                  <c:v>9.6163932654938851</c:v>
                </c:pt>
                <c:pt idx="2">
                  <c:v>9.6163932654938851</c:v>
                </c:pt>
                <c:pt idx="3">
                  <c:v>9.6163932654938851</c:v>
                </c:pt>
                <c:pt idx="4">
                  <c:v>9.6163932654938851</c:v>
                </c:pt>
                <c:pt idx="5">
                  <c:v>9.6163932654938851</c:v>
                </c:pt>
                <c:pt idx="6">
                  <c:v>9.6163932654938851</c:v>
                </c:pt>
                <c:pt idx="7">
                  <c:v>9.6163932654938851</c:v>
                </c:pt>
                <c:pt idx="8">
                  <c:v>9.6163932654938851</c:v>
                </c:pt>
                <c:pt idx="9">
                  <c:v>9.6163932654938851</c:v>
                </c:pt>
                <c:pt idx="10">
                  <c:v>9.6163932654938851</c:v>
                </c:pt>
              </c:numCache>
            </c:numRef>
          </c:xVal>
          <c:yVal>
            <c:numRef>
              <c:f>Polar!$T$20:$T$30</c:f>
              <c:numCache>
                <c:formatCode>General</c:formatCode>
                <c:ptCount val="11"/>
                <c:pt idx="0">
                  <c:v>-6.0143364025199171</c:v>
                </c:pt>
                <c:pt idx="1">
                  <c:v>-1.3938611805783849</c:v>
                </c:pt>
                <c:pt idx="2">
                  <c:v>-2.8372716531639233</c:v>
                </c:pt>
                <c:pt idx="3">
                  <c:v>-4.0534756680001678</c:v>
                </c:pt>
                <c:pt idx="4">
                  <c:v>-5.1067838208924652</c:v>
                </c:pt>
                <c:pt idx="5">
                  <c:v>2.9272727263166893E-2</c:v>
                </c:pt>
                <c:pt idx="6">
                  <c:v>1.346692366972609</c:v>
                </c:pt>
                <c:pt idx="7">
                  <c:v>2.8075654586421055</c:v>
                </c:pt>
                <c:pt idx="8">
                  <c:v>4.0588966712583945</c:v>
                </c:pt>
                <c:pt idx="9">
                  <c:v>5.0913365454075628</c:v>
                </c:pt>
                <c:pt idx="10">
                  <c:v>6.0148671583703592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DC-4A45-87E7-47A0374661F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Polar!$U$7:$U$17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Polar!$V$7:$V$17</c:f>
              <c:numCache>
                <c:formatCode>General</c:formatCode>
                <c:ptCount val="11"/>
                <c:pt idx="0">
                  <c:v>18.073297175610278</c:v>
                </c:pt>
                <c:pt idx="1">
                  <c:v>8.9767006685199</c:v>
                </c:pt>
                <c:pt idx="2">
                  <c:v>6.2548057128459371</c:v>
                </c:pt>
                <c:pt idx="3">
                  <c:v>5.0643354270831491</c:v>
                </c:pt>
                <c:pt idx="4">
                  <c:v>4.5129417150608901</c:v>
                </c:pt>
                <c:pt idx="5">
                  <c:v>4.3363255395867002</c:v>
                </c:pt>
                <c:pt idx="6">
                  <c:v>4.4658938926013159</c:v>
                </c:pt>
                <c:pt idx="7">
                  <c:v>4.9512561473086807</c:v>
                </c:pt>
                <c:pt idx="8">
                  <c:v>6.0148671583703592</c:v>
                </c:pt>
                <c:pt idx="9">
                  <c:v>8.3885236134853898</c:v>
                </c:pt>
                <c:pt idx="10">
                  <c:v>15.614687254584497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DC-4A45-87E7-47A0374661F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Polar!$S$7:$S$17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Polar!$T$7:$T$17</c:f>
              <c:numCache>
                <c:formatCode>General</c:formatCode>
                <c:ptCount val="11"/>
                <c:pt idx="0">
                  <c:v>15.298299361132798</c:v>
                </c:pt>
                <c:pt idx="1">
                  <c:v>7.5984062436388946</c:v>
                </c:pt>
                <c:pt idx="2">
                  <c:v>5.2944346187131011</c:v>
                </c:pt>
                <c:pt idx="3">
                  <c:v>4.2867507060781902</c:v>
                </c:pt>
                <c:pt idx="4">
                  <c:v>3.8200187096748874</c:v>
                </c:pt>
                <c:pt idx="5">
                  <c:v>3.6705204140308174</c:v>
                </c:pt>
                <c:pt idx="6">
                  <c:v>3.7801946717429882</c:v>
                </c:pt>
                <c:pt idx="7">
                  <c:v>4.1910337676179736</c:v>
                </c:pt>
                <c:pt idx="8">
                  <c:v>5.0913365454075628</c:v>
                </c:pt>
                <c:pt idx="9">
                  <c:v>7.100538667079026</c:v>
                </c:pt>
                <c:pt idx="10">
                  <c:v>13.217187640419146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DC-4A45-87E7-47A0374661F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Polar!$Q$7:$Q$17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Polar!$R$7:$R$17</c:f>
              <c:numCache>
                <c:formatCode>General</c:formatCode>
                <c:ptCount val="11"/>
                <c:pt idx="0">
                  <c:v>12.196054179295206</c:v>
                </c:pt>
                <c:pt idx="1">
                  <c:v>6.0575735927325276</c:v>
                </c:pt>
                <c:pt idx="2">
                  <c:v>4.2208097733145555</c:v>
                </c:pt>
                <c:pt idx="3">
                  <c:v>3.417467695611252</c:v>
                </c:pt>
                <c:pt idx="4">
                  <c:v>3.0453813230692655</c:v>
                </c:pt>
                <c:pt idx="5">
                  <c:v>2.9261988394253864</c:v>
                </c:pt>
                <c:pt idx="6">
                  <c:v>3.0136329494239096</c:v>
                </c:pt>
                <c:pt idx="7">
                  <c:v>3.3411605885413698</c:v>
                </c:pt>
                <c:pt idx="8">
                  <c:v>4.0588966712583945</c:v>
                </c:pt>
                <c:pt idx="9">
                  <c:v>5.6606654270271761</c:v>
                </c:pt>
                <c:pt idx="10">
                  <c:v>10.536957916381539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DC-4A45-87E7-47A0374661F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Polar!$O$7:$O$17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Polar!$P$7:$P$17</c:f>
              <c:numCache>
                <c:formatCode>General</c:formatCode>
                <c:ptCount val="11"/>
                <c:pt idx="0">
                  <c:v>8.4360906962682023</c:v>
                </c:pt>
                <c:pt idx="1">
                  <c:v>4.1900633988954574</c:v>
                </c:pt>
                <c:pt idx="2">
                  <c:v>2.9195618136746018</c:v>
                </c:pt>
                <c:pt idx="3">
                  <c:v>2.3638848276590112</c:v>
                </c:pt>
                <c:pt idx="4">
                  <c:v>2.1065102424477939</c:v>
                </c:pt>
                <c:pt idx="5">
                  <c:v>2.0240709365341525</c:v>
                </c:pt>
                <c:pt idx="6">
                  <c:v>2.0845496840906557</c:v>
                </c:pt>
                <c:pt idx="7">
                  <c:v>2.311102701034466</c:v>
                </c:pt>
                <c:pt idx="8">
                  <c:v>2.8075654586421055</c:v>
                </c:pt>
                <c:pt idx="9">
                  <c:v>3.9155194164930038</c:v>
                </c:pt>
                <c:pt idx="10">
                  <c:v>7.2884829255893608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5DC-4A45-87E7-47A0374661F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Polar!$M$7:$M$17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Polar!$N$7:$N$17</c:f>
              <c:numCache>
                <c:formatCode>General</c:formatCode>
                <c:ptCount val="11"/>
                <c:pt idx="0">
                  <c:v>4.0465018946513727</c:v>
                </c:pt>
                <c:pt idx="1">
                  <c:v>2.0098289708810402</c:v>
                </c:pt>
                <c:pt idx="2">
                  <c:v>1.4004131576978107</c:v>
                </c:pt>
                <c:pt idx="3">
                  <c:v>1.1338740630291246</c:v>
                </c:pt>
                <c:pt idx="4">
                  <c:v>1.0104203468246502</c:v>
                </c:pt>
                <c:pt idx="5">
                  <c:v>0.97087705365914845</c:v>
                </c:pt>
                <c:pt idx="6">
                  <c:v>0.9998866240140275</c:v>
                </c:pt>
                <c:pt idx="7">
                  <c:v>1.1085562964142597</c:v>
                </c:pt>
                <c:pt idx="8">
                  <c:v>1.346692366972609</c:v>
                </c:pt>
                <c:pt idx="9">
                  <c:v>1.8781396867143707</c:v>
                </c:pt>
                <c:pt idx="10">
                  <c:v>3.4960340078584058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5DC-4A45-87E7-47A0374661F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Polar!$K$7:$K$17</c:f>
              <c:numCache>
                <c:formatCode>General</c:formatCode>
                <c:ptCount val="11"/>
                <c:pt idx="0">
                  <c:v>-40.469607230186178</c:v>
                </c:pt>
                <c:pt idx="1">
                  <c:v>-18.130147991666362</c:v>
                </c:pt>
                <c:pt idx="2">
                  <c:v>-10.398909141925902</c:v>
                </c:pt>
                <c:pt idx="3">
                  <c:v>-6.0372190174946141</c:v>
                </c:pt>
                <c:pt idx="4">
                  <c:v>-2.8901902706623277</c:v>
                </c:pt>
                <c:pt idx="5">
                  <c:v>-0.19555415795084716</c:v>
                </c:pt>
                <c:pt idx="6">
                  <c:v>2.4709901314160243</c:v>
                </c:pt>
                <c:pt idx="7">
                  <c:v>5.5156747807278812</c:v>
                </c:pt>
                <c:pt idx="8">
                  <c:v>9.6163932654938851</c:v>
                </c:pt>
                <c:pt idx="9">
                  <c:v>16.563917882815971</c:v>
                </c:pt>
                <c:pt idx="10">
                  <c:v>34.599798183521273</c:v>
                </c:pt>
              </c:numCache>
            </c:numRef>
          </c:xVal>
          <c:yVal>
            <c:numRef>
              <c:f>Polar!$L$7:$L$17</c:f>
              <c:numCache>
                <c:formatCode>General</c:formatCode>
                <c:ptCount val="11"/>
                <c:pt idx="0">
                  <c:v>8.7957835981724977E-2</c:v>
                </c:pt>
                <c:pt idx="1">
                  <c:v>4.3687167725224602E-2</c:v>
                </c:pt>
                <c:pt idx="2">
                  <c:v>3.0440443137873772E-2</c:v>
                </c:pt>
                <c:pt idx="3">
                  <c:v>2.4646747105610923E-2</c:v>
                </c:pt>
                <c:pt idx="4">
                  <c:v>2.1963263443932537E-2</c:v>
                </c:pt>
                <c:pt idx="5">
                  <c:v>2.1103720415168399E-2</c:v>
                </c:pt>
                <c:pt idx="6">
                  <c:v>2.1734294451114723E-2</c:v>
                </c:pt>
                <c:pt idx="7">
                  <c:v>2.4096420917384651E-2</c:v>
                </c:pt>
                <c:pt idx="8">
                  <c:v>2.9272727263166893E-2</c:v>
                </c:pt>
                <c:pt idx="9">
                  <c:v>4.0824669508532023E-2</c:v>
                </c:pt>
                <c:pt idx="10">
                  <c:v>7.599244825665287E-2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5DC-4A45-87E7-47A037466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449208"/>
        <c:axId val="628449536"/>
      </c:scatterChart>
      <c:valAx>
        <c:axId val="628449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9536"/>
        <c:crosses val="autoZero"/>
        <c:crossBetween val="midCat"/>
        <c:majorUnit val="5"/>
      </c:valAx>
      <c:valAx>
        <c:axId val="62844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9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cs typeface="B Nazanin" panose="00000400000000000000" pitchFamily="2" charset="-78"/>
              </a:rPr>
              <a:t>Horizontal Sundial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270778652668416E-2"/>
          <c:y val="0.11069608378160649"/>
          <c:w val="0.90972922134733158"/>
          <c:h val="0.8407274239234947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Horizontal!$A$7:$A$17</c:f>
              <c:numCache>
                <c:formatCode>General</c:formatCode>
                <c:ptCount val="11"/>
                <c:pt idx="0">
                  <c:v>-21.679915464394615</c:v>
                </c:pt>
                <c:pt idx="1">
                  <c:v>-13.571768933639035</c:v>
                </c:pt>
                <c:pt idx="2">
                  <c:v>-8.8347878744006643</c:v>
                </c:pt>
                <c:pt idx="3">
                  <c:v>-5.4508514672700414</c:v>
                </c:pt>
                <c:pt idx="4">
                  <c:v>-2.6875539507442641</c:v>
                </c:pt>
                <c:pt idx="5">
                  <c:v>-0.18360307586903224</c:v>
                </c:pt>
                <c:pt idx="6">
                  <c:v>2.3036255996417698</c:v>
                </c:pt>
                <c:pt idx="7">
                  <c:v>5.0098090820582453</c:v>
                </c:pt>
                <c:pt idx="8">
                  <c:v>8.2683252974736341</c:v>
                </c:pt>
                <c:pt idx="9">
                  <c:v>12.726299721352028</c:v>
                </c:pt>
                <c:pt idx="10">
                  <c:v>20.078583112834856</c:v>
                </c:pt>
              </c:numCache>
            </c:numRef>
          </c:xVal>
          <c:yVal>
            <c:numRef>
              <c:f>Horizontal!$B$7:$B$17</c:f>
              <c:numCache>
                <c:formatCode>General</c:formatCode>
                <c:ptCount val="11"/>
                <c:pt idx="0">
                  <c:v>-4.7353288896159418</c:v>
                </c:pt>
                <c:pt idx="1">
                  <c:v>-1.0877532211300112</c:v>
                </c:pt>
                <c:pt idx="2">
                  <c:v>0.64316475086219871</c:v>
                </c:pt>
                <c:pt idx="3">
                  <c:v>1.5562598146349114</c:v>
                </c:pt>
                <c:pt idx="4">
                  <c:v>2.0191539281183868</c:v>
                </c:pt>
                <c:pt idx="5">
                  <c:v>2.1733366848737927</c:v>
                </c:pt>
                <c:pt idx="6">
                  <c:v>2.0599363342287762</c:v>
                </c:pt>
                <c:pt idx="7">
                  <c:v>1.6489843467845924</c:v>
                </c:pt>
                <c:pt idx="8">
                  <c:v>0.81842175989368382</c:v>
                </c:pt>
                <c:pt idx="9">
                  <c:v>-0.74949844253475673</c:v>
                </c:pt>
                <c:pt idx="10">
                  <c:v>-3.9710719380838579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5C-43FD-AD1C-2E1A007A760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Horizontal!$C$7:$C$17</c:f>
              <c:numCache>
                <c:formatCode>General</c:formatCode>
                <c:ptCount val="11"/>
                <c:pt idx="0">
                  <c:v>-38.306374180929225</c:v>
                </c:pt>
                <c:pt idx="1">
                  <c:v>-19.422684562882683</c:v>
                </c:pt>
                <c:pt idx="2">
                  <c:v>-11.597613917023715</c:v>
                </c:pt>
                <c:pt idx="3">
                  <c:v>-6.8562490041989683</c:v>
                </c:pt>
                <c:pt idx="4">
                  <c:v>-3.3103169223638247</c:v>
                </c:pt>
                <c:pt idx="5">
                  <c:v>-0.22459491720487534</c:v>
                </c:pt>
                <c:pt idx="6">
                  <c:v>2.8322446012333384</c:v>
                </c:pt>
                <c:pt idx="7">
                  <c:v>6.2748478904280782</c:v>
                </c:pt>
                <c:pt idx="8">
                  <c:v>10.763849027393995</c:v>
                </c:pt>
                <c:pt idx="9">
                  <c:v>17.897304917639847</c:v>
                </c:pt>
                <c:pt idx="10">
                  <c:v>33.814544213549546</c:v>
                </c:pt>
              </c:numCache>
            </c:numRef>
          </c:xVal>
          <c:yVal>
            <c:numRef>
              <c:f>Horizontal!$D$7:$D$17</c:f>
              <c:numCache>
                <c:formatCode>General</c:formatCode>
                <c:ptCount val="11"/>
                <c:pt idx="0">
                  <c:v>2.3046060771867167</c:v>
                </c:pt>
                <c:pt idx="1">
                  <c:v>4.4421860862930727</c:v>
                </c:pt>
                <c:pt idx="2">
                  <c:v>5.1958081675254739</c:v>
                </c:pt>
                <c:pt idx="3">
                  <c:v>5.5452239814985296</c:v>
                </c:pt>
                <c:pt idx="4">
                  <c:v>5.7114305112627228</c:v>
                </c:pt>
                <c:pt idx="5">
                  <c:v>5.7652698810263745</c:v>
                </c:pt>
                <c:pt idx="6">
                  <c:v>5.7257436834724658</c:v>
                </c:pt>
                <c:pt idx="7">
                  <c:v>5.579079597364192</c:v>
                </c:pt>
                <c:pt idx="8">
                  <c:v>5.2652194016982712</c:v>
                </c:pt>
                <c:pt idx="9">
                  <c:v>4.5999595782526717</c:v>
                </c:pt>
                <c:pt idx="10">
                  <c:v>2.831660111673107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5C-43FD-AD1C-2E1A007A760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Horizontal!$E$7:$E$17</c:f>
              <c:numCache>
                <c:formatCode>General</c:formatCode>
                <c:ptCount val="11"/>
                <c:pt idx="0">
                  <c:v>-30.902775531090732</c:v>
                </c:pt>
                <c:pt idx="1">
                  <c:v>-17.117382025198463</c:v>
                </c:pt>
                <c:pt idx="2">
                  <c:v>-10.565450113914464</c:v>
                </c:pt>
                <c:pt idx="3">
                  <c:v>-6.3451773307609152</c:v>
                </c:pt>
                <c:pt idx="4">
                  <c:v>-3.0868638778650923</c:v>
                </c:pt>
                <c:pt idx="5">
                  <c:v>-0.20995158741409442</c:v>
                </c:pt>
                <c:pt idx="6">
                  <c:v>2.6427934282429275</c:v>
                </c:pt>
                <c:pt idx="7">
                  <c:v>5.8160572472517291</c:v>
                </c:pt>
                <c:pt idx="8">
                  <c:v>9.8364127107197348</c:v>
                </c:pt>
                <c:pt idx="9">
                  <c:v>15.88142152816838</c:v>
                </c:pt>
                <c:pt idx="10">
                  <c:v>27.860431695631437</c:v>
                </c:pt>
              </c:numCache>
            </c:numRef>
          </c:xVal>
          <c:yVal>
            <c:numRef>
              <c:f>Horizontal!$F$7:$F$17</c:f>
              <c:numCache>
                <c:formatCode>General</c:formatCode>
                <c:ptCount val="11"/>
                <c:pt idx="0">
                  <c:v>-0.83020777005412949</c:v>
                </c:pt>
                <c:pt idx="1">
                  <c:v>2.2633505114088535</c:v>
                </c:pt>
                <c:pt idx="2">
                  <c:v>3.4949867366249183</c:v>
                </c:pt>
                <c:pt idx="3">
                  <c:v>4.0946404003587267</c:v>
                </c:pt>
                <c:pt idx="4">
                  <c:v>4.3866079363280752</c:v>
                </c:pt>
                <c:pt idx="5">
                  <c:v>4.482139856522581</c:v>
                </c:pt>
                <c:pt idx="6">
                  <c:v>4.4119590859076636</c:v>
                </c:pt>
                <c:pt idx="7">
                  <c:v>4.1537550019225327</c:v>
                </c:pt>
                <c:pt idx="8">
                  <c:v>3.6126117440493317</c:v>
                </c:pt>
                <c:pt idx="9">
                  <c:v>2.5145074935164442</c:v>
                </c:pt>
                <c:pt idx="10">
                  <c:v>-0.11711294880048427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5C-43FD-AD1C-2E1A007A760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Horizontal!$G$7:$G$17</c:f>
              <c:numCache>
                <c:formatCode>General</c:formatCode>
                <c:ptCount val="11"/>
                <c:pt idx="0">
                  <c:v>-26.575026155702901</c:v>
                </c:pt>
                <c:pt idx="1">
                  <c:v>-15.561141553395402</c:v>
                </c:pt>
                <c:pt idx="2">
                  <c:v>-9.828427841864281</c:v>
                </c:pt>
                <c:pt idx="3">
                  <c:v>-5.9702035125502455</c:v>
                </c:pt>
                <c:pt idx="4">
                  <c:v>-2.9207421278149508</c:v>
                </c:pt>
                <c:pt idx="5">
                  <c:v>-0.19901832987921955</c:v>
                </c:pt>
                <c:pt idx="6">
                  <c:v>2.5017886777489657</c:v>
                </c:pt>
                <c:pt idx="7">
                  <c:v>5.4785423448559545</c:v>
                </c:pt>
                <c:pt idx="8">
                  <c:v>9.1706303720815399</c:v>
                </c:pt>
                <c:pt idx="9">
                  <c:v>14.50482449807852</c:v>
                </c:pt>
                <c:pt idx="10">
                  <c:v>24.260965057591058</c:v>
                </c:pt>
              </c:numCache>
            </c:numRef>
          </c:xVal>
          <c:yVal>
            <c:numRef>
              <c:f>Horizontal!$H$7:$H$17</c:f>
              <c:numCache>
                <c:formatCode>General</c:formatCode>
                <c:ptCount val="11"/>
                <c:pt idx="0">
                  <c:v>-2.662652951243099</c:v>
                </c:pt>
                <c:pt idx="1">
                  <c:v>0.79248408602187459</c:v>
                </c:pt>
                <c:pt idx="2">
                  <c:v>2.2805057874016987</c:v>
                </c:pt>
                <c:pt idx="3">
                  <c:v>3.030345718568606</c:v>
                </c:pt>
                <c:pt idx="4">
                  <c:v>3.4016947741566526</c:v>
                </c:pt>
                <c:pt idx="5">
                  <c:v>3.5241070040860749</c:v>
                </c:pt>
                <c:pt idx="6">
                  <c:v>3.4341352674623109</c:v>
                </c:pt>
                <c:pt idx="7">
                  <c:v>3.1051976721953962</c:v>
                </c:pt>
                <c:pt idx="8">
                  <c:v>2.4262478165438401</c:v>
                </c:pt>
                <c:pt idx="9">
                  <c:v>1.090403717853472</c:v>
                </c:pt>
                <c:pt idx="10">
                  <c:v>-1.8997480975964565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5C-43FD-AD1C-2E1A007A760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Horizontal!$I$7:$I$17</c:f>
              <c:numCache>
                <c:formatCode>General</c:formatCode>
                <c:ptCount val="11"/>
                <c:pt idx="0">
                  <c:v>-23.70047124320363</c:v>
                </c:pt>
                <c:pt idx="1">
                  <c:v>-14.425310967779048</c:v>
                </c:pt>
                <c:pt idx="2">
                  <c:v>-9.2684768834586873</c:v>
                </c:pt>
                <c:pt idx="3">
                  <c:v>-5.6795216377713844</c:v>
                </c:pt>
                <c:pt idx="4">
                  <c:v>-2.7906750733602603</c:v>
                </c:pt>
                <c:pt idx="5">
                  <c:v>-0.19042988498189198</c:v>
                </c:pt>
                <c:pt idx="6">
                  <c:v>2.3912912875254348</c:v>
                </c:pt>
                <c:pt idx="7">
                  <c:v>5.2163729867450304</c:v>
                </c:pt>
                <c:pt idx="8">
                  <c:v>8.6628174988837703</c:v>
                </c:pt>
                <c:pt idx="9">
                  <c:v>13.491981336976945</c:v>
                </c:pt>
                <c:pt idx="10">
                  <c:v>21.819532330049835</c:v>
                </c:pt>
              </c:numCache>
            </c:numRef>
          </c:xVal>
          <c:yVal>
            <c:numRef>
              <c:f>Horizontal!$J$7:$J$17</c:f>
              <c:numCache>
                <c:formatCode>General</c:formatCode>
                <c:ptCount val="11"/>
                <c:pt idx="0">
                  <c:v>-3.8797900450472702</c:v>
                </c:pt>
                <c:pt idx="1">
                  <c:v>-0.28103578676172947</c:v>
                </c:pt>
                <c:pt idx="2">
                  <c:v>1.3578067085920749</c:v>
                </c:pt>
                <c:pt idx="3">
                  <c:v>2.2052983195363045</c:v>
                </c:pt>
                <c:pt idx="4">
                  <c:v>2.6305449767422515</c:v>
                </c:pt>
                <c:pt idx="5">
                  <c:v>2.7715396803278254</c:v>
                </c:pt>
                <c:pt idx="6">
                  <c:v>2.6678704454750126</c:v>
                </c:pt>
                <c:pt idx="7">
                  <c:v>2.2907162963339029</c:v>
                </c:pt>
                <c:pt idx="8">
                  <c:v>1.5213711928757843</c:v>
                </c:pt>
                <c:pt idx="9">
                  <c:v>4.2607058154863216E-2</c:v>
                </c:pt>
                <c:pt idx="10">
                  <c:v>-3.1088671786126443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5C-43FD-AD1C-2E1A007A760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Horizontal!$K$7:$K$17</c:f>
              <c:numCache>
                <c:formatCode>General</c:formatCode>
                <c:ptCount val="11"/>
                <c:pt idx="0">
                  <c:v>-50.153126414890117</c:v>
                </c:pt>
                <c:pt idx="1">
                  <c:v>-22.396599824372725</c:v>
                </c:pt>
                <c:pt idx="2">
                  <c:v>-12.833762052814645</c:v>
                </c:pt>
                <c:pt idx="3">
                  <c:v>-7.4476961065663678</c:v>
                </c:pt>
                <c:pt idx="4">
                  <c:v>-3.5647375204154481</c:v>
                </c:pt>
                <c:pt idx="5">
                  <c:v>-0.24118000992971111</c:v>
                </c:pt>
                <c:pt idx="6">
                  <c:v>3.0476491998815702</c:v>
                </c:pt>
                <c:pt idx="7">
                  <c:v>6.8040337792996128</c:v>
                </c:pt>
                <c:pt idx="8">
                  <c:v>11.867025932940194</c:v>
                </c:pt>
                <c:pt idx="9">
                  <c:v>20.457577145305599</c:v>
                </c:pt>
                <c:pt idx="10">
                  <c:v>42.841722877006724</c:v>
                </c:pt>
              </c:numCache>
            </c:numRef>
          </c:xVal>
          <c:yVal>
            <c:numRef>
              <c:f>Horizontal!$L$7:$L$17</c:f>
              <c:numCache>
                <c:formatCode>General</c:formatCode>
                <c:ptCount val="11"/>
                <c:pt idx="0">
                  <c:v>7.3207292767691481</c:v>
                </c:pt>
                <c:pt idx="1">
                  <c:v>7.2529548519990801</c:v>
                </c:pt>
                <c:pt idx="2">
                  <c:v>7.2327593130583798</c:v>
                </c:pt>
                <c:pt idx="3">
                  <c:v>7.2239385344600562</c:v>
                </c:pt>
                <c:pt idx="4">
                  <c:v>7.2198554807380306</c:v>
                </c:pt>
                <c:pt idx="5">
                  <c:v>7.2185479768194618</c:v>
                </c:pt>
                <c:pt idx="6">
                  <c:v>7.2195071660717414</c:v>
                </c:pt>
                <c:pt idx="7">
                  <c:v>7.223101057233702</c:v>
                </c:pt>
                <c:pt idx="8">
                  <c:v>7.2309808982770543</c:v>
                </c:pt>
                <c:pt idx="9">
                  <c:v>7.2485875110805162</c:v>
                </c:pt>
                <c:pt idx="10">
                  <c:v>7.3023685799423736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5C-43FD-AD1C-2E1A007A760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Horizontal!$M$7:$M$17</c:f>
              <c:numCache>
                <c:formatCode>General</c:formatCode>
                <c:ptCount val="11"/>
                <c:pt idx="0">
                  <c:v>-70.271044471136989</c:v>
                </c:pt>
                <c:pt idx="1">
                  <c:v>-26.095407823986143</c:v>
                </c:pt>
                <c:pt idx="2">
                  <c:v>-14.238676438505713</c:v>
                </c:pt>
                <c:pt idx="3">
                  <c:v>-8.0940551877905236</c:v>
                </c:pt>
                <c:pt idx="4">
                  <c:v>-3.8377873901597401</c:v>
                </c:pt>
                <c:pt idx="5">
                  <c:v>-0.25887658043870587</c:v>
                </c:pt>
                <c:pt idx="6">
                  <c:v>3.2784693437047179</c:v>
                </c:pt>
                <c:pt idx="7">
                  <c:v>7.3802054074173533</c:v>
                </c:pt>
                <c:pt idx="8">
                  <c:v>13.110938043294635</c:v>
                </c:pt>
                <c:pt idx="9">
                  <c:v>23.580239991670567</c:v>
                </c:pt>
                <c:pt idx="10">
                  <c:v>56.904602581691748</c:v>
                </c:pt>
              </c:numCache>
            </c:numRef>
          </c:xVal>
          <c:yVal>
            <c:numRef>
              <c:f>Horizontal!$N$8:$N$17</c:f>
              <c:numCache>
                <c:formatCode>General</c:formatCode>
                <c:ptCount val="10"/>
                <c:pt idx="0">
                  <c:v>10.748849348484466</c:v>
                </c:pt>
                <c:pt idx="1">
                  <c:v>9.5478070686237277</c:v>
                </c:pt>
                <c:pt idx="2">
                  <c:v>9.0585107079421245</c:v>
                </c:pt>
                <c:pt idx="3">
                  <c:v>8.8387308571362038</c:v>
                </c:pt>
                <c:pt idx="4">
                  <c:v>8.7692199397725439</c:v>
                </c:pt>
                <c:pt idx="5">
                  <c:v>8.8201726302960868</c:v>
                </c:pt>
                <c:pt idx="6">
                  <c:v>9.0130930829346632</c:v>
                </c:pt>
                <c:pt idx="7">
                  <c:v>9.4475198045662054</c:v>
                </c:pt>
                <c:pt idx="8">
                  <c:v>10.479014318946403</c:v>
                </c:pt>
                <c:pt idx="9">
                  <c:v>14.26700700440326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5C-43FD-AD1C-2E1A007A760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Horizontal!$O$7:$O$17</c:f>
              <c:numCache>
                <c:formatCode>General</c:formatCode>
                <c:ptCount val="11"/>
                <c:pt idx="0">
                  <c:v>-126.57089251242718</c:v>
                </c:pt>
                <c:pt idx="1">
                  <c:v>-31.945747938064237</c:v>
                </c:pt>
                <c:pt idx="2">
                  <c:v>-16.205918922194776</c:v>
                </c:pt>
                <c:pt idx="3">
                  <c:v>-8.9559448556180783</c:v>
                </c:pt>
                <c:pt idx="4">
                  <c:v>-4.1940196388960214</c:v>
                </c:pt>
                <c:pt idx="5">
                  <c:v>-0.28180561681801652</c:v>
                </c:pt>
                <c:pt idx="6">
                  <c:v>3.5790528898875413</c:v>
                </c:pt>
                <c:pt idx="7">
                  <c:v>8.1450389567064452</c:v>
                </c:pt>
                <c:pt idx="8">
                  <c:v>14.835318245382052</c:v>
                </c:pt>
                <c:pt idx="9">
                  <c:v>28.384686423173587</c:v>
                </c:pt>
                <c:pt idx="10">
                  <c:v>89.471974286189464</c:v>
                </c:pt>
              </c:numCache>
            </c:numRef>
          </c:xVal>
          <c:yVal>
            <c:numRef>
              <c:f>Horizontal!$P$7:$P$17</c:f>
              <c:numCache>
                <c:formatCode>General</c:formatCode>
                <c:ptCount val="11"/>
                <c:pt idx="0">
                  <c:v>39.67735511074747</c:v>
                </c:pt>
                <c:pt idx="1">
                  <c:v>16.278244713021049</c:v>
                </c:pt>
                <c:pt idx="2">
                  <c:v>12.789471004093325</c:v>
                </c:pt>
                <c:pt idx="3">
                  <c:v>11.504827077804931</c:v>
                </c:pt>
                <c:pt idx="4">
                  <c:v>10.9507831950413</c:v>
                </c:pt>
                <c:pt idx="5">
                  <c:v>10.77838967313169</c:v>
                </c:pt>
                <c:pt idx="6">
                  <c:v>10.904625458024896</c:v>
                </c:pt>
                <c:pt idx="7">
                  <c:v>11.389200977536296</c:v>
                </c:pt>
                <c:pt idx="8">
                  <c:v>12.520209406464538</c:v>
                </c:pt>
                <c:pt idx="9">
                  <c:v>15.449263530240525</c:v>
                </c:pt>
                <c:pt idx="10">
                  <c:v>30.395991474154531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5C-43FD-AD1C-2E1A007A760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Horizontal!$Q$8:$Q$16</c:f>
              <c:numCache>
                <c:formatCode>General</c:formatCode>
                <c:ptCount val="9"/>
                <c:pt idx="0">
                  <c:v>-39.538452070014571</c:v>
                </c:pt>
                <c:pt idx="1">
                  <c:v>-18.381237153189367</c:v>
                </c:pt>
                <c:pt idx="2">
                  <c:v>-9.8548077604983284</c:v>
                </c:pt>
                <c:pt idx="3">
                  <c:v>-4.5562815388551519</c:v>
                </c:pt>
                <c:pt idx="4">
                  <c:v>-0.30494053602996879</c:v>
                </c:pt>
                <c:pt idx="5">
                  <c:v>3.8840827370078745</c:v>
                </c:pt>
                <c:pt idx="6">
                  <c:v>8.9384945943210052</c:v>
                </c:pt>
                <c:pt idx="7">
                  <c:v>16.718813370731208</c:v>
                </c:pt>
                <c:pt idx="8">
                  <c:v>34.385836976657885</c:v>
                </c:pt>
              </c:numCache>
            </c:numRef>
          </c:xVal>
          <c:yVal>
            <c:numRef>
              <c:f>Horizontal!$R$8:$R$16</c:f>
              <c:numCache>
                <c:formatCode>General</c:formatCode>
                <c:ptCount val="9"/>
                <c:pt idx="0">
                  <c:v>23.454419467455772</c:v>
                </c:pt>
                <c:pt idx="1">
                  <c:v>16.374006574086255</c:v>
                </c:pt>
                <c:pt idx="2">
                  <c:v>14.056085226673867</c:v>
                </c:pt>
                <c:pt idx="3">
                  <c:v>13.098584511336616</c:v>
                </c:pt>
                <c:pt idx="4">
                  <c:v>12.805600005717016</c:v>
                </c:pt>
                <c:pt idx="5">
                  <c:v>13.01991199132349</c:v>
                </c:pt>
                <c:pt idx="6">
                  <c:v>13.854229095490238</c:v>
                </c:pt>
                <c:pt idx="7">
                  <c:v>15.876427414465754</c:v>
                </c:pt>
                <c:pt idx="8">
                  <c:v>21.657515454902224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5C-43FD-AD1C-2E1A007A760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Horizontal!$S$8:$S$16</c:f>
              <c:numCache>
                <c:formatCode>General</c:formatCode>
                <c:ptCount val="9"/>
                <c:pt idx="0">
                  <c:v>-49.183249947712874</c:v>
                </c:pt>
                <c:pt idx="1">
                  <c:v>-20.670481928685618</c:v>
                </c:pt>
                <c:pt idx="2">
                  <c:v>-10.744546786368474</c:v>
                </c:pt>
                <c:pt idx="3">
                  <c:v>-4.9059078246792822</c:v>
                </c:pt>
                <c:pt idx="4">
                  <c:v>-0.32709628553212594</c:v>
                </c:pt>
                <c:pt idx="5">
                  <c:v>4.1778617570319172</c:v>
                </c:pt>
                <c:pt idx="6">
                  <c:v>9.7197187716535645</c:v>
                </c:pt>
                <c:pt idx="7">
                  <c:v>18.67505257488369</c:v>
                </c:pt>
                <c:pt idx="8">
                  <c:v>41.651465707136346</c:v>
                </c:pt>
              </c:numCache>
            </c:numRef>
          </c:xVal>
          <c:yVal>
            <c:numRef>
              <c:f>Horizontal!$T$8:$T$16</c:f>
              <c:numCache>
                <c:formatCode>General</c:formatCode>
                <c:ptCount val="9"/>
                <c:pt idx="0">
                  <c:v>32.570111826692418</c:v>
                </c:pt>
                <c:pt idx="1">
                  <c:v>20.146272723133762</c:v>
                </c:pt>
                <c:pt idx="2">
                  <c:v>16.581446911746777</c:v>
                </c:pt>
                <c:pt idx="3">
                  <c:v>15.171470997575517</c:v>
                </c:pt>
                <c:pt idx="4">
                  <c:v>14.74701004071472</c:v>
                </c:pt>
                <c:pt idx="5">
                  <c:v>15.057177559559396</c:v>
                </c:pt>
                <c:pt idx="6">
                  <c:v>16.281257743669901</c:v>
                </c:pt>
                <c:pt idx="7">
                  <c:v>19.362268793384857</c:v>
                </c:pt>
                <c:pt idx="8">
                  <c:v>29.173883049393073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5C-43FD-AD1C-2E1A007A760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Horizontal!$U$8:$U$16</c:f>
              <c:numCache>
                <c:formatCode>General</c:formatCode>
                <c:ptCount val="9"/>
                <c:pt idx="0">
                  <c:v>-62.910483297085996</c:v>
                </c:pt>
                <c:pt idx="1">
                  <c:v>-23.261978711547584</c:v>
                </c:pt>
                <c:pt idx="2">
                  <c:v>-11.688522041495604</c:v>
                </c:pt>
                <c:pt idx="3">
                  <c:v>-5.2674692237497194</c:v>
                </c:pt>
                <c:pt idx="4">
                  <c:v>-0.34983248936263195</c:v>
                </c:pt>
                <c:pt idx="5">
                  <c:v>4.4810397161764488</c:v>
                </c:pt>
                <c:pt idx="6">
                  <c:v>10.544057256766944</c:v>
                </c:pt>
                <c:pt idx="7">
                  <c:v>20.858182024425663</c:v>
                </c:pt>
                <c:pt idx="8">
                  <c:v>51.358662493902983</c:v>
                </c:pt>
              </c:numCache>
            </c:numRef>
          </c:xVal>
          <c:yVal>
            <c:numRef>
              <c:f>Horizontal!$V$8:$V$16</c:f>
              <c:numCache>
                <c:formatCode>General</c:formatCode>
                <c:ptCount val="9"/>
                <c:pt idx="0">
                  <c:v>45.544280673266691</c:v>
                </c:pt>
                <c:pt idx="1">
                  <c:v>24.41659614769484</c:v>
                </c:pt>
                <c:pt idx="2">
                  <c:v>19.260748225548987</c:v>
                </c:pt>
                <c:pt idx="3">
                  <c:v>17.315119139797126</c:v>
                </c:pt>
                <c:pt idx="4">
                  <c:v>16.73928271332279</c:v>
                </c:pt>
                <c:pt idx="5">
                  <c:v>17.159621829278308</c:v>
                </c:pt>
                <c:pt idx="6">
                  <c:v>18.842229584042837</c:v>
                </c:pt>
                <c:pt idx="7">
                  <c:v>23.252408074203153</c:v>
                </c:pt>
                <c:pt idx="8">
                  <c:v>39.216077891434452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25C-43FD-AD1C-2E1A007A760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Horizontal!$W$8:$W$16</c:f>
              <c:numCache>
                <c:formatCode>General</c:formatCode>
                <c:ptCount val="9"/>
              </c:numCache>
            </c:numRef>
          </c:xVal>
          <c:yVal>
            <c:numRef>
              <c:f>Horizontal!$X$8:$X$16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25C-43FD-AD1C-2E1A007A7601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Horizontal!$C$20:$C$27</c:f>
              <c:numCache>
                <c:formatCode>General</c:formatCode>
                <c:ptCount val="8"/>
                <c:pt idx="0">
                  <c:v>-21.679915464394615</c:v>
                </c:pt>
                <c:pt idx="1">
                  <c:v>-38.306374180929225</c:v>
                </c:pt>
                <c:pt idx="2">
                  <c:v>-30.902775531090732</c:v>
                </c:pt>
                <c:pt idx="3">
                  <c:v>-26.575026155702901</c:v>
                </c:pt>
                <c:pt idx="4">
                  <c:v>-23.70047124320363</c:v>
                </c:pt>
                <c:pt idx="5">
                  <c:v>-50.153126414890117</c:v>
                </c:pt>
                <c:pt idx="6">
                  <c:v>-70.271044471136989</c:v>
                </c:pt>
                <c:pt idx="7">
                  <c:v>-126.57089251242718</c:v>
                </c:pt>
              </c:numCache>
            </c:numRef>
          </c:xVal>
          <c:yVal>
            <c:numRef>
              <c:f>Horizontal!$D$20:$D$27</c:f>
              <c:numCache>
                <c:formatCode>General</c:formatCode>
                <c:ptCount val="8"/>
                <c:pt idx="0">
                  <c:v>-4.7353288896159418</c:v>
                </c:pt>
                <c:pt idx="1">
                  <c:v>2.3046060771867167</c:v>
                </c:pt>
                <c:pt idx="2">
                  <c:v>-0.83020777005412949</c:v>
                </c:pt>
                <c:pt idx="3">
                  <c:v>-2.662652951243099</c:v>
                </c:pt>
                <c:pt idx="4">
                  <c:v>-3.8797900450472702</c:v>
                </c:pt>
                <c:pt idx="5">
                  <c:v>7.3207292767691481</c:v>
                </c:pt>
                <c:pt idx="6">
                  <c:v>15.839009519007167</c:v>
                </c:pt>
                <c:pt idx="7">
                  <c:v>39.67735511074747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25C-43FD-AD1C-2E1A007A7601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Horizontal!$E$20:$E$30</c:f>
              <c:numCache>
                <c:formatCode>General</c:formatCode>
                <c:ptCount val="11"/>
                <c:pt idx="0">
                  <c:v>-13.571768933639035</c:v>
                </c:pt>
                <c:pt idx="1">
                  <c:v>-19.422684562882683</c:v>
                </c:pt>
                <c:pt idx="2">
                  <c:v>-17.117382025198463</c:v>
                </c:pt>
                <c:pt idx="3">
                  <c:v>-15.561141553395402</c:v>
                </c:pt>
                <c:pt idx="4">
                  <c:v>-14.425310967779048</c:v>
                </c:pt>
                <c:pt idx="5">
                  <c:v>-22.396599824372725</c:v>
                </c:pt>
                <c:pt idx="6">
                  <c:v>-26.095407823986143</c:v>
                </c:pt>
                <c:pt idx="7">
                  <c:v>-31.945747938064237</c:v>
                </c:pt>
                <c:pt idx="8">
                  <c:v>-39.538452070014571</c:v>
                </c:pt>
                <c:pt idx="9">
                  <c:v>-49.183249947712874</c:v>
                </c:pt>
                <c:pt idx="10">
                  <c:v>-62.910483297085996</c:v>
                </c:pt>
              </c:numCache>
            </c:numRef>
          </c:xVal>
          <c:yVal>
            <c:numRef>
              <c:f>Horizontal!$F$20:$F$30</c:f>
              <c:numCache>
                <c:formatCode>General</c:formatCode>
                <c:ptCount val="11"/>
                <c:pt idx="0">
                  <c:v>-1.0877532211300112</c:v>
                </c:pt>
                <c:pt idx="1">
                  <c:v>4.4421860862930727</c:v>
                </c:pt>
                <c:pt idx="2">
                  <c:v>2.2633505114088535</c:v>
                </c:pt>
                <c:pt idx="3">
                  <c:v>0.79248408602187459</c:v>
                </c:pt>
                <c:pt idx="4">
                  <c:v>-0.28103578676172947</c:v>
                </c:pt>
                <c:pt idx="5">
                  <c:v>7.2529548519990801</c:v>
                </c:pt>
                <c:pt idx="6">
                  <c:v>10.748849348484466</c:v>
                </c:pt>
                <c:pt idx="7">
                  <c:v>16.278244713021049</c:v>
                </c:pt>
                <c:pt idx="8">
                  <c:v>23.454419467455772</c:v>
                </c:pt>
                <c:pt idx="9">
                  <c:v>32.570111826692418</c:v>
                </c:pt>
                <c:pt idx="10">
                  <c:v>45.544280673266691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25C-43FD-AD1C-2E1A007A7601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Horizontal!$G$20:$G$30</c:f>
              <c:numCache>
                <c:formatCode>General</c:formatCode>
                <c:ptCount val="11"/>
                <c:pt idx="0">
                  <c:v>-8.8347878744006643</c:v>
                </c:pt>
                <c:pt idx="1">
                  <c:v>-11.597613917023715</c:v>
                </c:pt>
                <c:pt idx="2">
                  <c:v>-10.565450113914464</c:v>
                </c:pt>
                <c:pt idx="3">
                  <c:v>-9.828427841864281</c:v>
                </c:pt>
                <c:pt idx="4">
                  <c:v>-9.2684768834586873</c:v>
                </c:pt>
                <c:pt idx="5">
                  <c:v>-12.833762052814645</c:v>
                </c:pt>
                <c:pt idx="6">
                  <c:v>-14.238676438505713</c:v>
                </c:pt>
                <c:pt idx="7">
                  <c:v>-16.205918922194776</c:v>
                </c:pt>
                <c:pt idx="8">
                  <c:v>-18.381237153189367</c:v>
                </c:pt>
                <c:pt idx="9">
                  <c:v>-20.670481928685618</c:v>
                </c:pt>
                <c:pt idx="10">
                  <c:v>-23.261978711547584</c:v>
                </c:pt>
              </c:numCache>
            </c:numRef>
          </c:xVal>
          <c:yVal>
            <c:numRef>
              <c:f>Horizontal!$H$20:$H$30</c:f>
              <c:numCache>
                <c:formatCode>General</c:formatCode>
                <c:ptCount val="11"/>
                <c:pt idx="0">
                  <c:v>0.64316475086219871</c:v>
                </c:pt>
                <c:pt idx="1">
                  <c:v>5.1958081675254739</c:v>
                </c:pt>
                <c:pt idx="2">
                  <c:v>3.4949867366249183</c:v>
                </c:pt>
                <c:pt idx="3">
                  <c:v>2.2805057874016987</c:v>
                </c:pt>
                <c:pt idx="4">
                  <c:v>1.3578067085920749</c:v>
                </c:pt>
                <c:pt idx="5">
                  <c:v>7.2327593130583798</c:v>
                </c:pt>
                <c:pt idx="6">
                  <c:v>9.5478070686237277</c:v>
                </c:pt>
                <c:pt idx="7">
                  <c:v>12.789471004093325</c:v>
                </c:pt>
                <c:pt idx="8">
                  <c:v>16.374006574086255</c:v>
                </c:pt>
                <c:pt idx="9">
                  <c:v>20.146272723133762</c:v>
                </c:pt>
                <c:pt idx="10">
                  <c:v>24.41659614769484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25C-43FD-AD1C-2E1A007A7601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Horizontal!$I$20:$I$30</c:f>
              <c:numCache>
                <c:formatCode>General</c:formatCode>
                <c:ptCount val="11"/>
                <c:pt idx="0">
                  <c:v>-5.4508514672700414</c:v>
                </c:pt>
                <c:pt idx="1">
                  <c:v>-6.8562490041989683</c:v>
                </c:pt>
                <c:pt idx="2">
                  <c:v>-6.3451773307609152</c:v>
                </c:pt>
                <c:pt idx="3">
                  <c:v>-5.9702035125502455</c:v>
                </c:pt>
                <c:pt idx="4">
                  <c:v>-5.6795216377713844</c:v>
                </c:pt>
                <c:pt idx="5">
                  <c:v>-7.4476961065663678</c:v>
                </c:pt>
                <c:pt idx="6">
                  <c:v>-8.0940551877905236</c:v>
                </c:pt>
                <c:pt idx="7">
                  <c:v>-8.9559448556180783</c:v>
                </c:pt>
                <c:pt idx="8">
                  <c:v>-9.8548077604983284</c:v>
                </c:pt>
                <c:pt idx="9">
                  <c:v>-10.744546786368474</c:v>
                </c:pt>
                <c:pt idx="10">
                  <c:v>-11.688522041495604</c:v>
                </c:pt>
              </c:numCache>
            </c:numRef>
          </c:xVal>
          <c:yVal>
            <c:numRef>
              <c:f>Horizontal!$J$20:$J$30</c:f>
              <c:numCache>
                <c:formatCode>General</c:formatCode>
                <c:ptCount val="11"/>
                <c:pt idx="0">
                  <c:v>1.5562598146349114</c:v>
                </c:pt>
                <c:pt idx="1">
                  <c:v>5.5452239814985296</c:v>
                </c:pt>
                <c:pt idx="2">
                  <c:v>4.0946404003587267</c:v>
                </c:pt>
                <c:pt idx="3">
                  <c:v>3.030345718568606</c:v>
                </c:pt>
                <c:pt idx="4">
                  <c:v>2.2052983195363045</c:v>
                </c:pt>
                <c:pt idx="5">
                  <c:v>7.2239385344600562</c:v>
                </c:pt>
                <c:pt idx="6">
                  <c:v>9.0585107079421245</c:v>
                </c:pt>
                <c:pt idx="7">
                  <c:v>11.504827077804931</c:v>
                </c:pt>
                <c:pt idx="8">
                  <c:v>14.056085226673867</c:v>
                </c:pt>
                <c:pt idx="9">
                  <c:v>16.581446911746777</c:v>
                </c:pt>
                <c:pt idx="10">
                  <c:v>19.260748225548987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25C-43FD-AD1C-2E1A007A7601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Horizontal!$K$20:$K$30</c:f>
              <c:numCache>
                <c:formatCode>General</c:formatCode>
                <c:ptCount val="11"/>
                <c:pt idx="0">
                  <c:v>-2.6875539507442641</c:v>
                </c:pt>
                <c:pt idx="1">
                  <c:v>-3.3103169223638247</c:v>
                </c:pt>
                <c:pt idx="2">
                  <c:v>-3.0868638778650923</c:v>
                </c:pt>
                <c:pt idx="3">
                  <c:v>-2.9207421278149508</c:v>
                </c:pt>
                <c:pt idx="4">
                  <c:v>-2.7906750733602603</c:v>
                </c:pt>
                <c:pt idx="5">
                  <c:v>-3.5647375204154481</c:v>
                </c:pt>
                <c:pt idx="6">
                  <c:v>-3.8377873901597401</c:v>
                </c:pt>
                <c:pt idx="7">
                  <c:v>-4.1940196388960214</c:v>
                </c:pt>
                <c:pt idx="8">
                  <c:v>-4.5562815388551519</c:v>
                </c:pt>
                <c:pt idx="9">
                  <c:v>-4.9059078246792822</c:v>
                </c:pt>
                <c:pt idx="10">
                  <c:v>-5.2674692237497194</c:v>
                </c:pt>
              </c:numCache>
            </c:numRef>
          </c:xVal>
          <c:yVal>
            <c:numRef>
              <c:f>Horizontal!$L$20:$L$30</c:f>
              <c:numCache>
                <c:formatCode>General</c:formatCode>
                <c:ptCount val="11"/>
                <c:pt idx="0">
                  <c:v>2.0191539281183868</c:v>
                </c:pt>
                <c:pt idx="1">
                  <c:v>5.7114305112627228</c:v>
                </c:pt>
                <c:pt idx="2">
                  <c:v>4.3866079363280752</c:v>
                </c:pt>
                <c:pt idx="3">
                  <c:v>3.4016947741566526</c:v>
                </c:pt>
                <c:pt idx="4">
                  <c:v>2.6305449767422515</c:v>
                </c:pt>
                <c:pt idx="5">
                  <c:v>7.2198554807380306</c:v>
                </c:pt>
                <c:pt idx="6">
                  <c:v>8.8387308571362038</c:v>
                </c:pt>
                <c:pt idx="7">
                  <c:v>10.9507831950413</c:v>
                </c:pt>
                <c:pt idx="8">
                  <c:v>13.098584511336616</c:v>
                </c:pt>
                <c:pt idx="9">
                  <c:v>15.171470997575517</c:v>
                </c:pt>
                <c:pt idx="10">
                  <c:v>17.315119139797126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25C-43FD-AD1C-2E1A007A7601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Horizontal!$M$20:$M$31</c:f>
              <c:numCache>
                <c:formatCode>General</c:formatCode>
                <c:ptCount val="12"/>
                <c:pt idx="0">
                  <c:v>-0.18360307586903224</c:v>
                </c:pt>
                <c:pt idx="1">
                  <c:v>-0.22459491720487534</c:v>
                </c:pt>
                <c:pt idx="2">
                  <c:v>-0.20995158741409442</c:v>
                </c:pt>
                <c:pt idx="3">
                  <c:v>-0.19901832987921955</c:v>
                </c:pt>
                <c:pt idx="4">
                  <c:v>-0.19042988498189198</c:v>
                </c:pt>
                <c:pt idx="5">
                  <c:v>-0.24118000992971111</c:v>
                </c:pt>
                <c:pt idx="6">
                  <c:v>-0.25887658043870587</c:v>
                </c:pt>
                <c:pt idx="7">
                  <c:v>-0.28180561681801652</c:v>
                </c:pt>
                <c:pt idx="8">
                  <c:v>-0.30494053602996879</c:v>
                </c:pt>
                <c:pt idx="9">
                  <c:v>-0.32709628553212594</c:v>
                </c:pt>
                <c:pt idx="10">
                  <c:v>-0.34983248936263195</c:v>
                </c:pt>
              </c:numCache>
            </c:numRef>
          </c:xVal>
          <c:yVal>
            <c:numRef>
              <c:f>Horizontal!$N$20:$N$31</c:f>
              <c:numCache>
                <c:formatCode>General</c:formatCode>
                <c:ptCount val="12"/>
                <c:pt idx="0">
                  <c:v>2.1733366848737927</c:v>
                </c:pt>
                <c:pt idx="1">
                  <c:v>5.7652698810263745</c:v>
                </c:pt>
                <c:pt idx="2">
                  <c:v>4.482139856522581</c:v>
                </c:pt>
                <c:pt idx="3">
                  <c:v>3.5241070040860749</c:v>
                </c:pt>
                <c:pt idx="4">
                  <c:v>2.7715396803278254</c:v>
                </c:pt>
                <c:pt idx="5">
                  <c:v>7.2185479768194618</c:v>
                </c:pt>
                <c:pt idx="6">
                  <c:v>8.7692199397725439</c:v>
                </c:pt>
                <c:pt idx="7">
                  <c:v>10.77838967313169</c:v>
                </c:pt>
                <c:pt idx="8">
                  <c:v>12.805600005717016</c:v>
                </c:pt>
                <c:pt idx="9">
                  <c:v>14.74701004071472</c:v>
                </c:pt>
                <c:pt idx="10">
                  <c:v>16.73928271332279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25C-43FD-AD1C-2E1A007A7601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Horizontal!$O$20:$O$30</c:f>
              <c:numCache>
                <c:formatCode>General</c:formatCode>
                <c:ptCount val="11"/>
                <c:pt idx="0">
                  <c:v>2.3036255996417698</c:v>
                </c:pt>
                <c:pt idx="1">
                  <c:v>2.8322446012333384</c:v>
                </c:pt>
                <c:pt idx="2">
                  <c:v>2.6427934282429275</c:v>
                </c:pt>
                <c:pt idx="3">
                  <c:v>2.5017886777489657</c:v>
                </c:pt>
                <c:pt idx="4">
                  <c:v>2.3912912875254348</c:v>
                </c:pt>
                <c:pt idx="5">
                  <c:v>3.0476491998815702</c:v>
                </c:pt>
                <c:pt idx="6">
                  <c:v>3.2784693437047179</c:v>
                </c:pt>
                <c:pt idx="7">
                  <c:v>3.5790528898875413</c:v>
                </c:pt>
                <c:pt idx="8">
                  <c:v>3.8840827370078745</c:v>
                </c:pt>
                <c:pt idx="9">
                  <c:v>4.1778617570319172</c:v>
                </c:pt>
                <c:pt idx="10">
                  <c:v>4.4810397161764488</c:v>
                </c:pt>
              </c:numCache>
            </c:numRef>
          </c:xVal>
          <c:yVal>
            <c:numRef>
              <c:f>Horizontal!$P$20:$P$30</c:f>
              <c:numCache>
                <c:formatCode>General</c:formatCode>
                <c:ptCount val="11"/>
                <c:pt idx="0">
                  <c:v>2.0599363342287762</c:v>
                </c:pt>
                <c:pt idx="1">
                  <c:v>5.7257436834724658</c:v>
                </c:pt>
                <c:pt idx="2">
                  <c:v>4.4119590859076636</c:v>
                </c:pt>
                <c:pt idx="3">
                  <c:v>3.4341352674623109</c:v>
                </c:pt>
                <c:pt idx="4">
                  <c:v>2.6678704454750126</c:v>
                </c:pt>
                <c:pt idx="5">
                  <c:v>7.2195071660717414</c:v>
                </c:pt>
                <c:pt idx="6">
                  <c:v>8.8201726302960868</c:v>
                </c:pt>
                <c:pt idx="7">
                  <c:v>10.904625458024896</c:v>
                </c:pt>
                <c:pt idx="8">
                  <c:v>13.01991199132349</c:v>
                </c:pt>
                <c:pt idx="9">
                  <c:v>15.057177559559396</c:v>
                </c:pt>
                <c:pt idx="10">
                  <c:v>17.159621829278308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25C-43FD-AD1C-2E1A007A7601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Horizontal!$Q$20:$Q$30</c:f>
              <c:numCache>
                <c:formatCode>General</c:formatCode>
                <c:ptCount val="11"/>
                <c:pt idx="0">
                  <c:v>5.0098090820582453</c:v>
                </c:pt>
                <c:pt idx="1">
                  <c:v>6.2748478904280782</c:v>
                </c:pt>
                <c:pt idx="2">
                  <c:v>5.8160572472517291</c:v>
                </c:pt>
                <c:pt idx="3">
                  <c:v>5.4785423448559545</c:v>
                </c:pt>
                <c:pt idx="4">
                  <c:v>5.2163729867450304</c:v>
                </c:pt>
                <c:pt idx="5">
                  <c:v>6.8040337792996128</c:v>
                </c:pt>
                <c:pt idx="6">
                  <c:v>7.3802054074173533</c:v>
                </c:pt>
                <c:pt idx="7">
                  <c:v>8.1450389567064452</c:v>
                </c:pt>
                <c:pt idx="8">
                  <c:v>8.9384945943210052</c:v>
                </c:pt>
                <c:pt idx="9">
                  <c:v>9.7197187716535645</c:v>
                </c:pt>
                <c:pt idx="10">
                  <c:v>10.544057256766944</c:v>
                </c:pt>
              </c:numCache>
            </c:numRef>
          </c:xVal>
          <c:yVal>
            <c:numRef>
              <c:f>Horizontal!$R$20:$R$30</c:f>
              <c:numCache>
                <c:formatCode>General</c:formatCode>
                <c:ptCount val="11"/>
                <c:pt idx="0">
                  <c:v>1.6489843467845924</c:v>
                </c:pt>
                <c:pt idx="1">
                  <c:v>5.579079597364192</c:v>
                </c:pt>
                <c:pt idx="2">
                  <c:v>4.1537550019225327</c:v>
                </c:pt>
                <c:pt idx="3">
                  <c:v>3.1051976721953962</c:v>
                </c:pt>
                <c:pt idx="4">
                  <c:v>2.2907162963339029</c:v>
                </c:pt>
                <c:pt idx="5">
                  <c:v>7.223101057233702</c:v>
                </c:pt>
                <c:pt idx="6">
                  <c:v>9.0130930829346632</c:v>
                </c:pt>
                <c:pt idx="7">
                  <c:v>11.389200977536296</c:v>
                </c:pt>
                <c:pt idx="8">
                  <c:v>13.854229095490238</c:v>
                </c:pt>
                <c:pt idx="9">
                  <c:v>16.281257743669901</c:v>
                </c:pt>
                <c:pt idx="10">
                  <c:v>18.842229584042837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25C-43FD-AD1C-2E1A007A7601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Horizontal!$S$20:$S$30</c:f>
              <c:numCache>
                <c:formatCode>General</c:formatCode>
                <c:ptCount val="11"/>
                <c:pt idx="0">
                  <c:v>8.2683252974736341</c:v>
                </c:pt>
                <c:pt idx="1">
                  <c:v>10.763849027393995</c:v>
                </c:pt>
                <c:pt idx="2">
                  <c:v>9.8364127107197348</c:v>
                </c:pt>
                <c:pt idx="3">
                  <c:v>9.1706303720815399</c:v>
                </c:pt>
                <c:pt idx="4">
                  <c:v>8.6628174988837703</c:v>
                </c:pt>
                <c:pt idx="5">
                  <c:v>11.867025932940194</c:v>
                </c:pt>
                <c:pt idx="6">
                  <c:v>13.110938043294635</c:v>
                </c:pt>
                <c:pt idx="7">
                  <c:v>14.835318245382052</c:v>
                </c:pt>
                <c:pt idx="8">
                  <c:v>16.718813370731208</c:v>
                </c:pt>
                <c:pt idx="9">
                  <c:v>18.67505257488369</c:v>
                </c:pt>
                <c:pt idx="10">
                  <c:v>20.858182024425663</c:v>
                </c:pt>
              </c:numCache>
            </c:numRef>
          </c:xVal>
          <c:yVal>
            <c:numRef>
              <c:f>Horizontal!$T$20:$T$30</c:f>
              <c:numCache>
                <c:formatCode>General</c:formatCode>
                <c:ptCount val="11"/>
                <c:pt idx="0">
                  <c:v>0.81842175989368382</c:v>
                </c:pt>
                <c:pt idx="1">
                  <c:v>5.2652194016982712</c:v>
                </c:pt>
                <c:pt idx="2">
                  <c:v>3.6126117440493317</c:v>
                </c:pt>
                <c:pt idx="3">
                  <c:v>2.4262478165438401</c:v>
                </c:pt>
                <c:pt idx="4">
                  <c:v>1.5213711928757843</c:v>
                </c:pt>
                <c:pt idx="5">
                  <c:v>7.2309808982770543</c:v>
                </c:pt>
                <c:pt idx="6">
                  <c:v>9.4475198045662054</c:v>
                </c:pt>
                <c:pt idx="7">
                  <c:v>12.520209406464538</c:v>
                </c:pt>
                <c:pt idx="8">
                  <c:v>15.876427414465754</c:v>
                </c:pt>
                <c:pt idx="9">
                  <c:v>19.362268793384857</c:v>
                </c:pt>
                <c:pt idx="10">
                  <c:v>23.252408074203153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25C-43FD-AD1C-2E1A007A7601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Horizontal!$U$20:$U$30</c:f>
              <c:numCache>
                <c:formatCode>General</c:formatCode>
                <c:ptCount val="11"/>
                <c:pt idx="0">
                  <c:v>12.726299721352028</c:v>
                </c:pt>
                <c:pt idx="1">
                  <c:v>17.897304917639847</c:v>
                </c:pt>
                <c:pt idx="2">
                  <c:v>15.88142152816838</c:v>
                </c:pt>
                <c:pt idx="3">
                  <c:v>14.50482449807852</c:v>
                </c:pt>
                <c:pt idx="4">
                  <c:v>13.491981336976945</c:v>
                </c:pt>
                <c:pt idx="5">
                  <c:v>20.457577145305599</c:v>
                </c:pt>
                <c:pt idx="6">
                  <c:v>23.580239991670567</c:v>
                </c:pt>
                <c:pt idx="7">
                  <c:v>28.384686423173587</c:v>
                </c:pt>
                <c:pt idx="8">
                  <c:v>34.385836976657885</c:v>
                </c:pt>
                <c:pt idx="9">
                  <c:v>41.651465707136346</c:v>
                </c:pt>
                <c:pt idx="10">
                  <c:v>51.358662493902983</c:v>
                </c:pt>
              </c:numCache>
            </c:numRef>
          </c:xVal>
          <c:yVal>
            <c:numRef>
              <c:f>Horizontal!$V$20:$V$30</c:f>
              <c:numCache>
                <c:formatCode>General</c:formatCode>
                <c:ptCount val="11"/>
                <c:pt idx="0">
                  <c:v>-0.74949844253475673</c:v>
                </c:pt>
                <c:pt idx="1">
                  <c:v>4.5999595782526717</c:v>
                </c:pt>
                <c:pt idx="2">
                  <c:v>2.5145074935164442</c:v>
                </c:pt>
                <c:pt idx="3">
                  <c:v>1.090403717853472</c:v>
                </c:pt>
                <c:pt idx="4">
                  <c:v>4.2607058154863216E-2</c:v>
                </c:pt>
                <c:pt idx="5">
                  <c:v>7.2485875110805162</c:v>
                </c:pt>
                <c:pt idx="6">
                  <c:v>10.479014318946403</c:v>
                </c:pt>
                <c:pt idx="7">
                  <c:v>15.449263530240525</c:v>
                </c:pt>
                <c:pt idx="8">
                  <c:v>21.657515454902224</c:v>
                </c:pt>
                <c:pt idx="9">
                  <c:v>29.173883049393073</c:v>
                </c:pt>
                <c:pt idx="10">
                  <c:v>39.216077891434452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25C-43FD-AD1C-2E1A007A7601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Horizontal!$W$20:$W$27</c:f>
              <c:numCache>
                <c:formatCode>General</c:formatCode>
                <c:ptCount val="8"/>
                <c:pt idx="0">
                  <c:v>20.078583112834856</c:v>
                </c:pt>
                <c:pt idx="1">
                  <c:v>33.814544213549546</c:v>
                </c:pt>
                <c:pt idx="2">
                  <c:v>27.860431695631437</c:v>
                </c:pt>
                <c:pt idx="3">
                  <c:v>24.260965057591058</c:v>
                </c:pt>
                <c:pt idx="4">
                  <c:v>21.819532330049835</c:v>
                </c:pt>
                <c:pt idx="5">
                  <c:v>42.841722877006724</c:v>
                </c:pt>
                <c:pt idx="6">
                  <c:v>56.904602581691748</c:v>
                </c:pt>
                <c:pt idx="7">
                  <c:v>89.471974286189464</c:v>
                </c:pt>
              </c:numCache>
            </c:numRef>
          </c:xVal>
          <c:yVal>
            <c:numRef>
              <c:f>Horizontal!$X$20:$X$27</c:f>
              <c:numCache>
                <c:formatCode>General</c:formatCode>
                <c:ptCount val="8"/>
                <c:pt idx="0">
                  <c:v>-3.9710719380838579</c:v>
                </c:pt>
                <c:pt idx="1">
                  <c:v>2.831660111673107</c:v>
                </c:pt>
                <c:pt idx="2">
                  <c:v>-0.11711294880048427</c:v>
                </c:pt>
                <c:pt idx="3">
                  <c:v>-1.8997480975964565</c:v>
                </c:pt>
                <c:pt idx="4">
                  <c:v>-3.1088671786126443</c:v>
                </c:pt>
                <c:pt idx="5">
                  <c:v>7.3023685799423736</c:v>
                </c:pt>
                <c:pt idx="6">
                  <c:v>14.26700700440326</c:v>
                </c:pt>
                <c:pt idx="7">
                  <c:v>30.395991474154531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25C-43FD-AD1C-2E1A007A7601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Horizontal!$A$23:$A$24</c:f>
              <c:numCache>
                <c:formatCode>General</c:formatCode>
                <c:ptCount val="2"/>
                <c:pt idx="0">
                  <c:v>-64.658101375588217</c:v>
                </c:pt>
                <c:pt idx="1">
                  <c:v>-50.257587476254457</c:v>
                </c:pt>
              </c:numCache>
            </c:numRef>
          </c:xVal>
          <c:yVal>
            <c:numRef>
              <c:f>Horizontal!$B$23:$B$24</c:f>
              <c:numCache>
                <c:formatCode>General</c:formatCode>
                <c:ptCount val="2"/>
                <c:pt idx="0">
                  <c:v>-16.081631929603919</c:v>
                </c:pt>
                <c:pt idx="1">
                  <c:v>-15.599081253827784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1F-4E1E-87FB-002171E29AA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Horizontal!$Y$23:$Y$25</c:f>
              <c:numCache>
                <c:formatCode>General</c:formatCode>
                <c:ptCount val="3"/>
                <c:pt idx="0">
                  <c:v>53.642380034036385</c:v>
                </c:pt>
                <c:pt idx="1">
                  <c:v>43.339754956345239</c:v>
                </c:pt>
                <c:pt idx="2">
                  <c:v>682.66480438777319</c:v>
                </c:pt>
              </c:numCache>
            </c:numRef>
          </c:xVal>
          <c:yVal>
            <c:numRef>
              <c:f>Horizontal!$Z$23:$Z$25</c:f>
              <c:numCache>
                <c:formatCode>General</c:formatCode>
                <c:ptCount val="3"/>
                <c:pt idx="0">
                  <c:v>-12.117469462575158</c:v>
                </c:pt>
                <c:pt idx="1">
                  <c:v>-12.462702877433497</c:v>
                </c:pt>
                <c:pt idx="2">
                  <c:v>8.9606109241739631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1F-4E1E-87FB-002171E29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545448"/>
        <c:axId val="525541512"/>
      </c:scatterChart>
      <c:valAx>
        <c:axId val="525545448"/>
        <c:scaling>
          <c:orientation val="minMax"/>
          <c:max val="75"/>
          <c:min val="-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41512"/>
        <c:crosses val="autoZero"/>
        <c:crossBetween val="midCat"/>
        <c:majorUnit val="5"/>
      </c:valAx>
      <c:valAx>
        <c:axId val="525541512"/>
        <c:scaling>
          <c:orientation val="minMax"/>
          <c:max val="5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4544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/>
              <a:t>ساعت دو سیم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Bifilar!$A$9:$A$12</c:f>
              <c:numCache>
                <c:formatCode>General</c:formatCode>
                <c:ptCount val="4"/>
                <c:pt idx="0">
                  <c:v>-15.13888900457418</c:v>
                </c:pt>
                <c:pt idx="1">
                  <c:v>-9.3403301263777596</c:v>
                </c:pt>
                <c:pt idx="2">
                  <c:v>-4.6052697056840586</c:v>
                </c:pt>
                <c:pt idx="3">
                  <c:v>-0.31461384540240028</c:v>
                </c:pt>
              </c:numCache>
            </c:numRef>
          </c:xVal>
          <c:yVal>
            <c:numRef>
              <c:f>Bifilar!$B$9:$B$12</c:f>
              <c:numCache>
                <c:formatCode>General</c:formatCode>
                <c:ptCount val="4"/>
                <c:pt idx="0">
                  <c:v>0.64316475086219882</c:v>
                </c:pt>
                <c:pt idx="1">
                  <c:v>1.5562598146349114</c:v>
                </c:pt>
                <c:pt idx="2">
                  <c:v>2.0191539281183868</c:v>
                </c:pt>
                <c:pt idx="3">
                  <c:v>2.1733366848737927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E6-4871-81D0-CDD477BD703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Bifilar!$A$22:$A$24</c:f>
              <c:numCache>
                <c:formatCode>General</c:formatCode>
                <c:ptCount val="3"/>
                <c:pt idx="0">
                  <c:v>-165.57526766162641</c:v>
                </c:pt>
                <c:pt idx="1">
                  <c:v>-110.79516949216379</c:v>
                </c:pt>
                <c:pt idx="2">
                  <c:v>-86.119106565680596</c:v>
                </c:pt>
              </c:numCache>
            </c:numRef>
          </c:xVal>
          <c:yVal>
            <c:numRef>
              <c:f>Bifilar!$B$22:$B$24</c:f>
              <c:numCache>
                <c:formatCode>General</c:formatCode>
                <c:ptCount val="3"/>
                <c:pt idx="0">
                  <c:v>-17.152879537843202</c:v>
                </c:pt>
                <c:pt idx="1">
                  <c:v>-16.081631929603919</c:v>
                </c:pt>
                <c:pt idx="2">
                  <c:v>-15.599081253827785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E6-4871-81D0-CDD477BD703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Bifilar!$A$28:$A$31</c:f>
              <c:numCache>
                <c:formatCode>General</c:formatCode>
                <c:ptCount val="4"/>
                <c:pt idx="0">
                  <c:v>91.806811440731394</c:v>
                </c:pt>
                <c:pt idx="1">
                  <c:v>74.474795682977955</c:v>
                </c:pt>
                <c:pt idx="2">
                  <c:v>63.715034747764179</c:v>
                </c:pt>
              </c:numCache>
            </c:numRef>
          </c:xVal>
          <c:yVal>
            <c:numRef>
              <c:f>Bifilar!$B$28:$B$31</c:f>
              <c:numCache>
                <c:formatCode>General</c:formatCode>
                <c:ptCount val="4"/>
                <c:pt idx="0">
                  <c:v>-12.119665909983084</c:v>
                </c:pt>
                <c:pt idx="1">
                  <c:v>-12.458600688249128</c:v>
                </c:pt>
                <c:pt idx="2">
                  <c:v>-12.66901228940065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E6-4871-81D0-CDD477BD703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Bifilar!$C$20:$C$27</c:f>
              <c:numCache>
                <c:formatCode>General</c:formatCode>
                <c:ptCount val="8"/>
                <c:pt idx="0">
                  <c:v>-37.149712988019701</c:v>
                </c:pt>
                <c:pt idx="1">
                  <c:v>-65.640053291275436</c:v>
                </c:pt>
                <c:pt idx="2">
                  <c:v>-52.953584777516845</c:v>
                </c:pt>
                <c:pt idx="3">
                  <c:v>-45.537751102160364</c:v>
                </c:pt>
                <c:pt idx="4">
                  <c:v>-40.612045089005846</c:v>
                </c:pt>
                <c:pt idx="5">
                  <c:v>-85.940106861808019</c:v>
                </c:pt>
                <c:pt idx="6">
                  <c:v>-120.4132524298108</c:v>
                </c:pt>
                <c:pt idx="7">
                  <c:v>-216.88610074132779</c:v>
                </c:pt>
              </c:numCache>
            </c:numRef>
          </c:xVal>
          <c:yVal>
            <c:numRef>
              <c:f>Bifilar!$D$20:$D$27</c:f>
              <c:numCache>
                <c:formatCode>General</c:formatCode>
                <c:ptCount val="8"/>
                <c:pt idx="0">
                  <c:v>-4.7353288896159418</c:v>
                </c:pt>
                <c:pt idx="1">
                  <c:v>2.3046060771867172</c:v>
                </c:pt>
                <c:pt idx="2">
                  <c:v>-0.83020777005412949</c:v>
                </c:pt>
                <c:pt idx="3">
                  <c:v>-2.662652951243099</c:v>
                </c:pt>
                <c:pt idx="4">
                  <c:v>-3.8797900450472702</c:v>
                </c:pt>
                <c:pt idx="5">
                  <c:v>7.3207292767691481</c:v>
                </c:pt>
                <c:pt idx="6">
                  <c:v>15.839009519007165</c:v>
                </c:pt>
                <c:pt idx="7">
                  <c:v>39.67735511074747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E6-4871-81D0-CDD477BD703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Bifilar!$C$7:$C$17</c:f>
              <c:numCache>
                <c:formatCode>General</c:formatCode>
                <c:ptCount val="11"/>
                <c:pt idx="0">
                  <c:v>-65.640053291275436</c:v>
                </c:pt>
                <c:pt idx="1">
                  <c:v>-33.281825206050492</c:v>
                </c:pt>
                <c:pt idx="2">
                  <c:v>-19.873141529121028</c:v>
                </c:pt>
                <c:pt idx="3">
                  <c:v>-11.74855515920712</c:v>
                </c:pt>
                <c:pt idx="4">
                  <c:v>-5.6724078914038687</c:v>
                </c:pt>
                <c:pt idx="5">
                  <c:v>-0.38485559256133162</c:v>
                </c:pt>
                <c:pt idx="6">
                  <c:v>4.8532049961397252</c:v>
                </c:pt>
                <c:pt idx="7">
                  <c:v>10.752292764043455</c:v>
                </c:pt>
                <c:pt idx="8">
                  <c:v>18.444440093448858</c:v>
                </c:pt>
                <c:pt idx="9">
                  <c:v>30.668004312163486</c:v>
                </c:pt>
                <c:pt idx="10">
                  <c:v>57.943058607269606</c:v>
                </c:pt>
              </c:numCache>
            </c:numRef>
          </c:xVal>
          <c:yVal>
            <c:numRef>
              <c:f>Bifilar!$D$7:$D$17</c:f>
              <c:numCache>
                <c:formatCode>General</c:formatCode>
                <c:ptCount val="11"/>
                <c:pt idx="0">
                  <c:v>2.3046060771867172</c:v>
                </c:pt>
                <c:pt idx="1">
                  <c:v>4.4421860862930727</c:v>
                </c:pt>
                <c:pt idx="2">
                  <c:v>5.1958081675254739</c:v>
                </c:pt>
                <c:pt idx="3">
                  <c:v>5.5452239814985296</c:v>
                </c:pt>
                <c:pt idx="4">
                  <c:v>5.7114305112627219</c:v>
                </c:pt>
                <c:pt idx="5">
                  <c:v>5.7652698810263745</c:v>
                </c:pt>
                <c:pt idx="6">
                  <c:v>5.7257436834724666</c:v>
                </c:pt>
                <c:pt idx="7">
                  <c:v>5.579079597364192</c:v>
                </c:pt>
                <c:pt idx="8">
                  <c:v>5.2652194016982721</c:v>
                </c:pt>
                <c:pt idx="9">
                  <c:v>4.5999595782526725</c:v>
                </c:pt>
                <c:pt idx="10">
                  <c:v>2.831660111673107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DE6-4871-81D0-CDD477BD703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Bifilar!$K$7:$K$17</c:f>
              <c:numCache>
                <c:formatCode>General</c:formatCode>
                <c:ptCount val="11"/>
                <c:pt idx="0">
                  <c:v>-85.940106861808019</c:v>
                </c:pt>
                <c:pt idx="1">
                  <c:v>-38.377790575310826</c:v>
                </c:pt>
                <c:pt idx="2">
                  <c:v>-21.991348518014888</c:v>
                </c:pt>
                <c:pt idx="3">
                  <c:v>-12.762031901615549</c:v>
                </c:pt>
                <c:pt idx="4">
                  <c:v>-6.1083714084840333</c:v>
                </c:pt>
                <c:pt idx="5">
                  <c:v>-0.41327504999045439</c:v>
                </c:pt>
                <c:pt idx="6">
                  <c:v>5.2223124785569697</c:v>
                </c:pt>
                <c:pt idx="7">
                  <c:v>11.659081534561224</c:v>
                </c:pt>
                <c:pt idx="8">
                  <c:v>20.334793655175595</c:v>
                </c:pt>
                <c:pt idx="9">
                  <c:v>35.055169870312788</c:v>
                </c:pt>
                <c:pt idx="10">
                  <c:v>73.411619681217218</c:v>
                </c:pt>
              </c:numCache>
            </c:numRef>
          </c:xVal>
          <c:yVal>
            <c:numRef>
              <c:f>Bifilar!$L$7:$L$17</c:f>
              <c:numCache>
                <c:formatCode>General</c:formatCode>
                <c:ptCount val="11"/>
                <c:pt idx="0">
                  <c:v>7.3207292767691481</c:v>
                </c:pt>
                <c:pt idx="1">
                  <c:v>7.2529548519990801</c:v>
                </c:pt>
                <c:pt idx="2">
                  <c:v>7.2327593130583798</c:v>
                </c:pt>
                <c:pt idx="3">
                  <c:v>7.2239385344600562</c:v>
                </c:pt>
                <c:pt idx="4">
                  <c:v>7.2198554807380297</c:v>
                </c:pt>
                <c:pt idx="5">
                  <c:v>7.2185479768194618</c:v>
                </c:pt>
                <c:pt idx="6">
                  <c:v>7.2195071660717423</c:v>
                </c:pt>
                <c:pt idx="7">
                  <c:v>7.2231010572337029</c:v>
                </c:pt>
                <c:pt idx="8">
                  <c:v>7.2309808982770534</c:v>
                </c:pt>
                <c:pt idx="9">
                  <c:v>7.2485875110805162</c:v>
                </c:pt>
                <c:pt idx="10">
                  <c:v>7.3023685799423736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DE6-4871-81D0-CDD477BD703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Bifilar!$W$9:$W$15</c:f>
              <c:numCache>
                <c:formatCode>General</c:formatCode>
                <c:ptCount val="7"/>
              </c:numCache>
            </c:numRef>
          </c:xVal>
          <c:yVal>
            <c:numRef>
              <c:f>Bifilar!$X$9:$X$15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DE6-4871-81D0-CDD477BD7034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Bifilar!$E$20:$E$30</c:f>
              <c:numCache>
                <c:formatCode>General</c:formatCode>
                <c:ptCount val="11"/>
                <c:pt idx="0">
                  <c:v>-23.255963403199143</c:v>
                </c:pt>
                <c:pt idx="1">
                  <c:v>-33.281825206050492</c:v>
                </c:pt>
                <c:pt idx="2">
                  <c:v>-29.331564063834659</c:v>
                </c:pt>
                <c:pt idx="3">
                  <c:v>-26.664861467010741</c:v>
                </c:pt>
                <c:pt idx="4">
                  <c:v>-24.718554050454578</c:v>
                </c:pt>
                <c:pt idx="5">
                  <c:v>-38.377790575310826</c:v>
                </c:pt>
                <c:pt idx="6">
                  <c:v>-44.715899033764032</c:v>
                </c:pt>
                <c:pt idx="7">
                  <c:v>-54.740774660112258</c:v>
                </c:pt>
                <c:pt idx="8">
                  <c:v>-67.751285691308411</c:v>
                </c:pt>
                <c:pt idx="9">
                  <c:v>-84.278170843254671</c:v>
                </c:pt>
                <c:pt idx="10">
                  <c:v>-107.80053096898055</c:v>
                </c:pt>
              </c:numCache>
            </c:numRef>
          </c:xVal>
          <c:yVal>
            <c:numRef>
              <c:f>Bifilar!$F$20:$F$30</c:f>
              <c:numCache>
                <c:formatCode>General</c:formatCode>
                <c:ptCount val="11"/>
                <c:pt idx="0">
                  <c:v>-1.0877532211300112</c:v>
                </c:pt>
                <c:pt idx="1">
                  <c:v>4.4421860862930727</c:v>
                </c:pt>
                <c:pt idx="2">
                  <c:v>2.2633505114088535</c:v>
                </c:pt>
                <c:pt idx="3">
                  <c:v>0.79248408602187459</c:v>
                </c:pt>
                <c:pt idx="4">
                  <c:v>-0.28103578676172947</c:v>
                </c:pt>
                <c:pt idx="5">
                  <c:v>7.2529548519990801</c:v>
                </c:pt>
                <c:pt idx="6">
                  <c:v>10.748849348484468</c:v>
                </c:pt>
                <c:pt idx="7">
                  <c:v>16.278244713021053</c:v>
                </c:pt>
                <c:pt idx="8">
                  <c:v>23.454419467455775</c:v>
                </c:pt>
                <c:pt idx="9">
                  <c:v>32.570111826692418</c:v>
                </c:pt>
                <c:pt idx="10">
                  <c:v>45.544280673266691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DE6-4871-81D0-CDD477BD7034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Bifilar!$G$20:$G$31</c:f>
              <c:numCache>
                <c:formatCode>General</c:formatCode>
                <c:ptCount val="12"/>
                <c:pt idx="0">
                  <c:v>-15.13888900457418</c:v>
                </c:pt>
                <c:pt idx="1">
                  <c:v>-19.873141529121028</c:v>
                </c:pt>
                <c:pt idx="2">
                  <c:v>-18.104472776463503</c:v>
                </c:pt>
                <c:pt idx="3">
                  <c:v>-16.841545071906282</c:v>
                </c:pt>
                <c:pt idx="4">
                  <c:v>-15.882038683318283</c:v>
                </c:pt>
                <c:pt idx="5">
                  <c:v>-21.991348518014888</c:v>
                </c:pt>
                <c:pt idx="6">
                  <c:v>-24.398745644949241</c:v>
                </c:pt>
                <c:pt idx="7">
                  <c:v>-27.769722518309869</c:v>
                </c:pt>
                <c:pt idx="8">
                  <c:v>-31.497248489145676</c:v>
                </c:pt>
                <c:pt idx="9">
                  <c:v>-35.419993783456448</c:v>
                </c:pt>
                <c:pt idx="10">
                  <c:v>-39.860664313321301</c:v>
                </c:pt>
              </c:numCache>
            </c:numRef>
          </c:xVal>
          <c:yVal>
            <c:numRef>
              <c:f>Bifilar!$H$20:$H$31</c:f>
              <c:numCache>
                <c:formatCode>General</c:formatCode>
                <c:ptCount val="12"/>
                <c:pt idx="0">
                  <c:v>0.64316475086219882</c:v>
                </c:pt>
                <c:pt idx="1">
                  <c:v>5.1958081675254739</c:v>
                </c:pt>
                <c:pt idx="2">
                  <c:v>3.4949867366249183</c:v>
                </c:pt>
                <c:pt idx="3">
                  <c:v>2.2805057874016983</c:v>
                </c:pt>
                <c:pt idx="4">
                  <c:v>1.3578067085920749</c:v>
                </c:pt>
                <c:pt idx="5">
                  <c:v>7.2327593130583798</c:v>
                </c:pt>
                <c:pt idx="6">
                  <c:v>9.5478070686237277</c:v>
                </c:pt>
                <c:pt idx="7">
                  <c:v>12.789471004093324</c:v>
                </c:pt>
                <c:pt idx="8">
                  <c:v>16.374006574086255</c:v>
                </c:pt>
                <c:pt idx="9">
                  <c:v>20.146272723133762</c:v>
                </c:pt>
                <c:pt idx="10">
                  <c:v>24.41659614769484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DE6-4871-81D0-CDD477BD7034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Bifilar!$I$20:$I$31</c:f>
              <c:numCache>
                <c:formatCode>General</c:formatCode>
                <c:ptCount val="12"/>
                <c:pt idx="0">
                  <c:v>-9.3403301263777596</c:v>
                </c:pt>
                <c:pt idx="1">
                  <c:v>-11.74855515920712</c:v>
                </c:pt>
                <c:pt idx="2">
                  <c:v>-10.872806080954852</c:v>
                </c:pt>
                <c:pt idx="3">
                  <c:v>-10.230268071642683</c:v>
                </c:pt>
                <c:pt idx="4">
                  <c:v>-9.7321688868654554</c:v>
                </c:pt>
                <c:pt idx="5">
                  <c:v>-12.762031901615549</c:v>
                </c:pt>
                <c:pt idx="6">
                  <c:v>-13.869603303086786</c:v>
                </c:pt>
                <c:pt idx="7">
                  <c:v>-15.346498074181198</c:v>
                </c:pt>
                <c:pt idx="8">
                  <c:v>-16.886748495670162</c:v>
                </c:pt>
                <c:pt idx="9">
                  <c:v>-18.411364654787604</c:v>
                </c:pt>
                <c:pt idx="10">
                  <c:v>-20.028917539316105</c:v>
                </c:pt>
              </c:numCache>
            </c:numRef>
          </c:xVal>
          <c:yVal>
            <c:numRef>
              <c:f>Bifilar!$J$20:$J$31</c:f>
              <c:numCache>
                <c:formatCode>General</c:formatCode>
                <c:ptCount val="12"/>
                <c:pt idx="0">
                  <c:v>1.5562598146349114</c:v>
                </c:pt>
                <c:pt idx="1">
                  <c:v>5.5452239814985296</c:v>
                </c:pt>
                <c:pt idx="2">
                  <c:v>4.0946404003587267</c:v>
                </c:pt>
                <c:pt idx="3">
                  <c:v>3.0303457185686056</c:v>
                </c:pt>
                <c:pt idx="4">
                  <c:v>2.2052983195363045</c:v>
                </c:pt>
                <c:pt idx="5">
                  <c:v>7.2239385344600562</c:v>
                </c:pt>
                <c:pt idx="6">
                  <c:v>9.0585107079421245</c:v>
                </c:pt>
                <c:pt idx="7">
                  <c:v>11.504827077804931</c:v>
                </c:pt>
                <c:pt idx="8">
                  <c:v>14.056085226673867</c:v>
                </c:pt>
                <c:pt idx="9">
                  <c:v>16.581446911746777</c:v>
                </c:pt>
                <c:pt idx="10">
                  <c:v>19.260748225548987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DE6-4871-81D0-CDD477BD7034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Bifilar!$K$20:$K$31</c:f>
              <c:numCache>
                <c:formatCode>General</c:formatCode>
                <c:ptCount val="12"/>
                <c:pt idx="0">
                  <c:v>-4.6052697056840586</c:v>
                </c:pt>
                <c:pt idx="1">
                  <c:v>-5.6724078914038687</c:v>
                </c:pt>
                <c:pt idx="2">
                  <c:v>-5.2895089597608749</c:v>
                </c:pt>
                <c:pt idx="3">
                  <c:v>-5.0048503158853643</c:v>
                </c:pt>
                <c:pt idx="4">
                  <c:v>-4.7819733517143312</c:v>
                </c:pt>
                <c:pt idx="5">
                  <c:v>-6.1083714084840333</c:v>
                </c:pt>
                <c:pt idx="6">
                  <c:v>-6.5762571947121149</c:v>
                </c:pt>
                <c:pt idx="7">
                  <c:v>-7.1866805065264083</c:v>
                </c:pt>
                <c:pt idx="8">
                  <c:v>-7.8074359532936555</c:v>
                </c:pt>
                <c:pt idx="9">
                  <c:v>-8.4065395887651633</c:v>
                </c:pt>
                <c:pt idx="10">
                  <c:v>-9.0260946892023917</c:v>
                </c:pt>
              </c:numCache>
            </c:numRef>
          </c:xVal>
          <c:yVal>
            <c:numRef>
              <c:f>Bifilar!$L$20:$L$31</c:f>
              <c:numCache>
                <c:formatCode>General</c:formatCode>
                <c:ptCount val="12"/>
                <c:pt idx="0">
                  <c:v>2.0191539281183868</c:v>
                </c:pt>
                <c:pt idx="1">
                  <c:v>5.7114305112627219</c:v>
                </c:pt>
                <c:pt idx="2">
                  <c:v>4.3866079363280752</c:v>
                </c:pt>
                <c:pt idx="3">
                  <c:v>3.4016947741566526</c:v>
                </c:pt>
                <c:pt idx="4">
                  <c:v>2.6305449767422515</c:v>
                </c:pt>
                <c:pt idx="5">
                  <c:v>7.2198554807380297</c:v>
                </c:pt>
                <c:pt idx="6">
                  <c:v>8.8387308571362038</c:v>
                </c:pt>
                <c:pt idx="7">
                  <c:v>10.9507831950413</c:v>
                </c:pt>
                <c:pt idx="8">
                  <c:v>13.098584511336618</c:v>
                </c:pt>
                <c:pt idx="9">
                  <c:v>15.171470997575518</c:v>
                </c:pt>
                <c:pt idx="10">
                  <c:v>17.315119139797126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DE6-4871-81D0-CDD477BD7034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Bifilar!$M$20:$M$31</c:f>
              <c:numCache>
                <c:formatCode>General</c:formatCode>
                <c:ptCount val="12"/>
                <c:pt idx="0">
                  <c:v>-0.31461384540240028</c:v>
                </c:pt>
                <c:pt idx="1">
                  <c:v>-0.38485559256133162</c:v>
                </c:pt>
                <c:pt idx="2">
                  <c:v>-0.35976345141300264</c:v>
                </c:pt>
                <c:pt idx="3">
                  <c:v>-0.34102872063825573</c:v>
                </c:pt>
                <c:pt idx="4">
                  <c:v>-0.32631195370836907</c:v>
                </c:pt>
                <c:pt idx="5">
                  <c:v>-0.41327504999045439</c:v>
                </c:pt>
                <c:pt idx="6">
                  <c:v>-0.44359908498778211</c:v>
                </c:pt>
                <c:pt idx="7">
                  <c:v>-0.48288923452651972</c:v>
                </c:pt>
                <c:pt idx="8">
                  <c:v>-0.52253217548431774</c:v>
                </c:pt>
                <c:pt idx="9">
                  <c:v>-0.56049725594744781</c:v>
                </c:pt>
                <c:pt idx="10">
                  <c:v>-0.5994569764374833</c:v>
                </c:pt>
              </c:numCache>
            </c:numRef>
          </c:xVal>
          <c:yVal>
            <c:numRef>
              <c:f>Bifilar!$N$20:$N$31</c:f>
              <c:numCache>
                <c:formatCode>General</c:formatCode>
                <c:ptCount val="12"/>
                <c:pt idx="0">
                  <c:v>2.1733366848737927</c:v>
                </c:pt>
                <c:pt idx="1">
                  <c:v>5.7652698810263745</c:v>
                </c:pt>
                <c:pt idx="2">
                  <c:v>4.482139856522581</c:v>
                </c:pt>
                <c:pt idx="3">
                  <c:v>3.5241070040860749</c:v>
                </c:pt>
                <c:pt idx="4">
                  <c:v>2.7715396803278258</c:v>
                </c:pt>
                <c:pt idx="5">
                  <c:v>7.2185479768194618</c:v>
                </c:pt>
                <c:pt idx="6">
                  <c:v>8.7692199397725439</c:v>
                </c:pt>
                <c:pt idx="7">
                  <c:v>10.77838967313169</c:v>
                </c:pt>
                <c:pt idx="8">
                  <c:v>12.805600005717018</c:v>
                </c:pt>
                <c:pt idx="9">
                  <c:v>14.747010040714722</c:v>
                </c:pt>
                <c:pt idx="10">
                  <c:v>16.73928271332279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DE6-4871-81D0-CDD477BD7034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Bifilar!$O$20:$O$31</c:f>
              <c:numCache>
                <c:formatCode>General</c:formatCode>
                <c:ptCount val="12"/>
                <c:pt idx="0">
                  <c:v>3.9473876177743765</c:v>
                </c:pt>
                <c:pt idx="1">
                  <c:v>4.8532049961397252</c:v>
                </c:pt>
                <c:pt idx="2">
                  <c:v>4.5285701186008254</c:v>
                </c:pt>
                <c:pt idx="3">
                  <c:v>4.2869508180366251</c:v>
                </c:pt>
                <c:pt idx="4">
                  <c:v>4.0976075367184386</c:v>
                </c:pt>
                <c:pt idx="5">
                  <c:v>5.2223124785569697</c:v>
                </c:pt>
                <c:pt idx="6">
                  <c:v>5.6178353351366503</c:v>
                </c:pt>
                <c:pt idx="7">
                  <c:v>6.1329015718086612</c:v>
                </c:pt>
                <c:pt idx="8">
                  <c:v>6.6555867866984659</c:v>
                </c:pt>
                <c:pt idx="9">
                  <c:v>7.1589930981169241</c:v>
                </c:pt>
                <c:pt idx="10">
                  <c:v>7.6785050023496844</c:v>
                </c:pt>
              </c:numCache>
            </c:numRef>
          </c:xVal>
          <c:yVal>
            <c:numRef>
              <c:f>Bifilar!$P$20:$P$31</c:f>
              <c:numCache>
                <c:formatCode>General</c:formatCode>
                <c:ptCount val="12"/>
                <c:pt idx="0">
                  <c:v>2.0599363342287766</c:v>
                </c:pt>
                <c:pt idx="1">
                  <c:v>5.7257436834724666</c:v>
                </c:pt>
                <c:pt idx="2">
                  <c:v>4.4119590859076636</c:v>
                </c:pt>
                <c:pt idx="3">
                  <c:v>3.4341352674623109</c:v>
                </c:pt>
                <c:pt idx="4">
                  <c:v>2.6678704454750126</c:v>
                </c:pt>
                <c:pt idx="5">
                  <c:v>7.2195071660717423</c:v>
                </c:pt>
                <c:pt idx="6">
                  <c:v>8.8201726302960868</c:v>
                </c:pt>
                <c:pt idx="7">
                  <c:v>10.904625458024896</c:v>
                </c:pt>
                <c:pt idx="8">
                  <c:v>13.01991199132349</c:v>
                </c:pt>
                <c:pt idx="9">
                  <c:v>15.057177559559396</c:v>
                </c:pt>
                <c:pt idx="10">
                  <c:v>17.159621829278308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DE6-4871-81D0-CDD477BD7034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Bifilar!$Q$20:$Q$31</c:f>
              <c:numCache>
                <c:formatCode>General</c:formatCode>
                <c:ptCount val="12"/>
                <c:pt idx="0">
                  <c:v>8.5845800380954227</c:v>
                </c:pt>
                <c:pt idx="1">
                  <c:v>10.752292764043455</c:v>
                </c:pt>
                <c:pt idx="2">
                  <c:v>9.9661300715005812</c:v>
                </c:pt>
                <c:pt idx="3">
                  <c:v>9.3877799495282481</c:v>
                </c:pt>
                <c:pt idx="4">
                  <c:v>8.938538511107069</c:v>
                </c:pt>
                <c:pt idx="5">
                  <c:v>11.659081534561224</c:v>
                </c:pt>
                <c:pt idx="6">
                  <c:v>12.646382921947504</c:v>
                </c:pt>
                <c:pt idx="7">
                  <c:v>13.95696676100177</c:v>
                </c:pt>
                <c:pt idx="8">
                  <c:v>15.316596103400137</c:v>
                </c:pt>
                <c:pt idx="9">
                  <c:v>16.655266174087004</c:v>
                </c:pt>
                <c:pt idx="10">
                  <c:v>18.067814953496928</c:v>
                </c:pt>
              </c:numCache>
            </c:numRef>
          </c:xVal>
          <c:yVal>
            <c:numRef>
              <c:f>Bifilar!$R$20:$R$31</c:f>
              <c:numCache>
                <c:formatCode>General</c:formatCode>
                <c:ptCount val="12"/>
                <c:pt idx="0">
                  <c:v>1.6489843467845924</c:v>
                </c:pt>
                <c:pt idx="1">
                  <c:v>5.579079597364192</c:v>
                </c:pt>
                <c:pt idx="2">
                  <c:v>4.1537550019225327</c:v>
                </c:pt>
                <c:pt idx="3">
                  <c:v>3.1051976721953962</c:v>
                </c:pt>
                <c:pt idx="4">
                  <c:v>2.2907162963339029</c:v>
                </c:pt>
                <c:pt idx="5">
                  <c:v>7.2231010572337029</c:v>
                </c:pt>
                <c:pt idx="6">
                  <c:v>9.0130930829346632</c:v>
                </c:pt>
                <c:pt idx="7">
                  <c:v>11.389200977536296</c:v>
                </c:pt>
                <c:pt idx="8">
                  <c:v>13.854229095490238</c:v>
                </c:pt>
                <c:pt idx="9">
                  <c:v>16.281257743669901</c:v>
                </c:pt>
                <c:pt idx="10">
                  <c:v>18.842229584042837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DE6-4871-81D0-CDD477BD7034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Bifilar!$S$20:$S$31</c:f>
              <c:numCache>
                <c:formatCode>General</c:formatCode>
                <c:ptCount val="12"/>
                <c:pt idx="0">
                  <c:v>14.168224603882484</c:v>
                </c:pt>
                <c:pt idx="1">
                  <c:v>18.444440093448858</c:v>
                </c:pt>
                <c:pt idx="2">
                  <c:v>16.855227578496969</c:v>
                </c:pt>
                <c:pt idx="3">
                  <c:v>15.714373370208101</c:v>
                </c:pt>
                <c:pt idx="4">
                  <c:v>14.844208423213665</c:v>
                </c:pt>
                <c:pt idx="5">
                  <c:v>20.334793655175595</c:v>
                </c:pt>
                <c:pt idx="6">
                  <c:v>22.466304636290012</c:v>
                </c:pt>
                <c:pt idx="7">
                  <c:v>25.421123795754838</c:v>
                </c:pt>
                <c:pt idx="8">
                  <c:v>28.648595020722055</c:v>
                </c:pt>
                <c:pt idx="9">
                  <c:v>32.000717176803811</c:v>
                </c:pt>
                <c:pt idx="10">
                  <c:v>35.741628094993239</c:v>
                </c:pt>
              </c:numCache>
            </c:numRef>
          </c:xVal>
          <c:yVal>
            <c:numRef>
              <c:f>Bifilar!$T$20:$T$31</c:f>
              <c:numCache>
                <c:formatCode>General</c:formatCode>
                <c:ptCount val="12"/>
                <c:pt idx="0">
                  <c:v>0.81842175989368393</c:v>
                </c:pt>
                <c:pt idx="1">
                  <c:v>5.2652194016982721</c:v>
                </c:pt>
                <c:pt idx="2">
                  <c:v>3.6126117440493317</c:v>
                </c:pt>
                <c:pt idx="3">
                  <c:v>2.4262478165438401</c:v>
                </c:pt>
                <c:pt idx="4">
                  <c:v>1.5213711928757843</c:v>
                </c:pt>
                <c:pt idx="5">
                  <c:v>7.2309808982770534</c:v>
                </c:pt>
                <c:pt idx="6">
                  <c:v>9.4475198045662054</c:v>
                </c:pt>
                <c:pt idx="7">
                  <c:v>12.52020940646454</c:v>
                </c:pt>
                <c:pt idx="8">
                  <c:v>15.876427414465754</c:v>
                </c:pt>
                <c:pt idx="9">
                  <c:v>19.362268793384857</c:v>
                </c:pt>
                <c:pt idx="10">
                  <c:v>23.252408074203153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DE6-4871-81D0-CDD477BD7034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Bifilar!$U$20:$U$30</c:f>
              <c:numCache>
                <c:formatCode>General</c:formatCode>
                <c:ptCount val="11"/>
                <c:pt idx="0">
                  <c:v>21.807205974774064</c:v>
                </c:pt>
                <c:pt idx="1">
                  <c:v>30.668004312163486</c:v>
                </c:pt>
                <c:pt idx="2">
                  <c:v>27.21367860415166</c:v>
                </c:pt>
                <c:pt idx="3">
                  <c:v>24.854804804482693</c:v>
                </c:pt>
                <c:pt idx="4">
                  <c:v>23.119243021569034</c:v>
                </c:pt>
                <c:pt idx="5">
                  <c:v>35.055169870312788</c:v>
                </c:pt>
                <c:pt idx="6">
                  <c:v>40.406022307506575</c:v>
                </c:pt>
                <c:pt idx="7">
                  <c:v>48.638702286807245</c:v>
                </c:pt>
                <c:pt idx="8">
                  <c:v>58.921999794400307</c:v>
                </c:pt>
                <c:pt idx="9">
                  <c:v>71.372049355620845</c:v>
                </c:pt>
                <c:pt idx="10">
                  <c:v>88.005858428302005</c:v>
                </c:pt>
              </c:numCache>
            </c:numRef>
          </c:xVal>
          <c:yVal>
            <c:numRef>
              <c:f>Bifilar!$V$20:$V$30</c:f>
              <c:numCache>
                <c:formatCode>General</c:formatCode>
                <c:ptCount val="11"/>
                <c:pt idx="0">
                  <c:v>-0.74949844253475673</c:v>
                </c:pt>
                <c:pt idx="1">
                  <c:v>4.5999595782526725</c:v>
                </c:pt>
                <c:pt idx="2">
                  <c:v>2.5145074935164442</c:v>
                </c:pt>
                <c:pt idx="3">
                  <c:v>1.090403717853472</c:v>
                </c:pt>
                <c:pt idx="4">
                  <c:v>4.2607058154863216E-2</c:v>
                </c:pt>
                <c:pt idx="5">
                  <c:v>7.2485875110805162</c:v>
                </c:pt>
                <c:pt idx="6">
                  <c:v>10.479014318946403</c:v>
                </c:pt>
                <c:pt idx="7">
                  <c:v>15.449263530240524</c:v>
                </c:pt>
                <c:pt idx="8">
                  <c:v>21.657515454902224</c:v>
                </c:pt>
                <c:pt idx="9">
                  <c:v>29.173883049393073</c:v>
                </c:pt>
                <c:pt idx="10">
                  <c:v>39.216077891434452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DE6-4871-81D0-CDD477BD7034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Bifilar!$W$20:$W$27</c:f>
              <c:numCache>
                <c:formatCode>General</c:formatCode>
                <c:ptCount val="8"/>
                <c:pt idx="0">
                  <c:v>34.405743005453303</c:v>
                </c:pt>
                <c:pt idx="1">
                  <c:v>57.943058607269606</c:v>
                </c:pt>
                <c:pt idx="2">
                  <c:v>47.740363329130545</c:v>
                </c:pt>
                <c:pt idx="3">
                  <c:v>41.572481690811337</c:v>
                </c:pt>
                <c:pt idx="4">
                  <c:v>37.388954072510856</c:v>
                </c:pt>
                <c:pt idx="5">
                  <c:v>73.411619681217218</c:v>
                </c:pt>
                <c:pt idx="6">
                  <c:v>97.509128071971645</c:v>
                </c:pt>
                <c:pt idx="7">
                  <c:v>153.31508882782592</c:v>
                </c:pt>
              </c:numCache>
            </c:numRef>
          </c:xVal>
          <c:yVal>
            <c:numRef>
              <c:f>Bifilar!$X$20:$X$27</c:f>
              <c:numCache>
                <c:formatCode>General</c:formatCode>
                <c:ptCount val="8"/>
                <c:pt idx="0">
                  <c:v>-3.9710719380838575</c:v>
                </c:pt>
                <c:pt idx="1">
                  <c:v>2.831660111673107</c:v>
                </c:pt>
                <c:pt idx="2">
                  <c:v>-0.11711294880048427</c:v>
                </c:pt>
                <c:pt idx="3">
                  <c:v>-1.8997480975964565</c:v>
                </c:pt>
                <c:pt idx="4">
                  <c:v>-3.1088671786126443</c:v>
                </c:pt>
                <c:pt idx="5">
                  <c:v>7.3023685799423736</c:v>
                </c:pt>
                <c:pt idx="6">
                  <c:v>14.26700700440326</c:v>
                </c:pt>
                <c:pt idx="7">
                  <c:v>30.395991474154531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DE6-4871-81D0-CDD477BD7034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Bifilar!$S$8:$S$16</c:f>
              <c:numCache>
                <c:formatCode>General</c:formatCode>
                <c:ptCount val="9"/>
                <c:pt idx="0">
                  <c:v>-84.278170843254671</c:v>
                </c:pt>
                <c:pt idx="1">
                  <c:v>-35.419993783456448</c:v>
                </c:pt>
                <c:pt idx="2">
                  <c:v>-18.411364654787604</c:v>
                </c:pt>
                <c:pt idx="3">
                  <c:v>-8.4065395887651633</c:v>
                </c:pt>
                <c:pt idx="4">
                  <c:v>-0.56049725594744781</c:v>
                </c:pt>
                <c:pt idx="5">
                  <c:v>7.1589930981169241</c:v>
                </c:pt>
                <c:pt idx="6">
                  <c:v>16.655266174087004</c:v>
                </c:pt>
                <c:pt idx="7">
                  <c:v>32.000717176803811</c:v>
                </c:pt>
                <c:pt idx="8">
                  <c:v>71.372049355620845</c:v>
                </c:pt>
              </c:numCache>
            </c:numRef>
          </c:xVal>
          <c:yVal>
            <c:numRef>
              <c:f>Bifilar!$T$8:$T$16</c:f>
              <c:numCache>
                <c:formatCode>General</c:formatCode>
                <c:ptCount val="9"/>
                <c:pt idx="0">
                  <c:v>32.570111826692418</c:v>
                </c:pt>
                <c:pt idx="1">
                  <c:v>20.146272723133762</c:v>
                </c:pt>
                <c:pt idx="2">
                  <c:v>16.581446911746777</c:v>
                </c:pt>
                <c:pt idx="3">
                  <c:v>15.171470997575518</c:v>
                </c:pt>
                <c:pt idx="4">
                  <c:v>14.747010040714722</c:v>
                </c:pt>
                <c:pt idx="5">
                  <c:v>15.057177559559396</c:v>
                </c:pt>
                <c:pt idx="6">
                  <c:v>16.281257743669901</c:v>
                </c:pt>
                <c:pt idx="7">
                  <c:v>19.362268793384857</c:v>
                </c:pt>
                <c:pt idx="8">
                  <c:v>29.173883049393073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69-43DE-AE2D-5E281F2AA8E4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Bifilar!$A$6:$A$18</c:f>
              <c:numCache>
                <c:formatCode>General</c:formatCode>
                <c:ptCount val="13"/>
                <c:pt idx="0">
                  <c:v>-72.253730092492134</c:v>
                </c:pt>
                <c:pt idx="1">
                  <c:v>-37.149712988019701</c:v>
                </c:pt>
                <c:pt idx="2">
                  <c:v>-23.255963403199143</c:v>
                </c:pt>
                <c:pt idx="3">
                  <c:v>-15.13888900457418</c:v>
                </c:pt>
                <c:pt idx="4">
                  <c:v>-9.3403301263777596</c:v>
                </c:pt>
                <c:pt idx="5">
                  <c:v>-4.6052697056840586</c:v>
                </c:pt>
                <c:pt idx="6">
                  <c:v>-0.31461384540240028</c:v>
                </c:pt>
                <c:pt idx="7">
                  <c:v>3.9473876177743765</c:v>
                </c:pt>
                <c:pt idx="8">
                  <c:v>8.5845800380954227</c:v>
                </c:pt>
                <c:pt idx="9">
                  <c:v>14.168224603882484</c:v>
                </c:pt>
                <c:pt idx="10">
                  <c:v>21.807205974774064</c:v>
                </c:pt>
                <c:pt idx="11">
                  <c:v>34.405743005453303</c:v>
                </c:pt>
                <c:pt idx="12">
                  <c:v>63.720325547244641</c:v>
                </c:pt>
              </c:numCache>
            </c:numRef>
          </c:xVal>
          <c:yVal>
            <c:numRef>
              <c:f>Bifilar!$B$6:$B$18</c:f>
              <c:numCache>
                <c:formatCode>General</c:formatCode>
                <c:ptCount val="13"/>
                <c:pt idx="0">
                  <c:v>-15.327938048894277</c:v>
                </c:pt>
                <c:pt idx="1">
                  <c:v>-4.7353288896159418</c:v>
                </c:pt>
                <c:pt idx="2">
                  <c:v>-1.0877532211300112</c:v>
                </c:pt>
                <c:pt idx="3">
                  <c:v>0.64316475086219882</c:v>
                </c:pt>
                <c:pt idx="4">
                  <c:v>1.5562598146349114</c:v>
                </c:pt>
                <c:pt idx="5">
                  <c:v>2.0191539281183868</c:v>
                </c:pt>
                <c:pt idx="6">
                  <c:v>2.1733366848737927</c:v>
                </c:pt>
                <c:pt idx="7">
                  <c:v>2.0599363342287766</c:v>
                </c:pt>
                <c:pt idx="8">
                  <c:v>1.6489843467845924</c:v>
                </c:pt>
                <c:pt idx="9">
                  <c:v>0.81842175989368393</c:v>
                </c:pt>
                <c:pt idx="10">
                  <c:v>-0.74949844253475673</c:v>
                </c:pt>
                <c:pt idx="11">
                  <c:v>-3.9710719380838575</c:v>
                </c:pt>
                <c:pt idx="12">
                  <c:v>-12.668908851764344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BB-4EEC-B385-783A62CAF572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Bifilar!$U$8:$U$16</c:f>
              <c:numCache>
                <c:formatCode>General</c:formatCode>
                <c:ptCount val="9"/>
                <c:pt idx="0">
                  <c:v>-107.80053096898055</c:v>
                </c:pt>
                <c:pt idx="1">
                  <c:v>-39.860664313321301</c:v>
                </c:pt>
                <c:pt idx="2">
                  <c:v>-20.028917539316105</c:v>
                </c:pt>
                <c:pt idx="3">
                  <c:v>-9.0260946892023917</c:v>
                </c:pt>
                <c:pt idx="4">
                  <c:v>-0.5994569764374833</c:v>
                </c:pt>
                <c:pt idx="5">
                  <c:v>7.6785050023496844</c:v>
                </c:pt>
                <c:pt idx="6">
                  <c:v>18.067814953496928</c:v>
                </c:pt>
                <c:pt idx="7">
                  <c:v>35.741628094993239</c:v>
                </c:pt>
                <c:pt idx="8">
                  <c:v>88.005858428302005</c:v>
                </c:pt>
              </c:numCache>
            </c:numRef>
          </c:xVal>
          <c:yVal>
            <c:numRef>
              <c:f>Bifilar!$V$8:$V$16</c:f>
              <c:numCache>
                <c:formatCode>General</c:formatCode>
                <c:ptCount val="9"/>
                <c:pt idx="0">
                  <c:v>45.544280673266691</c:v>
                </c:pt>
                <c:pt idx="1">
                  <c:v>24.41659614769484</c:v>
                </c:pt>
                <c:pt idx="2">
                  <c:v>19.260748225548987</c:v>
                </c:pt>
                <c:pt idx="3">
                  <c:v>17.315119139797126</c:v>
                </c:pt>
                <c:pt idx="4">
                  <c:v>16.73928271332279</c:v>
                </c:pt>
                <c:pt idx="5">
                  <c:v>17.159621829278308</c:v>
                </c:pt>
                <c:pt idx="6">
                  <c:v>18.842229584042837</c:v>
                </c:pt>
                <c:pt idx="7">
                  <c:v>23.252408074203153</c:v>
                </c:pt>
                <c:pt idx="8">
                  <c:v>39.216077891434452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B3-4F7A-9D13-5E03022D5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611656"/>
        <c:axId val="597610672"/>
      </c:scatterChart>
      <c:valAx>
        <c:axId val="597611656"/>
        <c:scaling>
          <c:orientation val="minMax"/>
          <c:max val="140"/>
          <c:min val="-1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610672"/>
        <c:crosses val="autoZero"/>
        <c:crossBetween val="midCat"/>
        <c:majorUnit val="10"/>
      </c:valAx>
      <c:valAx>
        <c:axId val="597610672"/>
        <c:scaling>
          <c:orientation val="minMax"/>
          <c:max val="5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61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Nazanin" panose="00000400000000000000" pitchFamily="2" charset="-78"/>
              </a:rPr>
              <a:t>ساعت خورشیدی</a:t>
            </a:r>
            <a:endParaRPr lang="en-US">
              <a:cs typeface="B Nazanin" panose="000004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VectorDial!$A$12:$A$22</c:f>
              <c:numCache>
                <c:formatCode>General</c:formatCode>
                <c:ptCount val="11"/>
                <c:pt idx="0">
                  <c:v>-21.640417180241187</c:v>
                </c:pt>
                <c:pt idx="1">
                  <c:v>-13.559046086435936</c:v>
                </c:pt>
                <c:pt idx="2">
                  <c:v>-8.8293518458848617</c:v>
                </c:pt>
                <c:pt idx="3">
                  <c:v>-5.4482821140878102</c:v>
                </c:pt>
                <c:pt idx="4">
                  <c:v>-2.6864652715698982</c:v>
                </c:pt>
                <c:pt idx="5">
                  <c:v>-0.18353265941610256</c:v>
                </c:pt>
                <c:pt idx="6">
                  <c:v>2.3027051057602068</c:v>
                </c:pt>
                <c:pt idx="7">
                  <c:v>5.0075137376712577</c:v>
                </c:pt>
                <c:pt idx="8">
                  <c:v>8.2634717978565746</c:v>
                </c:pt>
                <c:pt idx="9">
                  <c:v>12.715219315979699</c:v>
                </c:pt>
                <c:pt idx="10">
                  <c:v>20.046133672080426</c:v>
                </c:pt>
              </c:numCache>
            </c:numRef>
          </c:xVal>
          <c:yVal>
            <c:numRef>
              <c:f>VectorDial!$B$12:$B$22</c:f>
              <c:numCache>
                <c:formatCode>General</c:formatCode>
                <c:ptCount val="11"/>
                <c:pt idx="0">
                  <c:v>-4.7245148936967727</c:v>
                </c:pt>
                <c:pt idx="1">
                  <c:v>-1.0856509931818819</c:v>
                </c:pt>
                <c:pt idx="2">
                  <c:v>0.64338372274537337</c:v>
                </c:pt>
                <c:pt idx="3">
                  <c:v>1.5559163627589956</c:v>
                </c:pt>
                <c:pt idx="4">
                  <c:v>2.0186193609390068</c:v>
                </c:pt>
                <c:pt idx="5">
                  <c:v>2.17275122860715</c:v>
                </c:pt>
                <c:pt idx="6">
                  <c:v>2.0593845481267006</c:v>
                </c:pt>
                <c:pt idx="7">
                  <c:v>1.6485908749803959</c:v>
                </c:pt>
                <c:pt idx="8">
                  <c:v>0.81850053757351515</c:v>
                </c:pt>
                <c:pt idx="9">
                  <c:v>-0.74787701337063672</c:v>
                </c:pt>
                <c:pt idx="10">
                  <c:v>-3.962741630893738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1-4923-B854-71B8B9C8547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VectorDial!$C$12:$C$22</c:f>
              <c:numCache>
                <c:formatCode>General</c:formatCode>
                <c:ptCount val="11"/>
                <c:pt idx="0">
                  <c:v>-38.319238267746556</c:v>
                </c:pt>
                <c:pt idx="1">
                  <c:v>-19.43679546493437</c:v>
                </c:pt>
                <c:pt idx="2">
                  <c:v>-11.603315132241089</c:v>
                </c:pt>
                <c:pt idx="3">
                  <c:v>-6.8581204451408402</c:v>
                </c:pt>
                <c:pt idx="4">
                  <c:v>-3.3106008763125634</c:v>
                </c:pt>
                <c:pt idx="5">
                  <c:v>-0.22457376837990825</c:v>
                </c:pt>
                <c:pt idx="6">
                  <c:v>2.8314010821015492</c:v>
                </c:pt>
                <c:pt idx="7">
                  <c:v>6.2712480764732002</c:v>
                </c:pt>
                <c:pt idx="8">
                  <c:v>10.752793043480931</c:v>
                </c:pt>
                <c:pt idx="9">
                  <c:v>17.861854821661854</c:v>
                </c:pt>
                <c:pt idx="10">
                  <c:v>33.64329062938203</c:v>
                </c:pt>
              </c:numCache>
            </c:numRef>
          </c:xVal>
          <c:yVal>
            <c:numRef>
              <c:f>VectorDial!$D$12:$D$22</c:f>
              <c:numCache>
                <c:formatCode>General</c:formatCode>
                <c:ptCount val="11"/>
                <c:pt idx="0">
                  <c:v>2.3441179265265704</c:v>
                </c:pt>
                <c:pt idx="1">
                  <c:v>4.462633931617825</c:v>
                </c:pt>
                <c:pt idx="2">
                  <c:v>5.2074298333594724</c:v>
                </c:pt>
                <c:pt idx="3">
                  <c:v>5.5513236650772306</c:v>
                </c:pt>
                <c:pt idx="4">
                  <c:v>5.7133968765272831</c:v>
                </c:pt>
                <c:pt idx="5">
                  <c:v>5.7635605113788309</c:v>
                </c:pt>
                <c:pt idx="6">
                  <c:v>5.7201385341309363</c:v>
                </c:pt>
                <c:pt idx="7">
                  <c:v>5.5685711240273887</c:v>
                </c:pt>
                <c:pt idx="8">
                  <c:v>5.2474125933015952</c:v>
                </c:pt>
                <c:pt idx="9">
                  <c:v>4.5691352207516518</c:v>
                </c:pt>
                <c:pt idx="10">
                  <c:v>2.7721888119281513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D1-4923-B854-71B8B9C8547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VectorDial!$E$12:$E$22</c:f>
              <c:numCache>
                <c:formatCode>General</c:formatCode>
                <c:ptCount val="11"/>
                <c:pt idx="0">
                  <c:v>-30.915289280534026</c:v>
                </c:pt>
                <c:pt idx="1">
                  <c:v>-17.126764041748935</c:v>
                </c:pt>
                <c:pt idx="2">
                  <c:v>-10.5693155481668</c:v>
                </c:pt>
                <c:pt idx="3">
                  <c:v>-6.3463930624325151</c:v>
                </c:pt>
                <c:pt idx="4">
                  <c:v>-3.0869757005013665</c:v>
                </c:pt>
                <c:pt idx="5">
                  <c:v>-0.20992685027987479</c:v>
                </c:pt>
                <c:pt idx="6">
                  <c:v>2.6420136928211799</c:v>
                </c:pt>
                <c:pt idx="7">
                  <c:v>5.8129484394440709</c:v>
                </c:pt>
                <c:pt idx="8">
                  <c:v>9.8273792405415552</c:v>
                </c:pt>
                <c:pt idx="9">
                  <c:v>15.854763846994109</c:v>
                </c:pt>
                <c:pt idx="10">
                  <c:v>27.754531940603545</c:v>
                </c:pt>
              </c:numCache>
            </c:numRef>
          </c:xVal>
          <c:yVal>
            <c:numRef>
              <c:f>VectorDial!$F$12:$F$22</c:f>
              <c:numCache>
                <c:formatCode>General</c:formatCode>
                <c:ptCount val="11"/>
                <c:pt idx="0">
                  <c:v>-0.80039280275395486</c:v>
                </c:pt>
                <c:pt idx="1">
                  <c:v>2.2793573589558278</c:v>
                </c:pt>
                <c:pt idx="2">
                  <c:v>3.5044361383376805</c:v>
                </c:pt>
                <c:pt idx="3">
                  <c:v>4.0997849329891904</c:v>
                </c:pt>
                <c:pt idx="4">
                  <c:v>4.3884271530472923</c:v>
                </c:pt>
                <c:pt idx="5">
                  <c:v>4.4809725733534966</c:v>
                </c:pt>
                <c:pt idx="6">
                  <c:v>4.4076678134743172</c:v>
                </c:pt>
                <c:pt idx="7">
                  <c:v>4.1456802615680708</c:v>
                </c:pt>
                <c:pt idx="8">
                  <c:v>3.5993000749981032</c:v>
                </c:pt>
                <c:pt idx="9">
                  <c:v>2.4931072977977391</c:v>
                </c:pt>
                <c:pt idx="10">
                  <c:v>-0.15006250572387456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D1-4923-B854-71B8B9C8547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VectorDial!$G$12:$G$22</c:f>
              <c:numCache>
                <c:formatCode>General</c:formatCode>
                <c:ptCount val="11"/>
                <c:pt idx="0">
                  <c:v>-26.575922281327138</c:v>
                </c:pt>
                <c:pt idx="1">
                  <c:v>-15.56493135462555</c:v>
                </c:pt>
                <c:pt idx="2">
                  <c:v>-9.8299959422860166</c:v>
                </c:pt>
                <c:pt idx="3">
                  <c:v>-5.9704920851056515</c:v>
                </c:pt>
                <c:pt idx="4">
                  <c:v>-2.9205531888618448</c:v>
                </c:pt>
                <c:pt idx="5">
                  <c:v>-0.19898117829730999</c:v>
                </c:pt>
                <c:pt idx="6">
                  <c:v>2.500949911973755</c:v>
                </c:pt>
                <c:pt idx="7">
                  <c:v>5.4755755548974188</c:v>
                </c:pt>
                <c:pt idx="8">
                  <c:v>9.1626326590570049</c:v>
                </c:pt>
                <c:pt idx="9">
                  <c:v>14.482966398125779</c:v>
                </c:pt>
                <c:pt idx="10">
                  <c:v>24.185027664455706</c:v>
                </c:pt>
              </c:numCache>
            </c:numRef>
          </c:xVal>
          <c:yVal>
            <c:numRef>
              <c:f>VectorDial!$H$12:$H$22</c:f>
              <c:numCache>
                <c:formatCode>General</c:formatCode>
                <c:ptCount val="11"/>
                <c:pt idx="0">
                  <c:v>-2.6388464614337166</c:v>
                </c:pt>
                <c:pt idx="1">
                  <c:v>0.80509786124036031</c:v>
                </c:pt>
                <c:pt idx="2">
                  <c:v>2.28798820982243</c:v>
                </c:pt>
                <c:pt idx="3">
                  <c:v>3.0344573280164462</c:v>
                </c:pt>
                <c:pt idx="4">
                  <c:v>3.4031884943445325</c:v>
                </c:pt>
                <c:pt idx="5">
                  <c:v>3.5232581391259714</c:v>
                </c:pt>
                <c:pt idx="6">
                  <c:v>3.4308802056649306</c:v>
                </c:pt>
                <c:pt idx="7">
                  <c:v>3.0991384454536117</c:v>
                </c:pt>
                <c:pt idx="8">
                  <c:v>2.4165708042563097</c:v>
                </c:pt>
                <c:pt idx="9">
                  <c:v>1.0759085675983777</c:v>
                </c:pt>
                <c:pt idx="10">
                  <c:v>-1.9177119134670269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D1-4923-B854-71B8B9C8547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VectorDial!$I$12:$I$22</c:f>
              <c:numCache>
                <c:formatCode>General</c:formatCode>
                <c:ptCount val="11"/>
                <c:pt idx="0">
                  <c:v>-23.687208117396761</c:v>
                </c:pt>
                <c:pt idx="1">
                  <c:v>-14.422984996542477</c:v>
                </c:pt>
                <c:pt idx="2">
                  <c:v>-9.2674156664837852</c:v>
                </c:pt>
                <c:pt idx="3">
                  <c:v>-5.6787042284761231</c:v>
                </c:pt>
                <c:pt idx="4">
                  <c:v>-2.790113573232881</c:v>
                </c:pt>
                <c:pt idx="5">
                  <c:v>-0.19037647200583521</c:v>
                </c:pt>
                <c:pt idx="6">
                  <c:v>2.3903553588242388</c:v>
                </c:pt>
                <c:pt idx="7">
                  <c:v>5.2134700451191476</c:v>
                </c:pt>
                <c:pt idx="8">
                  <c:v>8.6556384439931513</c:v>
                </c:pt>
                <c:pt idx="9">
                  <c:v>13.473777263392382</c:v>
                </c:pt>
                <c:pt idx="10">
                  <c:v>21.762405523467791</c:v>
                </c:pt>
              </c:numCache>
            </c:numRef>
          </c:xVal>
          <c:yVal>
            <c:numRef>
              <c:f>VectorDial!$J$12:$J$22</c:f>
              <c:numCache>
                <c:formatCode>General</c:formatCode>
                <c:ptCount val="11"/>
                <c:pt idx="0">
                  <c:v>-3.8602593911245022</c:v>
                </c:pt>
                <c:pt idx="1">
                  <c:v>-0.2716389509310666</c:v>
                </c:pt>
                <c:pt idx="2">
                  <c:v>1.3631342112687768</c:v>
                </c:pt>
                <c:pt idx="3">
                  <c:v>2.208135051823862</c:v>
                </c:pt>
                <c:pt idx="4">
                  <c:v>2.6315158705341193</c:v>
                </c:pt>
                <c:pt idx="5">
                  <c:v>2.7708885156789074</c:v>
                </c:pt>
                <c:pt idx="6">
                  <c:v>2.665610924792424</c:v>
                </c:pt>
                <c:pt idx="7">
                  <c:v>2.2866843035751838</c:v>
                </c:pt>
                <c:pt idx="8">
                  <c:v>1.515274459258056</c:v>
                </c:pt>
                <c:pt idx="9">
                  <c:v>3.440983734183873E-2</c:v>
                </c:pt>
                <c:pt idx="10">
                  <c:v>-3.1153304876040173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D1-4923-B854-71B8B9C8547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VectorDial!$K$12:$K$22</c:f>
              <c:numCache>
                <c:formatCode>General</c:formatCode>
                <c:ptCount val="11"/>
                <c:pt idx="0">
                  <c:v>-49.689663087584854</c:v>
                </c:pt>
                <c:pt idx="1">
                  <c:v>-22.336231061789455</c:v>
                </c:pt>
                <c:pt idx="2">
                  <c:v>-12.817396641028768</c:v>
                </c:pt>
                <c:pt idx="3">
                  <c:v>-7.4425620921638069</c:v>
                </c:pt>
                <c:pt idx="4">
                  <c:v>-3.5634528093751778</c:v>
                </c:pt>
                <c:pt idx="5">
                  <c:v>-0.24114866589925263</c:v>
                </c:pt>
                <c:pt idx="6">
                  <c:v>3.0478509114260759</c:v>
                </c:pt>
                <c:pt idx="7">
                  <c:v>6.8058394110093126</c:v>
                </c:pt>
                <c:pt idx="8">
                  <c:v>11.872880446143377</c:v>
                </c:pt>
                <c:pt idx="9">
                  <c:v>20.472292504647562</c:v>
                </c:pt>
                <c:pt idx="10">
                  <c:v>42.840376347011095</c:v>
                </c:pt>
              </c:numCache>
            </c:numRef>
          </c:xVal>
          <c:yVal>
            <c:numRef>
              <c:f>VectorDial!$L$12:$L$22</c:f>
              <c:numCache>
                <c:formatCode>General</c:formatCode>
                <c:ptCount val="11"/>
                <c:pt idx="0">
                  <c:v>7.1823665490190001</c:v>
                </c:pt>
                <c:pt idx="1">
                  <c:v>7.2045720710469938</c:v>
                </c:pt>
                <c:pt idx="2">
                  <c:v>7.2077799396307238</c:v>
                </c:pt>
                <c:pt idx="3">
                  <c:v>7.2096433717669841</c:v>
                </c:pt>
                <c:pt idx="4">
                  <c:v>7.2119693459731478</c:v>
                </c:pt>
                <c:pt idx="5">
                  <c:v>7.2153891928383738</c:v>
                </c:pt>
                <c:pt idx="6">
                  <c:v>7.2206005367848816</c:v>
                </c:pt>
                <c:pt idx="7">
                  <c:v>7.2288723331171871</c:v>
                </c:pt>
                <c:pt idx="8">
                  <c:v>7.2430226798714701</c:v>
                </c:pt>
                <c:pt idx="9">
                  <c:v>7.2708076528931462</c:v>
                </c:pt>
                <c:pt idx="10">
                  <c:v>7.3432112902712223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D1-4923-B854-71B8B9C85476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VectorDial!$O$12:$O$22</c:f>
              <c:numCache>
                <c:formatCode>General</c:formatCode>
                <c:ptCount val="11"/>
                <c:pt idx="0">
                  <c:v>-121.12259654049325</c:v>
                </c:pt>
                <c:pt idx="1">
                  <c:v>-31.77540043143614</c:v>
                </c:pt>
                <c:pt idx="2">
                  <c:v>-16.170629951290511</c:v>
                </c:pt>
                <c:pt idx="3">
                  <c:v>-8.9452830350274013</c:v>
                </c:pt>
                <c:pt idx="4">
                  <c:v>-4.1909917058738113</c:v>
                </c:pt>
                <c:pt idx="5">
                  <c:v>-0.28168105237294472</c:v>
                </c:pt>
                <c:pt idx="6">
                  <c:v>3.5781729712695882</c:v>
                </c:pt>
                <c:pt idx="7">
                  <c:v>8.1442334560545078</c:v>
                </c:pt>
                <c:pt idx="8">
                  <c:v>14.83475486496784</c:v>
                </c:pt>
                <c:pt idx="9">
                  <c:v>28.369980454579849</c:v>
                </c:pt>
                <c:pt idx="10">
                  <c:v>88.3913736694074</c:v>
                </c:pt>
              </c:numCache>
            </c:numRef>
          </c:xVal>
          <c:yVal>
            <c:numRef>
              <c:f>VectorDial!$P$12:$P$22</c:f>
              <c:numCache>
                <c:formatCode>General</c:formatCode>
                <c:ptCount val="11"/>
                <c:pt idx="0">
                  <c:v>37.819321154462351</c:v>
                </c:pt>
                <c:pt idx="1">
                  <c:v>16.155769560690217</c:v>
                </c:pt>
                <c:pt idx="2">
                  <c:v>12.744467106724814</c:v>
                </c:pt>
                <c:pt idx="3">
                  <c:v>11.481656872078123</c:v>
                </c:pt>
                <c:pt idx="4">
                  <c:v>10.937881579125943</c:v>
                </c:pt>
                <c:pt idx="5">
                  <c:v>10.771965904634353</c:v>
                </c:pt>
                <c:pt idx="6">
                  <c:v>10.903434528178625</c:v>
                </c:pt>
                <c:pt idx="7">
                  <c:v>11.393375618163878</c:v>
                </c:pt>
                <c:pt idx="8">
                  <c:v>12.531035125878379</c:v>
                </c:pt>
                <c:pt idx="9">
                  <c:v>15.465805165713576</c:v>
                </c:pt>
                <c:pt idx="10">
                  <c:v>30.116460584276734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D1-4923-B854-71B8B9C85476}"/>
            </c:ext>
          </c:extLst>
        </c:ser>
        <c:ser>
          <c:idx val="9"/>
          <c:order val="7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VectorDial!$S$12:$S$22</c:f>
              <c:numCache>
                <c:formatCode>General</c:formatCode>
                <c:ptCount val="11"/>
                <c:pt idx="1">
                  <c:v>-48.611409788677015</c:v>
                </c:pt>
                <c:pt idx="2">
                  <c:v>-20.596313523880948</c:v>
                </c:pt>
                <c:pt idx="3">
                  <c:v>-10.724099198183529</c:v>
                </c:pt>
                <c:pt idx="4">
                  <c:v>-4.8997032278980877</c:v>
                </c:pt>
                <c:pt idx="5">
                  <c:v>-0.3267771281103426</c:v>
                </c:pt>
                <c:pt idx="6">
                  <c:v>4.1742049170684634</c:v>
                </c:pt>
                <c:pt idx="7">
                  <c:v>9.7102298022815923</c:v>
                </c:pt>
                <c:pt idx="8">
                  <c:v>18.645453141228717</c:v>
                </c:pt>
                <c:pt idx="9">
                  <c:v>41.432239264203737</c:v>
                </c:pt>
                <c:pt idx="10">
                  <c:v>546.32565767597725</c:v>
                </c:pt>
              </c:numCache>
            </c:numRef>
          </c:xVal>
          <c:yVal>
            <c:numRef>
              <c:f>VectorDial!$T$12:$T$22</c:f>
              <c:numCache>
                <c:formatCode>General</c:formatCode>
                <c:ptCount val="11"/>
                <c:pt idx="1">
                  <c:v>32.166063911268644</c:v>
                </c:pt>
                <c:pt idx="2">
                  <c:v>20.065027801742705</c:v>
                </c:pt>
                <c:pt idx="3">
                  <c:v>16.546370436972801</c:v>
                </c:pt>
                <c:pt idx="4">
                  <c:v>15.151827272811028</c:v>
                </c:pt>
                <c:pt idx="5">
                  <c:v>14.734590072343135</c:v>
                </c:pt>
                <c:pt idx="6">
                  <c:v>15.048545947380829</c:v>
                </c:pt>
                <c:pt idx="7">
                  <c:v>16.273499522794911</c:v>
                </c:pt>
                <c:pt idx="8">
                  <c:v>19.346322046507268</c:v>
                </c:pt>
                <c:pt idx="9">
                  <c:v>29.053805473785214</c:v>
                </c:pt>
                <c:pt idx="10">
                  <c:v>262.09586832133397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D1-4923-B854-71B8B9C85476}"/>
            </c:ext>
          </c:extLst>
        </c:ser>
        <c:ser>
          <c:idx val="10"/>
          <c:order val="8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VectorDial!$U$14:$U$21</c:f>
              <c:numCache>
                <c:formatCode>General</c:formatCode>
                <c:ptCount val="8"/>
                <c:pt idx="0">
                  <c:v>-23.172345731034209</c:v>
                </c:pt>
                <c:pt idx="1">
                  <c:v>-11.665132030148568</c:v>
                </c:pt>
                <c:pt idx="2">
                  <c:v>-5.2598957852321684</c:v>
                </c:pt>
                <c:pt idx="3">
                  <c:v>-0.34938340825674258</c:v>
                </c:pt>
                <c:pt idx="4">
                  <c:v>4.4748179284137208</c:v>
                </c:pt>
                <c:pt idx="5">
                  <c:v>10.52449347141593</c:v>
                </c:pt>
                <c:pt idx="6">
                  <c:v>20.788244596776696</c:v>
                </c:pt>
                <c:pt idx="7">
                  <c:v>50.76207496686704</c:v>
                </c:pt>
              </c:numCache>
            </c:numRef>
          </c:xVal>
          <c:yVal>
            <c:numRef>
              <c:f>VectorDial!$V$14:$V$21</c:f>
              <c:numCache>
                <c:formatCode>General</c:formatCode>
                <c:ptCount val="8"/>
                <c:pt idx="0">
                  <c:v>24.331277368916737</c:v>
                </c:pt>
                <c:pt idx="1">
                  <c:v>19.22848489109348</c:v>
                </c:pt>
                <c:pt idx="2">
                  <c:v>17.295585477302243</c:v>
                </c:pt>
                <c:pt idx="3">
                  <c:v>16.722917384331488</c:v>
                </c:pt>
                <c:pt idx="4">
                  <c:v>17.141192353352864</c:v>
                </c:pt>
                <c:pt idx="5">
                  <c:v>18.813603984789609</c:v>
                </c:pt>
                <c:pt idx="6">
                  <c:v>23.183177826670285</c:v>
                </c:pt>
                <c:pt idx="7">
                  <c:v>38.777815953730745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4D1-4923-B854-71B8B9C85476}"/>
            </c:ext>
          </c:extLst>
        </c:ser>
        <c:ser>
          <c:idx val="8"/>
          <c:order val="9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VectorDial!$Q$12:$Q$22</c:f>
              <c:numCache>
                <c:formatCode>General</c:formatCode>
                <c:ptCount val="11"/>
                <c:pt idx="0">
                  <c:v>-323.39181571919329</c:v>
                </c:pt>
                <c:pt idx="1">
                  <c:v>-39.224239914815954</c:v>
                </c:pt>
                <c:pt idx="2">
                  <c:v>-18.328477551550154</c:v>
                </c:pt>
                <c:pt idx="3">
                  <c:v>-9.8394914759703838</c:v>
                </c:pt>
                <c:pt idx="4">
                  <c:v>-4.5517531032864778</c:v>
                </c:pt>
                <c:pt idx="5">
                  <c:v>-0.3047277101984312</c:v>
                </c:pt>
                <c:pt idx="6">
                  <c:v>3.882013123788159</c:v>
                </c:pt>
                <c:pt idx="7">
                  <c:v>8.9342078034191612</c:v>
                </c:pt>
                <c:pt idx="8">
                  <c:v>16.707539689961919</c:v>
                </c:pt>
                <c:pt idx="9">
                  <c:v>34.30723868620538</c:v>
                </c:pt>
                <c:pt idx="10">
                  <c:v>166.38490486124419</c:v>
                </c:pt>
              </c:numCache>
            </c:numRef>
          </c:xVal>
          <c:yVal>
            <c:numRef>
              <c:f>VectorDial!$R$12:$R$22</c:f>
              <c:numCache>
                <c:formatCode>General</c:formatCode>
                <c:ptCount val="11"/>
                <c:pt idx="0">
                  <c:v>125.45672724897068</c:v>
                </c:pt>
                <c:pt idx="1">
                  <c:v>23.233610135683065</c:v>
                </c:pt>
                <c:pt idx="2">
                  <c:v>16.31227111506384</c:v>
                </c:pt>
                <c:pt idx="3">
                  <c:v>14.026801970948545</c:v>
                </c:pt>
                <c:pt idx="4">
                  <c:v>13.082259509608868</c:v>
                </c:pt>
                <c:pt idx="5">
                  <c:v>12.796464690569104</c:v>
                </c:pt>
                <c:pt idx="6">
                  <c:v>13.015826572944905</c:v>
                </c:pt>
                <c:pt idx="7">
                  <c:v>13.854341107539666</c:v>
                </c:pt>
                <c:pt idx="8">
                  <c:v>15.879082063346708</c:v>
                </c:pt>
                <c:pt idx="9">
                  <c:v>21.637805086095117</c:v>
                </c:pt>
                <c:pt idx="10">
                  <c:v>69.372340876493283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4D1-4923-B854-71B8B9C85476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VectorDial!$U$13:$U$22</c:f>
              <c:numCache>
                <c:formatCode>General</c:formatCode>
                <c:ptCount val="10"/>
                <c:pt idx="0">
                  <c:v>-61.901792365738046</c:v>
                </c:pt>
                <c:pt idx="1">
                  <c:v>-23.172345731034209</c:v>
                </c:pt>
                <c:pt idx="2">
                  <c:v>-11.665132030148568</c:v>
                </c:pt>
                <c:pt idx="3">
                  <c:v>-5.2598957852321684</c:v>
                </c:pt>
                <c:pt idx="4">
                  <c:v>-0.34938340825674258</c:v>
                </c:pt>
                <c:pt idx="5">
                  <c:v>4.4748179284137208</c:v>
                </c:pt>
                <c:pt idx="6">
                  <c:v>10.52449347141593</c:v>
                </c:pt>
                <c:pt idx="7">
                  <c:v>20.788244596776696</c:v>
                </c:pt>
                <c:pt idx="8">
                  <c:v>50.76207496686704</c:v>
                </c:pt>
              </c:numCache>
            </c:numRef>
          </c:xVal>
          <c:yVal>
            <c:numRef>
              <c:f>VectorDial!$V$13:$V$22</c:f>
              <c:numCache>
                <c:formatCode>General</c:formatCode>
                <c:ptCount val="10"/>
                <c:pt idx="0">
                  <c:v>44.832882197179117</c:v>
                </c:pt>
                <c:pt idx="1">
                  <c:v>24.331277368916737</c:v>
                </c:pt>
                <c:pt idx="2">
                  <c:v>19.22848489109348</c:v>
                </c:pt>
                <c:pt idx="3">
                  <c:v>17.295585477302243</c:v>
                </c:pt>
                <c:pt idx="4">
                  <c:v>16.722917384331488</c:v>
                </c:pt>
                <c:pt idx="5">
                  <c:v>17.141192353352864</c:v>
                </c:pt>
                <c:pt idx="6">
                  <c:v>18.813603984789609</c:v>
                </c:pt>
                <c:pt idx="7">
                  <c:v>23.183177826670285</c:v>
                </c:pt>
                <c:pt idx="8">
                  <c:v>38.777815953730745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4D1-4923-B854-71B8B9C85476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VectorDial!$W$13:$W$21</c:f>
              <c:numCache>
                <c:formatCode>General</c:formatCode>
                <c:ptCount val="9"/>
              </c:numCache>
            </c:numRef>
          </c:xVal>
          <c:yVal>
            <c:numRef>
              <c:f>VectorDial!$X$13:$X$21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4D1-4923-B854-71B8B9C85476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VectorDial!$C$25:$C$33</c:f>
              <c:numCache>
                <c:formatCode>General</c:formatCode>
                <c:ptCount val="9"/>
                <c:pt idx="0">
                  <c:v>-21.640417180241187</c:v>
                </c:pt>
                <c:pt idx="1">
                  <c:v>-38.319238267746556</c:v>
                </c:pt>
                <c:pt idx="2">
                  <c:v>-30.915289280534026</c:v>
                </c:pt>
                <c:pt idx="3">
                  <c:v>-26.575922281327138</c:v>
                </c:pt>
                <c:pt idx="4">
                  <c:v>-23.687208117396761</c:v>
                </c:pt>
                <c:pt idx="5">
                  <c:v>-49.689663087584854</c:v>
                </c:pt>
                <c:pt idx="6">
                  <c:v>-69.11834904463764</c:v>
                </c:pt>
                <c:pt idx="7">
                  <c:v>-121.12259654049325</c:v>
                </c:pt>
                <c:pt idx="8">
                  <c:v>-323.39181571919329</c:v>
                </c:pt>
              </c:numCache>
            </c:numRef>
          </c:xVal>
          <c:yVal>
            <c:numRef>
              <c:f>VectorDial!$D$25:$D$33</c:f>
              <c:numCache>
                <c:formatCode>General</c:formatCode>
                <c:ptCount val="9"/>
                <c:pt idx="0">
                  <c:v>-4.7245148936967727</c:v>
                </c:pt>
                <c:pt idx="1">
                  <c:v>2.3441179265265704</c:v>
                </c:pt>
                <c:pt idx="2">
                  <c:v>-0.80039280275395486</c:v>
                </c:pt>
                <c:pt idx="3">
                  <c:v>-2.6388464614337166</c:v>
                </c:pt>
                <c:pt idx="4">
                  <c:v>-3.8602593911245022</c:v>
                </c:pt>
                <c:pt idx="5">
                  <c:v>7.1823665490190001</c:v>
                </c:pt>
                <c:pt idx="6">
                  <c:v>15.483404536980562</c:v>
                </c:pt>
                <c:pt idx="7">
                  <c:v>37.819321154462351</c:v>
                </c:pt>
                <c:pt idx="8">
                  <c:v>125.45672724897068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4D1-4923-B854-71B8B9C85476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VectorDial!$E$25:$E$36</c:f>
              <c:numCache>
                <c:formatCode>General</c:formatCode>
                <c:ptCount val="12"/>
                <c:pt idx="0">
                  <c:v>-13.559046086435936</c:v>
                </c:pt>
                <c:pt idx="1">
                  <c:v>-19.43679546493437</c:v>
                </c:pt>
                <c:pt idx="2">
                  <c:v>-17.126764041748935</c:v>
                </c:pt>
                <c:pt idx="3">
                  <c:v>-15.56493135462555</c:v>
                </c:pt>
                <c:pt idx="4">
                  <c:v>-14.422984996542477</c:v>
                </c:pt>
                <c:pt idx="5">
                  <c:v>-22.336231061789455</c:v>
                </c:pt>
                <c:pt idx="6">
                  <c:v>-26.001429884328012</c:v>
                </c:pt>
                <c:pt idx="7">
                  <c:v>-31.77540043143614</c:v>
                </c:pt>
                <c:pt idx="8">
                  <c:v>-39.224239914815954</c:v>
                </c:pt>
                <c:pt idx="9">
                  <c:v>-48.611409788677015</c:v>
                </c:pt>
                <c:pt idx="10">
                  <c:v>-61.901792365738046</c:v>
                </c:pt>
              </c:numCache>
            </c:numRef>
          </c:xVal>
          <c:yVal>
            <c:numRef>
              <c:f>VectorDial!$F$25:$F$36</c:f>
              <c:numCache>
                <c:formatCode>General</c:formatCode>
                <c:ptCount val="12"/>
                <c:pt idx="0">
                  <c:v>-1.0856509931818819</c:v>
                </c:pt>
                <c:pt idx="1">
                  <c:v>4.462633931617825</c:v>
                </c:pt>
                <c:pt idx="2">
                  <c:v>2.2793573589558278</c:v>
                </c:pt>
                <c:pt idx="3">
                  <c:v>0.80509786124036031</c:v>
                </c:pt>
                <c:pt idx="4">
                  <c:v>-0.2716389509310666</c:v>
                </c:pt>
                <c:pt idx="5">
                  <c:v>7.2045720710469938</c:v>
                </c:pt>
                <c:pt idx="6">
                  <c:v>10.677363305454836</c:v>
                </c:pt>
                <c:pt idx="7">
                  <c:v>16.155769560690217</c:v>
                </c:pt>
                <c:pt idx="8">
                  <c:v>23.233610135683065</c:v>
                </c:pt>
                <c:pt idx="9">
                  <c:v>32.166063911268644</c:v>
                </c:pt>
                <c:pt idx="10">
                  <c:v>44.832882197179117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4D1-4923-B854-71B8B9C85476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VectorDial!$G$25:$G$36</c:f>
              <c:numCache>
                <c:formatCode>General</c:formatCode>
                <c:ptCount val="12"/>
                <c:pt idx="0">
                  <c:v>-8.8293518458848617</c:v>
                </c:pt>
                <c:pt idx="1">
                  <c:v>-11.603315132241089</c:v>
                </c:pt>
                <c:pt idx="2">
                  <c:v>-10.5693155481668</c:v>
                </c:pt>
                <c:pt idx="3">
                  <c:v>-9.8299959422860166</c:v>
                </c:pt>
                <c:pt idx="4">
                  <c:v>-9.2674156664837852</c:v>
                </c:pt>
                <c:pt idx="5">
                  <c:v>-12.817396641028768</c:v>
                </c:pt>
                <c:pt idx="6">
                  <c:v>-14.215749069377795</c:v>
                </c:pt>
                <c:pt idx="7">
                  <c:v>-16.170629951290511</c:v>
                </c:pt>
                <c:pt idx="8">
                  <c:v>-18.328477551550154</c:v>
                </c:pt>
                <c:pt idx="9">
                  <c:v>-20.596313523880948</c:v>
                </c:pt>
                <c:pt idx="10">
                  <c:v>-23.172345731034209</c:v>
                </c:pt>
              </c:numCache>
            </c:numRef>
          </c:xVal>
          <c:yVal>
            <c:numRef>
              <c:f>VectorDial!$H$25:$H$36</c:f>
              <c:numCache>
                <c:formatCode>General</c:formatCode>
                <c:ptCount val="12"/>
                <c:pt idx="0">
                  <c:v>0.64338372274537337</c:v>
                </c:pt>
                <c:pt idx="1">
                  <c:v>5.2074298333594724</c:v>
                </c:pt>
                <c:pt idx="2">
                  <c:v>3.5044361383376805</c:v>
                </c:pt>
                <c:pt idx="3">
                  <c:v>2.28798820982243</c:v>
                </c:pt>
                <c:pt idx="4">
                  <c:v>1.3631342112687768</c:v>
                </c:pt>
                <c:pt idx="5">
                  <c:v>7.2077799396307238</c:v>
                </c:pt>
                <c:pt idx="6">
                  <c:v>9.5153387687549689</c:v>
                </c:pt>
                <c:pt idx="7">
                  <c:v>12.744467106724814</c:v>
                </c:pt>
                <c:pt idx="8">
                  <c:v>16.31227111506384</c:v>
                </c:pt>
                <c:pt idx="9">
                  <c:v>20.065027801742705</c:v>
                </c:pt>
                <c:pt idx="10">
                  <c:v>24.331277368916737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4D1-4923-B854-71B8B9C85476}"/>
            </c:ext>
          </c:extLst>
        </c:ser>
        <c:ser>
          <c:idx val="16"/>
          <c:order val="15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VectorDial!$I$25:$I$36</c:f>
              <c:numCache>
                <c:formatCode>General</c:formatCode>
                <c:ptCount val="12"/>
                <c:pt idx="0">
                  <c:v>-5.4482821140878102</c:v>
                </c:pt>
                <c:pt idx="1">
                  <c:v>-6.8581204451408402</c:v>
                </c:pt>
                <c:pt idx="2">
                  <c:v>-6.3463930624325151</c:v>
                </c:pt>
                <c:pt idx="3">
                  <c:v>-5.9704920851056515</c:v>
                </c:pt>
                <c:pt idx="4">
                  <c:v>-5.6787042284761231</c:v>
                </c:pt>
                <c:pt idx="5">
                  <c:v>-7.4425620921638069</c:v>
                </c:pt>
                <c:pt idx="6">
                  <c:v>-8.0869594479749178</c:v>
                </c:pt>
                <c:pt idx="7">
                  <c:v>-8.9452830350274013</c:v>
                </c:pt>
                <c:pt idx="8">
                  <c:v>-9.8394914759703838</c:v>
                </c:pt>
                <c:pt idx="9">
                  <c:v>-10.724099198183529</c:v>
                </c:pt>
                <c:pt idx="10">
                  <c:v>-11.665132030148568</c:v>
                </c:pt>
              </c:numCache>
            </c:numRef>
          </c:xVal>
          <c:yVal>
            <c:numRef>
              <c:f>VectorDial!$J$25:$J$36</c:f>
              <c:numCache>
                <c:formatCode>General</c:formatCode>
                <c:ptCount val="12"/>
                <c:pt idx="0">
                  <c:v>1.5559163627589956</c:v>
                </c:pt>
                <c:pt idx="1">
                  <c:v>5.5513236650772306</c:v>
                </c:pt>
                <c:pt idx="2">
                  <c:v>4.0997849329891904</c:v>
                </c:pt>
                <c:pt idx="3">
                  <c:v>3.0344573280164462</c:v>
                </c:pt>
                <c:pt idx="4">
                  <c:v>2.208135051823862</c:v>
                </c:pt>
                <c:pt idx="5">
                  <c:v>7.2096433717669841</c:v>
                </c:pt>
                <c:pt idx="6">
                  <c:v>9.0406650681466481</c:v>
                </c:pt>
                <c:pt idx="7">
                  <c:v>11.481656872078123</c:v>
                </c:pt>
                <c:pt idx="8">
                  <c:v>14.026801970948545</c:v>
                </c:pt>
                <c:pt idx="9">
                  <c:v>16.546370436972801</c:v>
                </c:pt>
                <c:pt idx="10">
                  <c:v>19.22848489109348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4D1-4923-B854-71B8B9C85476}"/>
            </c:ext>
          </c:extLst>
        </c:ser>
        <c:ser>
          <c:idx val="17"/>
          <c:order val="16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VectorDial!$K$25:$K$36</c:f>
              <c:numCache>
                <c:formatCode>General</c:formatCode>
                <c:ptCount val="12"/>
                <c:pt idx="0">
                  <c:v>-2.6864652715698982</c:v>
                </c:pt>
                <c:pt idx="1">
                  <c:v>-3.3106008763125634</c:v>
                </c:pt>
                <c:pt idx="2">
                  <c:v>-3.0869757005013665</c:v>
                </c:pt>
                <c:pt idx="3">
                  <c:v>-2.9205531888618448</c:v>
                </c:pt>
                <c:pt idx="4">
                  <c:v>-2.790113573232881</c:v>
                </c:pt>
                <c:pt idx="5">
                  <c:v>-3.5634528093751778</c:v>
                </c:pt>
                <c:pt idx="6">
                  <c:v>-3.8358989262544081</c:v>
                </c:pt>
                <c:pt idx="7">
                  <c:v>-4.1909917058738113</c:v>
                </c:pt>
                <c:pt idx="8">
                  <c:v>-4.5517531032864778</c:v>
                </c:pt>
                <c:pt idx="9">
                  <c:v>-4.8997032278980877</c:v>
                </c:pt>
                <c:pt idx="10">
                  <c:v>-5.2598957852321684</c:v>
                </c:pt>
              </c:numCache>
            </c:numRef>
          </c:xVal>
          <c:yVal>
            <c:numRef>
              <c:f>VectorDial!$L$25:$L$36</c:f>
              <c:numCache>
                <c:formatCode>General</c:formatCode>
                <c:ptCount val="12"/>
                <c:pt idx="0">
                  <c:v>2.0186193609390068</c:v>
                </c:pt>
                <c:pt idx="1">
                  <c:v>5.7133968765272831</c:v>
                </c:pt>
                <c:pt idx="2">
                  <c:v>4.3884271530472923</c:v>
                </c:pt>
                <c:pt idx="3">
                  <c:v>3.4031884943445325</c:v>
                </c:pt>
                <c:pt idx="4">
                  <c:v>2.6315158705341193</c:v>
                </c:pt>
                <c:pt idx="5">
                  <c:v>7.2119693459731478</c:v>
                </c:pt>
                <c:pt idx="6">
                  <c:v>8.828831331129722</c:v>
                </c:pt>
                <c:pt idx="7">
                  <c:v>10.937881579125943</c:v>
                </c:pt>
                <c:pt idx="8">
                  <c:v>13.082259509608868</c:v>
                </c:pt>
                <c:pt idx="9">
                  <c:v>15.151827272811028</c:v>
                </c:pt>
                <c:pt idx="10">
                  <c:v>17.295585477302243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4D1-4923-B854-71B8B9C85476}"/>
            </c:ext>
          </c:extLst>
        </c:ser>
        <c:ser>
          <c:idx val="18"/>
          <c:order val="17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VectorDial!$M$25:$M$36</c:f>
              <c:numCache>
                <c:formatCode>General</c:formatCode>
                <c:ptCount val="12"/>
                <c:pt idx="0">
                  <c:v>-0.18353265941610256</c:v>
                </c:pt>
                <c:pt idx="1">
                  <c:v>-0.22457376837990825</c:v>
                </c:pt>
                <c:pt idx="2">
                  <c:v>-0.20992685027987479</c:v>
                </c:pt>
                <c:pt idx="3">
                  <c:v>-0.19898117829730999</c:v>
                </c:pt>
                <c:pt idx="4">
                  <c:v>-0.19037647200583521</c:v>
                </c:pt>
                <c:pt idx="5">
                  <c:v>-0.24114866589925263</c:v>
                </c:pt>
                <c:pt idx="6">
                  <c:v>-0.25881491096997017</c:v>
                </c:pt>
                <c:pt idx="7">
                  <c:v>-0.28168105237294472</c:v>
                </c:pt>
                <c:pt idx="8">
                  <c:v>-0.3047277101984312</c:v>
                </c:pt>
                <c:pt idx="9">
                  <c:v>-0.3267771281103426</c:v>
                </c:pt>
                <c:pt idx="10">
                  <c:v>-0.34938340825674258</c:v>
                </c:pt>
              </c:numCache>
            </c:numRef>
          </c:xVal>
          <c:yVal>
            <c:numRef>
              <c:f>VectorDial!$N$25:$N$36</c:f>
              <c:numCache>
                <c:formatCode>General</c:formatCode>
                <c:ptCount val="12"/>
                <c:pt idx="0">
                  <c:v>2.17275122860715</c:v>
                </c:pt>
                <c:pt idx="1">
                  <c:v>5.7635605113788309</c:v>
                </c:pt>
                <c:pt idx="2">
                  <c:v>4.4809725733534966</c:v>
                </c:pt>
                <c:pt idx="3">
                  <c:v>3.5232581391259714</c:v>
                </c:pt>
                <c:pt idx="4">
                  <c:v>2.7708885156789074</c:v>
                </c:pt>
                <c:pt idx="5">
                  <c:v>7.2153891928383738</c:v>
                </c:pt>
                <c:pt idx="6">
                  <c:v>8.7648458901651267</c:v>
                </c:pt>
                <c:pt idx="7">
                  <c:v>10.771965904634353</c:v>
                </c:pt>
                <c:pt idx="8">
                  <c:v>12.796464690569104</c:v>
                </c:pt>
                <c:pt idx="9">
                  <c:v>14.734590072343135</c:v>
                </c:pt>
                <c:pt idx="10">
                  <c:v>16.722917384331488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4D1-4923-B854-71B8B9C85476}"/>
            </c:ext>
          </c:extLst>
        </c:ser>
        <c:ser>
          <c:idx val="19"/>
          <c:order val="18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VectorDial!$O$25:$O$36</c:f>
              <c:numCache>
                <c:formatCode>General</c:formatCode>
                <c:ptCount val="12"/>
                <c:pt idx="0">
                  <c:v>2.3027051057602068</c:v>
                </c:pt>
                <c:pt idx="1">
                  <c:v>2.8314010821015492</c:v>
                </c:pt>
                <c:pt idx="2">
                  <c:v>2.6420136928211799</c:v>
                </c:pt>
                <c:pt idx="3">
                  <c:v>2.500949911973755</c:v>
                </c:pt>
                <c:pt idx="4">
                  <c:v>2.3903553588242388</c:v>
                </c:pt>
                <c:pt idx="5">
                  <c:v>3.0478509114260759</c:v>
                </c:pt>
                <c:pt idx="6">
                  <c:v>3.2783548155598803</c:v>
                </c:pt>
                <c:pt idx="7">
                  <c:v>3.5781729712695882</c:v>
                </c:pt>
                <c:pt idx="8">
                  <c:v>3.882013123788159</c:v>
                </c:pt>
                <c:pt idx="9">
                  <c:v>4.1742049170684634</c:v>
                </c:pt>
                <c:pt idx="10">
                  <c:v>4.4748179284137208</c:v>
                </c:pt>
              </c:numCache>
            </c:numRef>
          </c:xVal>
          <c:yVal>
            <c:numRef>
              <c:f>VectorDial!$P$25:$P$36</c:f>
              <c:numCache>
                <c:formatCode>General</c:formatCode>
                <c:ptCount val="12"/>
                <c:pt idx="0">
                  <c:v>2.0593845481267006</c:v>
                </c:pt>
                <c:pt idx="1">
                  <c:v>5.7201385341309363</c:v>
                </c:pt>
                <c:pt idx="2">
                  <c:v>4.4076678134743172</c:v>
                </c:pt>
                <c:pt idx="3">
                  <c:v>3.4308802056649306</c:v>
                </c:pt>
                <c:pt idx="4">
                  <c:v>2.665610924792424</c:v>
                </c:pt>
                <c:pt idx="5">
                  <c:v>7.2206005367848816</c:v>
                </c:pt>
                <c:pt idx="6">
                  <c:v>8.8206092511382899</c:v>
                </c:pt>
                <c:pt idx="7">
                  <c:v>10.903434528178625</c:v>
                </c:pt>
                <c:pt idx="8">
                  <c:v>13.015826572944905</c:v>
                </c:pt>
                <c:pt idx="9">
                  <c:v>15.048545947380829</c:v>
                </c:pt>
                <c:pt idx="10">
                  <c:v>17.141192353352864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4D1-4923-B854-71B8B9C85476}"/>
            </c:ext>
          </c:extLst>
        </c:ser>
        <c:ser>
          <c:idx val="21"/>
          <c:order val="19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VectorDial!$Q$25:$Q$35</c:f>
              <c:numCache>
                <c:formatCode>General</c:formatCode>
                <c:ptCount val="11"/>
                <c:pt idx="0">
                  <c:v>5.0075137376712577</c:v>
                </c:pt>
                <c:pt idx="1">
                  <c:v>6.2712480764732002</c:v>
                </c:pt>
                <c:pt idx="2">
                  <c:v>5.8129484394440709</c:v>
                </c:pt>
                <c:pt idx="3">
                  <c:v>5.4755755548974188</c:v>
                </c:pt>
                <c:pt idx="4">
                  <c:v>5.2134700451191476</c:v>
                </c:pt>
                <c:pt idx="5">
                  <c:v>6.8058394110093126</c:v>
                </c:pt>
                <c:pt idx="6">
                  <c:v>7.3813619129272761</c:v>
                </c:pt>
                <c:pt idx="7">
                  <c:v>8.1442334560545078</c:v>
                </c:pt>
                <c:pt idx="8">
                  <c:v>8.9342078034191612</c:v>
                </c:pt>
                <c:pt idx="9">
                  <c:v>9.7102298022815923</c:v>
                </c:pt>
                <c:pt idx="10">
                  <c:v>10.52449347141593</c:v>
                </c:pt>
              </c:numCache>
            </c:numRef>
          </c:xVal>
          <c:yVal>
            <c:numRef>
              <c:f>VectorDial!$R$25:$R$35</c:f>
              <c:numCache>
                <c:formatCode>General</c:formatCode>
                <c:ptCount val="11"/>
                <c:pt idx="0">
                  <c:v>1.6485908749803959</c:v>
                </c:pt>
                <c:pt idx="1">
                  <c:v>5.5685711240273887</c:v>
                </c:pt>
                <c:pt idx="2">
                  <c:v>4.1456802615680708</c:v>
                </c:pt>
                <c:pt idx="3">
                  <c:v>3.0991384454536117</c:v>
                </c:pt>
                <c:pt idx="4">
                  <c:v>2.2866843035751838</c:v>
                </c:pt>
                <c:pt idx="5">
                  <c:v>7.2288723331171871</c:v>
                </c:pt>
                <c:pt idx="6">
                  <c:v>9.0187780395896571</c:v>
                </c:pt>
                <c:pt idx="7">
                  <c:v>11.393375618163878</c:v>
                </c:pt>
                <c:pt idx="8">
                  <c:v>13.854341107539666</c:v>
                </c:pt>
                <c:pt idx="9">
                  <c:v>16.273499522794911</c:v>
                </c:pt>
                <c:pt idx="10">
                  <c:v>18.813603984789609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4D1-4923-B854-71B8B9C85476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VectorDial!$S$25:$S$36</c:f>
              <c:numCache>
                <c:formatCode>General</c:formatCode>
                <c:ptCount val="12"/>
                <c:pt idx="0">
                  <c:v>8.2634717978565746</c:v>
                </c:pt>
                <c:pt idx="1">
                  <c:v>10.752793043480931</c:v>
                </c:pt>
                <c:pt idx="2">
                  <c:v>9.8273792405415552</c:v>
                </c:pt>
                <c:pt idx="3">
                  <c:v>9.1626326590570049</c:v>
                </c:pt>
                <c:pt idx="4">
                  <c:v>8.6556384439931513</c:v>
                </c:pt>
                <c:pt idx="5">
                  <c:v>11.872880446143377</c:v>
                </c:pt>
                <c:pt idx="6">
                  <c:v>13.115501272555342</c:v>
                </c:pt>
                <c:pt idx="7">
                  <c:v>14.83475486496784</c:v>
                </c:pt>
                <c:pt idx="8">
                  <c:v>16.707539689961919</c:v>
                </c:pt>
                <c:pt idx="9">
                  <c:v>18.645453141228717</c:v>
                </c:pt>
                <c:pt idx="10">
                  <c:v>20.788244596776696</c:v>
                </c:pt>
              </c:numCache>
            </c:numRef>
          </c:xVal>
          <c:yVal>
            <c:numRef>
              <c:f>VectorDial!$T$25:$T$36</c:f>
              <c:numCache>
                <c:formatCode>General</c:formatCode>
                <c:ptCount val="12"/>
                <c:pt idx="0">
                  <c:v>0.81850053757351515</c:v>
                </c:pt>
                <c:pt idx="1">
                  <c:v>5.2474125933015952</c:v>
                </c:pt>
                <c:pt idx="2">
                  <c:v>3.5993000749981032</c:v>
                </c:pt>
                <c:pt idx="3">
                  <c:v>2.4165708042563097</c:v>
                </c:pt>
                <c:pt idx="4">
                  <c:v>1.515274459258056</c:v>
                </c:pt>
                <c:pt idx="5">
                  <c:v>7.2430226798714701</c:v>
                </c:pt>
                <c:pt idx="6">
                  <c:v>9.460310816643748</c:v>
                </c:pt>
                <c:pt idx="7">
                  <c:v>12.531035125878379</c:v>
                </c:pt>
                <c:pt idx="8">
                  <c:v>15.879082063346708</c:v>
                </c:pt>
                <c:pt idx="9">
                  <c:v>19.346322046507268</c:v>
                </c:pt>
                <c:pt idx="10">
                  <c:v>23.183177826670285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4D1-4923-B854-71B8B9C85476}"/>
            </c:ext>
          </c:extLst>
        </c:ser>
        <c:ser>
          <c:idx val="22"/>
          <c:order val="21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VectorDial!$U$25:$U$36</c:f>
              <c:numCache>
                <c:formatCode>General</c:formatCode>
                <c:ptCount val="12"/>
                <c:pt idx="0">
                  <c:v>12.715219315979699</c:v>
                </c:pt>
                <c:pt idx="1">
                  <c:v>17.861854821661854</c:v>
                </c:pt>
                <c:pt idx="2">
                  <c:v>15.854763846994109</c:v>
                </c:pt>
                <c:pt idx="3">
                  <c:v>14.482966398125779</c:v>
                </c:pt>
                <c:pt idx="4">
                  <c:v>13.473777263392382</c:v>
                </c:pt>
                <c:pt idx="5">
                  <c:v>20.472292504647562</c:v>
                </c:pt>
                <c:pt idx="6">
                  <c:v>23.589763973314398</c:v>
                </c:pt>
                <c:pt idx="7">
                  <c:v>28.369980454579849</c:v>
                </c:pt>
                <c:pt idx="8">
                  <c:v>34.30723868620538</c:v>
                </c:pt>
                <c:pt idx="9">
                  <c:v>41.432239264203737</c:v>
                </c:pt>
                <c:pt idx="10">
                  <c:v>50.76207496686704</c:v>
                </c:pt>
              </c:numCache>
            </c:numRef>
          </c:xVal>
          <c:yVal>
            <c:numRef>
              <c:f>VectorDial!$V$25:$V$36</c:f>
              <c:numCache>
                <c:formatCode>General</c:formatCode>
                <c:ptCount val="12"/>
                <c:pt idx="0">
                  <c:v>-0.74787701337063672</c:v>
                </c:pt>
                <c:pt idx="1">
                  <c:v>4.5691352207516518</c:v>
                </c:pt>
                <c:pt idx="2">
                  <c:v>2.4931072977977391</c:v>
                </c:pt>
                <c:pt idx="3">
                  <c:v>1.0759085675983777</c:v>
                </c:pt>
                <c:pt idx="4">
                  <c:v>3.440983734183873E-2</c:v>
                </c:pt>
                <c:pt idx="5">
                  <c:v>7.2708076528931462</c:v>
                </c:pt>
                <c:pt idx="6">
                  <c:v>10.503136620341179</c:v>
                </c:pt>
                <c:pt idx="7">
                  <c:v>15.465805165713576</c:v>
                </c:pt>
                <c:pt idx="8">
                  <c:v>21.637805086095117</c:v>
                </c:pt>
                <c:pt idx="9">
                  <c:v>29.053805473785214</c:v>
                </c:pt>
                <c:pt idx="10">
                  <c:v>38.777815953730745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F4D1-4923-B854-71B8B9C85476}"/>
            </c:ext>
          </c:extLst>
        </c:ser>
        <c:ser>
          <c:idx val="23"/>
          <c:order val="22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VectorDial!$W$25:$W$33</c:f>
              <c:numCache>
                <c:formatCode>General</c:formatCode>
                <c:ptCount val="9"/>
              </c:numCache>
            </c:numRef>
          </c:xVal>
          <c:yVal>
            <c:numRef>
              <c:f>VectorDial!$X$25:$X$33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F4D1-4923-B854-71B8B9C85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01224"/>
        <c:axId val="387705160"/>
      </c:scatterChart>
      <c:valAx>
        <c:axId val="387701224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05160"/>
        <c:crosses val="autoZero"/>
        <c:crossBetween val="midCat"/>
        <c:majorUnit val="5"/>
      </c:valAx>
      <c:valAx>
        <c:axId val="387705160"/>
        <c:scaling>
          <c:orientation val="minMax"/>
          <c:max val="4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01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V_Polar!$A$7:$A$17</c:f>
              <c:numCache>
                <c:formatCode>General</c:formatCode>
                <c:ptCount val="11"/>
                <c:pt idx="0">
                  <c:v>-40.348344383474114</c:v>
                </c:pt>
                <c:pt idx="1">
                  <c:v>-18.11018385504736</c:v>
                </c:pt>
                <c:pt idx="2">
                  <c:v>-10.39235439915524</c:v>
                </c:pt>
                <c:pt idx="3">
                  <c:v>-6.0345072320616051</c:v>
                </c:pt>
                <c:pt idx="4">
                  <c:v>-2.8891164328492827</c:v>
                </c:pt>
                <c:pt idx="5">
                  <c:v>-0.19548627172582891</c:v>
                </c:pt>
                <c:pt idx="6">
                  <c:v>2.4700880799439</c:v>
                </c:pt>
                <c:pt idx="7">
                  <c:v>5.5132870449152103</c:v>
                </c:pt>
                <c:pt idx="8">
                  <c:v>9.6106970639866525</c:v>
                </c:pt>
                <c:pt idx="9">
                  <c:v>16.547458234710561</c:v>
                </c:pt>
                <c:pt idx="10">
                  <c:v>34.51496649254419</c:v>
                </c:pt>
              </c:numCache>
            </c:numRef>
          </c:xVal>
          <c:yVal>
            <c:numRef>
              <c:f>V_Polar!$B$7:$B$17</c:f>
              <c:numCache>
                <c:formatCode>General</c:formatCode>
                <c:ptCount val="11"/>
                <c:pt idx="0">
                  <c:v>-18.034065142155878</c:v>
                </c:pt>
                <c:pt idx="1">
                  <c:v>-8.9721576331819062</c:v>
                </c:pt>
                <c:pt idx="2">
                  <c:v>-6.2539504198951628</c:v>
                </c:pt>
                <c:pt idx="3">
                  <c:v>-5.0643098751483402</c:v>
                </c:pt>
                <c:pt idx="4">
                  <c:v>-4.5131617276093197</c:v>
                </c:pt>
                <c:pt idx="5">
                  <c:v>-4.3366070773283889</c:v>
                </c:pt>
                <c:pt idx="6">
                  <c:v>-4.4661347172178543</c:v>
                </c:pt>
                <c:pt idx="7">
                  <c:v>-4.9512962025475566</c:v>
                </c:pt>
                <c:pt idx="8">
                  <c:v>-6.0142298435077528</c:v>
                </c:pt>
                <c:pt idx="9">
                  <c:v>-8.385036988498543</c:v>
                </c:pt>
                <c:pt idx="10">
                  <c:v>-15.588593394744672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B4-4212-9C4E-341289874A0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V_Polar!$C$7:$C$17</c:f>
              <c:numCache>
                <c:formatCode>General</c:formatCode>
                <c:ptCount val="11"/>
                <c:pt idx="0">
                  <c:v>-40.384818062955716</c:v>
                </c:pt>
                <c:pt idx="1">
                  <c:v>-18.12313269331354</c:v>
                </c:pt>
                <c:pt idx="2">
                  <c:v>-10.397698038329795</c:v>
                </c:pt>
                <c:pt idx="3">
                  <c:v>-6.0369746481999833</c:v>
                </c:pt>
                <c:pt idx="4">
                  <c:v>-2.8901486235959855</c:v>
                </c:pt>
                <c:pt idx="5">
                  <c:v>-0.19555272886850245</c:v>
                </c:pt>
                <c:pt idx="6">
                  <c:v>2.4709593758240662</c:v>
                </c:pt>
                <c:pt idx="7">
                  <c:v>5.5154836736113939</c:v>
                </c:pt>
                <c:pt idx="8">
                  <c:v>9.6154428094121833</c:v>
                </c:pt>
                <c:pt idx="9">
                  <c:v>16.55867638255932</c:v>
                </c:pt>
                <c:pt idx="10">
                  <c:v>34.54725314640887</c:v>
                </c:pt>
              </c:numCache>
            </c:numRef>
          </c:xVal>
          <c:yVal>
            <c:numRef>
              <c:f>V_Polar!$D$7:$D$17</c:f>
              <c:numCache>
                <c:formatCode>General</c:formatCode>
                <c:ptCount val="11"/>
                <c:pt idx="0">
                  <c:v>-4.1442400658818936</c:v>
                </c:pt>
                <c:pt idx="1">
                  <c:v>-2.0624275344725684</c:v>
                </c:pt>
                <c:pt idx="2">
                  <c:v>-1.4401258200198654</c:v>
                </c:pt>
                <c:pt idx="3">
                  <c:v>-1.168860831799879</c:v>
                </c:pt>
                <c:pt idx="4">
                  <c:v>-1.0443122368564033</c:v>
                </c:pt>
                <c:pt idx="5">
                  <c:v>-1.0061786898712883</c:v>
                </c:pt>
                <c:pt idx="6">
                  <c:v>-1.0391760093265441</c:v>
                </c:pt>
                <c:pt idx="7">
                  <c:v>-1.1555081350334828</c:v>
                </c:pt>
                <c:pt idx="8">
                  <c:v>-1.408087046315563</c:v>
                </c:pt>
                <c:pt idx="9">
                  <c:v>-1.9703693228623265</c:v>
                </c:pt>
                <c:pt idx="10">
                  <c:v>-3.6809723786741753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B4-4212-9C4E-341289874A0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V_Polar!$E$7:$E$17</c:f>
              <c:numCache>
                <c:formatCode>General</c:formatCode>
                <c:ptCount val="11"/>
                <c:pt idx="0">
                  <c:v>-40.393953332014028</c:v>
                </c:pt>
                <c:pt idx="1">
                  <c:v>-18.122155042589455</c:v>
                </c:pt>
                <c:pt idx="2">
                  <c:v>-10.397070553188508</c:v>
                </c:pt>
                <c:pt idx="3">
                  <c:v>-6.0366513473633763</c:v>
                </c:pt>
                <c:pt idx="4">
                  <c:v>-2.8900076959285741</c:v>
                </c:pt>
                <c:pt idx="5">
                  <c:v>-0.19554352424817487</c:v>
                </c:pt>
                <c:pt idx="6">
                  <c:v>2.4708396347565293</c:v>
                </c:pt>
                <c:pt idx="7">
                  <c:v>5.5151912177877804</c:v>
                </c:pt>
                <c:pt idx="8">
                  <c:v>9.6148640467707711</c:v>
                </c:pt>
                <c:pt idx="9">
                  <c:v>16.557681767419428</c:v>
                </c:pt>
                <c:pt idx="10">
                  <c:v>34.550789425710477</c:v>
                </c:pt>
              </c:numCache>
            </c:numRef>
          </c:xVal>
          <c:yVal>
            <c:numRef>
              <c:f>V_Polar!$F$7:$F$17</c:f>
              <c:numCache>
                <c:formatCode>General</c:formatCode>
                <c:ptCount val="11"/>
                <c:pt idx="0">
                  <c:v>-8.4743347106529647</c:v>
                </c:pt>
                <c:pt idx="1">
                  <c:v>-4.2164582288391088</c:v>
                </c:pt>
                <c:pt idx="2">
                  <c:v>-2.9413041294147053</c:v>
                </c:pt>
                <c:pt idx="3">
                  <c:v>-2.3842405919634828</c:v>
                </c:pt>
                <c:pt idx="4">
                  <c:v>-2.127204108174515</c:v>
                </c:pt>
                <c:pt idx="5">
                  <c:v>-2.0464999022035149</c:v>
                </c:pt>
                <c:pt idx="6">
                  <c:v>-2.11035816783005</c:v>
                </c:pt>
                <c:pt idx="7">
                  <c:v>-2.3428213912249349</c:v>
                </c:pt>
                <c:pt idx="8">
                  <c:v>-2.8500041453110923</c:v>
                </c:pt>
                <c:pt idx="9">
                  <c:v>-3.9802580184935721</c:v>
                </c:pt>
                <c:pt idx="10">
                  <c:v>-7.416540711860673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B4-4212-9C4E-341289874A0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V_Polar!$G$7:$G$17</c:f>
              <c:numCache>
                <c:formatCode>General</c:formatCode>
                <c:ptCount val="11"/>
                <c:pt idx="0">
                  <c:v>-40.385528484594403</c:v>
                </c:pt>
                <c:pt idx="1">
                  <c:v>-18.119023781598472</c:v>
                </c:pt>
                <c:pt idx="2">
                  <c:v>-10.395765350134329</c:v>
                </c:pt>
                <c:pt idx="3">
                  <c:v>-6.0360462451208603</c:v>
                </c:pt>
                <c:pt idx="4">
                  <c:v>-2.889754040675423</c:v>
                </c:pt>
                <c:pt idx="5">
                  <c:v>-0.19552717051703294</c:v>
                </c:pt>
                <c:pt idx="6">
                  <c:v>2.4706252328583331</c:v>
                </c:pt>
                <c:pt idx="7">
                  <c:v>5.5146511116360966</c:v>
                </c:pt>
                <c:pt idx="8">
                  <c:v>9.613699878595682</c:v>
                </c:pt>
                <c:pt idx="9">
                  <c:v>16.554948842571072</c:v>
                </c:pt>
                <c:pt idx="10">
                  <c:v>34.543144975340901</c:v>
                </c:pt>
              </c:numCache>
            </c:numRef>
          </c:xVal>
          <c:yVal>
            <c:numRef>
              <c:f>V_Polar!$H$7:$H$17</c:f>
              <c:numCache>
                <c:formatCode>General</c:formatCode>
                <c:ptCount val="11"/>
                <c:pt idx="0">
                  <c:v>-12.124673365354807</c:v>
                </c:pt>
                <c:pt idx="1">
                  <c:v>-6.0323754485615142</c:v>
                </c:pt>
                <c:pt idx="2">
                  <c:v>-4.2068001383675</c:v>
                </c:pt>
                <c:pt idx="3">
                  <c:v>-3.4086999623580998</c:v>
                </c:pt>
                <c:pt idx="4">
                  <c:v>-3.0398514482117229</c:v>
                </c:pt>
                <c:pt idx="5">
                  <c:v>-2.9231102617431488</c:v>
                </c:pt>
                <c:pt idx="6">
                  <c:v>-3.0127839925585898</c:v>
                </c:pt>
                <c:pt idx="7">
                  <c:v>-3.3428420118408191</c:v>
                </c:pt>
                <c:pt idx="8">
                  <c:v>-4.0641226030194666</c:v>
                </c:pt>
                <c:pt idx="9">
                  <c:v>-5.6720261049849894</c:v>
                </c:pt>
                <c:pt idx="10">
                  <c:v>-10.559476338303631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5B4-4212-9C4E-341289874A0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V_Polar!$K$7:$K$17</c:f>
              <c:numCache>
                <c:formatCode>General</c:formatCode>
                <c:ptCount val="11"/>
                <c:pt idx="0">
                  <c:v>-40.358588057493378</c:v>
                </c:pt>
                <c:pt idx="1">
                  <c:v>-18.122701597063362</c:v>
                </c:pt>
                <c:pt idx="2">
                  <c:v>-10.39793048282784</c:v>
                </c:pt>
                <c:pt idx="3">
                  <c:v>-6.0371399108790635</c:v>
                </c:pt>
                <c:pt idx="4">
                  <c:v>-2.8902271055164785</c:v>
                </c:pt>
                <c:pt idx="5">
                  <c:v>-0.19555797313864348</c:v>
                </c:pt>
                <c:pt idx="6">
                  <c:v>2.4710258403209098</c:v>
                </c:pt>
                <c:pt idx="7">
                  <c:v>5.5156325935122821</c:v>
                </c:pt>
                <c:pt idx="8">
                  <c:v>9.6156617106943862</c:v>
                </c:pt>
                <c:pt idx="9">
                  <c:v>16.558447380855334</c:v>
                </c:pt>
                <c:pt idx="10">
                  <c:v>34.532237278998878</c:v>
                </c:pt>
              </c:numCache>
            </c:numRef>
          </c:xVal>
          <c:yVal>
            <c:numRef>
              <c:f>V_Polar!$L$7:$L$17</c:f>
              <c:numCache>
                <c:formatCode>General</c:formatCode>
                <c:ptCount val="11"/>
                <c:pt idx="0">
                  <c:v>-2.7239376332579479E-3</c:v>
                </c:pt>
                <c:pt idx="1">
                  <c:v>1.1909418605848045E-2</c:v>
                </c:pt>
                <c:pt idx="2">
                  <c:v>1.4020848663747447E-2</c:v>
                </c:pt>
                <c:pt idx="3">
                  <c:v>1.5247071615302551E-2</c:v>
                </c:pt>
                <c:pt idx="4">
                  <c:v>1.6777364737457397E-2</c:v>
                </c:pt>
                <c:pt idx="5">
                  <c:v>1.9026721180503983E-2</c:v>
                </c:pt>
                <c:pt idx="6">
                  <c:v>2.2453009998034883E-2</c:v>
                </c:pt>
                <c:pt idx="7">
                  <c:v>2.7887978510967651E-2</c:v>
                </c:pt>
                <c:pt idx="8">
                  <c:v>3.7175584771260553E-2</c:v>
                </c:pt>
                <c:pt idx="9">
                  <c:v>5.5376205299042268E-2</c:v>
                </c:pt>
                <c:pt idx="10">
                  <c:v>0.10258087442590574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5B4-4212-9C4E-341289874A0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V_Polar!$M$7:$M$17</c:f>
              <c:numCache>
                <c:formatCode>General</c:formatCode>
                <c:ptCount val="11"/>
                <c:pt idx="0">
                  <c:v>-40.287254785977467</c:v>
                </c:pt>
                <c:pt idx="1">
                  <c:v>-18.117367166794406</c:v>
                </c:pt>
                <c:pt idx="2">
                  <c:v>-10.396551597775728</c:v>
                </c:pt>
                <c:pt idx="3">
                  <c:v>-6.036615622688549</c:v>
                </c:pt>
                <c:pt idx="4">
                  <c:v>-2.8900254636230294</c:v>
                </c:pt>
                <c:pt idx="5">
                  <c:v>-0.19554527886121784</c:v>
                </c:pt>
                <c:pt idx="6">
                  <c:v>2.4708563593417967</c:v>
                </c:pt>
                <c:pt idx="7">
                  <c:v>5.5151716351624582</c:v>
                </c:pt>
                <c:pt idx="8">
                  <c:v>9.6144762849456846</c:v>
                </c:pt>
                <c:pt idx="9">
                  <c:v>16.55423813714058</c:v>
                </c:pt>
                <c:pt idx="10">
                  <c:v>34.490475037775703</c:v>
                </c:pt>
              </c:numCache>
            </c:numRef>
          </c:xVal>
          <c:yVal>
            <c:numRef>
              <c:f>V_Polar!$N$7:$N$17</c:f>
              <c:numCache>
                <c:formatCode>General</c:formatCode>
                <c:ptCount val="11"/>
                <c:pt idx="0">
                  <c:v>3.9271320203305935</c:v>
                </c:pt>
                <c:pt idx="1">
                  <c:v>1.9752225748784531</c:v>
                </c:pt>
                <c:pt idx="2">
                  <c:v>1.3830712338315463</c:v>
                </c:pt>
                <c:pt idx="3">
                  <c:v>1.1239380729104556</c:v>
                </c:pt>
                <c:pt idx="4">
                  <c:v>1.0048034759753934</c:v>
                </c:pt>
                <c:pt idx="5">
                  <c:v>0.96838064294978343</c:v>
                </c:pt>
                <c:pt idx="6">
                  <c:v>1.0001346492608214</c:v>
                </c:pt>
                <c:pt idx="7">
                  <c:v>1.1117308297527859</c:v>
                </c:pt>
                <c:pt idx="8">
                  <c:v>1.3535697640249551</c:v>
                </c:pt>
                <c:pt idx="9">
                  <c:v>1.8900307089189763</c:v>
                </c:pt>
                <c:pt idx="10">
                  <c:v>3.5037142550634468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5B4-4212-9C4E-341289874A0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V_Polar!$O$7:$O$17</c:f>
              <c:numCache>
                <c:formatCode>General</c:formatCode>
                <c:ptCount val="11"/>
                <c:pt idx="0">
                  <c:v>-40.11847453071335</c:v>
                </c:pt>
                <c:pt idx="1">
                  <c:v>-18.106919295995915</c:v>
                </c:pt>
                <c:pt idx="2">
                  <c:v>-10.393781345545248</c:v>
                </c:pt>
                <c:pt idx="3">
                  <c:v>-6.0355332639366122</c:v>
                </c:pt>
                <c:pt idx="4">
                  <c:v>-2.8896029278797339</c:v>
                </c:pt>
                <c:pt idx="5">
                  <c:v>-0.19551858106818296</c:v>
                </c:pt>
                <c:pt idx="6">
                  <c:v>2.4705011757426076</c:v>
                </c:pt>
                <c:pt idx="7">
                  <c:v>5.5142195837682184</c:v>
                </c:pt>
                <c:pt idx="8">
                  <c:v>9.6120917411583147</c:v>
                </c:pt>
                <c:pt idx="9">
                  <c:v>16.546015402086311</c:v>
                </c:pt>
                <c:pt idx="10">
                  <c:v>34.398919791052094</c:v>
                </c:pt>
              </c:numCache>
            </c:numRef>
          </c:xVal>
          <c:yVal>
            <c:numRef>
              <c:f>V_Polar!$P$7:$P$17</c:f>
              <c:numCache>
                <c:formatCode>General</c:formatCode>
                <c:ptCount val="11"/>
                <c:pt idx="0">
                  <c:v>8.2393165520974385</c:v>
                </c:pt>
                <c:pt idx="1">
                  <c:v>4.150454769861204</c:v>
                </c:pt>
                <c:pt idx="2">
                  <c:v>2.9010004070493558</c:v>
                </c:pt>
                <c:pt idx="3">
                  <c:v>2.3533463720188723</c:v>
                </c:pt>
                <c:pt idx="4">
                  <c:v>2.1003802286652031</c:v>
                </c:pt>
                <c:pt idx="5">
                  <c:v>2.0209768126876342</c:v>
                </c:pt>
                <c:pt idx="6">
                  <c:v>2.0839819920462093</c:v>
                </c:pt>
                <c:pt idx="7">
                  <c:v>2.3130167737059883</c:v>
                </c:pt>
                <c:pt idx="8">
                  <c:v>2.8121122983916313</c:v>
                </c:pt>
                <c:pt idx="9">
                  <c:v>3.9211492013916818</c:v>
                </c:pt>
                <c:pt idx="10">
                  <c:v>7.2464149828814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5B4-4212-9C4E-341289874A0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V_Polar!$Q$7:$Q$17</c:f>
              <c:numCache>
                <c:formatCode>General</c:formatCode>
                <c:ptCount val="11"/>
                <c:pt idx="0">
                  <c:v>-39.760539033058016</c:v>
                </c:pt>
                <c:pt idx="1">
                  <c:v>-18.092975924455857</c:v>
                </c:pt>
                <c:pt idx="2">
                  <c:v>-10.390238722216754</c:v>
                </c:pt>
                <c:pt idx="3">
                  <c:v>-6.0341532356153813</c:v>
                </c:pt>
                <c:pt idx="4">
                  <c:v>-2.8890636800923621</c:v>
                </c:pt>
                <c:pt idx="5">
                  <c:v>-0.19548450851891111</c:v>
                </c:pt>
                <c:pt idx="6">
                  <c:v>2.470048127974243</c:v>
                </c:pt>
                <c:pt idx="7">
                  <c:v>5.5130072939714365</c:v>
                </c:pt>
                <c:pt idx="8">
                  <c:v>9.6090525831213096</c:v>
                </c:pt>
                <c:pt idx="9">
                  <c:v>16.535218491343649</c:v>
                </c:pt>
                <c:pt idx="10">
                  <c:v>34.232047492552482</c:v>
                </c:pt>
              </c:numCache>
            </c:numRef>
          </c:xVal>
          <c:yVal>
            <c:numRef>
              <c:f>V_Polar!$R$7:$R$17</c:f>
              <c:numCache>
                <c:formatCode>General</c:formatCode>
                <c:ptCount val="11"/>
                <c:pt idx="0">
                  <c:v>11.808196935612841</c:v>
                </c:pt>
                <c:pt idx="1">
                  <c:v>6.0108695388594056</c:v>
                </c:pt>
                <c:pt idx="2">
                  <c:v>4.2010106089552286</c:v>
                </c:pt>
                <c:pt idx="3">
                  <c:v>3.4064661978266009</c:v>
                </c:pt>
                <c:pt idx="4">
                  <c:v>3.0388085666750198</c:v>
                </c:pt>
                <c:pt idx="5">
                  <c:v>2.9224406745627634</c:v>
                </c:pt>
                <c:pt idx="6">
                  <c:v>3.0119792084269914</c:v>
                </c:pt>
                <c:pt idx="7">
                  <c:v>3.3412032397684173</c:v>
                </c:pt>
                <c:pt idx="8">
                  <c:v>4.0597748479807967</c:v>
                </c:pt>
                <c:pt idx="9">
                  <c:v>5.6560892544594026</c:v>
                </c:pt>
                <c:pt idx="10">
                  <c:v>10.389517855749862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5B4-4212-9C4E-341289874A0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V_Polar!$S$8:$S$17</c:f>
              <c:numCache>
                <c:formatCode>General</c:formatCode>
                <c:ptCount val="10"/>
                <c:pt idx="0">
                  <c:v>-18.076474230233963</c:v>
                </c:pt>
                <c:pt idx="1">
                  <c:v>-10.386370672873515</c:v>
                </c:pt>
                <c:pt idx="2">
                  <c:v>-6.0326684594525615</c:v>
                </c:pt>
                <c:pt idx="3">
                  <c:v>-2.8884857482728896</c:v>
                </c:pt>
                <c:pt idx="4">
                  <c:v>-0.19544804261703796</c:v>
                </c:pt>
                <c:pt idx="5">
                  <c:v>2.4695630502637433</c:v>
                </c:pt>
                <c:pt idx="6">
                  <c:v>5.511706154315263</c:v>
                </c:pt>
                <c:pt idx="7">
                  <c:v>9.6057547126239715</c:v>
                </c:pt>
                <c:pt idx="8">
                  <c:v>16.522780838289897</c:v>
                </c:pt>
                <c:pt idx="9">
                  <c:v>33.917459399578817</c:v>
                </c:pt>
              </c:numCache>
            </c:numRef>
          </c:xVal>
          <c:yVal>
            <c:numRef>
              <c:f>V_Polar!$T$8:$T$17</c:f>
              <c:numCache>
                <c:formatCode>General</c:formatCode>
                <c:ptCount val="10"/>
                <c:pt idx="0">
                  <c:v>7.5430211994079697</c:v>
                </c:pt>
                <c:pt idx="1">
                  <c:v>5.2738232075006737</c:v>
                </c:pt>
                <c:pt idx="2">
                  <c:v>4.2756637224671525</c:v>
                </c:pt>
                <c:pt idx="3">
                  <c:v>3.813196401328431</c:v>
                </c:pt>
                <c:pt idx="4">
                  <c:v>3.6660793032573489</c:v>
                </c:pt>
                <c:pt idx="5">
                  <c:v>3.7771743360292738</c:v>
                </c:pt>
                <c:pt idx="6">
                  <c:v>4.1885347826750561</c:v>
                </c:pt>
                <c:pt idx="7">
                  <c:v>5.0871061493058933</c:v>
                </c:pt>
                <c:pt idx="8">
                  <c:v>7.0814954890648227</c:v>
                </c:pt>
                <c:pt idx="9">
                  <c:v>12.851162762007164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5B4-4212-9C4E-341289874A0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V_Polar!$U$8:$U$16</c:f>
              <c:numCache>
                <c:formatCode>General</c:formatCode>
                <c:ptCount val="9"/>
                <c:pt idx="0">
                  <c:v>-18.055477921479856</c:v>
                </c:pt>
                <c:pt idx="1">
                  <c:v>-10.381948332512826</c:v>
                </c:pt>
                <c:pt idx="2">
                  <c:v>-6.0310030199494511</c:v>
                </c:pt>
                <c:pt idx="3">
                  <c:v>-2.8878410992734125</c:v>
                </c:pt>
                <c:pt idx="4">
                  <c:v>-0.19540744619651007</c:v>
                </c:pt>
                <c:pt idx="5">
                  <c:v>2.4690235449576767</c:v>
                </c:pt>
                <c:pt idx="6">
                  <c:v>5.5102560751466392</c:v>
                </c:pt>
                <c:pt idx="7">
                  <c:v>9.6020348586776425</c:v>
                </c:pt>
                <c:pt idx="8">
                  <c:v>16.507676488934912</c:v>
                </c:pt>
              </c:numCache>
            </c:numRef>
          </c:xVal>
          <c:yVal>
            <c:numRef>
              <c:f>V_Polar!$V$8:$V$16</c:f>
              <c:numCache>
                <c:formatCode>General</c:formatCode>
                <c:ptCount val="9"/>
                <c:pt idx="0">
                  <c:v>8.9169012415419786</c:v>
                </c:pt>
                <c:pt idx="1">
                  <c:v>6.2377175795179349</c:v>
                </c:pt>
                <c:pt idx="2">
                  <c:v>5.0557198084112107</c:v>
                </c:pt>
                <c:pt idx="3">
                  <c:v>4.5070572869579442</c:v>
                </c:pt>
                <c:pt idx="4">
                  <c:v>4.3312090689479712</c:v>
                </c:pt>
                <c:pt idx="5">
                  <c:v>4.4602865761643846</c:v>
                </c:pt>
                <c:pt idx="6">
                  <c:v>4.9434161473294829</c:v>
                </c:pt>
                <c:pt idx="7">
                  <c:v>6.0001244556907292</c:v>
                </c:pt>
                <c:pt idx="8">
                  <c:v>8.3425583555792517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5B4-4212-9C4E-341289874A0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V_Polar!$C$20:$C$28</c:f>
              <c:numCache>
                <c:formatCode>General</c:formatCode>
                <c:ptCount val="9"/>
                <c:pt idx="0">
                  <c:v>-40.348344383474114</c:v>
                </c:pt>
                <c:pt idx="1">
                  <c:v>-40.384818062955716</c:v>
                </c:pt>
                <c:pt idx="2">
                  <c:v>-40.393953332014028</c:v>
                </c:pt>
                <c:pt idx="3">
                  <c:v>-40.385528484594403</c:v>
                </c:pt>
                <c:pt idx="4">
                  <c:v>-40.368394261513387</c:v>
                </c:pt>
                <c:pt idx="5">
                  <c:v>-40.358588057493378</c:v>
                </c:pt>
                <c:pt idx="6">
                  <c:v>-40.287254785977467</c:v>
                </c:pt>
                <c:pt idx="7">
                  <c:v>-40.11847453071335</c:v>
                </c:pt>
                <c:pt idx="8">
                  <c:v>-39.760539033058016</c:v>
                </c:pt>
              </c:numCache>
            </c:numRef>
          </c:xVal>
          <c:yVal>
            <c:numRef>
              <c:f>V_Polar!$D$20:$D$28</c:f>
              <c:numCache>
                <c:formatCode>General</c:formatCode>
                <c:ptCount val="9"/>
                <c:pt idx="0">
                  <c:v>-18.034065142155878</c:v>
                </c:pt>
                <c:pt idx="1">
                  <c:v>-4.1442400658818936</c:v>
                </c:pt>
                <c:pt idx="2">
                  <c:v>-8.4743347106529647</c:v>
                </c:pt>
                <c:pt idx="3">
                  <c:v>-12.124673365354807</c:v>
                </c:pt>
                <c:pt idx="4">
                  <c:v>-15.287879814370385</c:v>
                </c:pt>
                <c:pt idx="5">
                  <c:v>-2.7239376332579479E-3</c:v>
                </c:pt>
                <c:pt idx="6">
                  <c:v>3.9271320203305935</c:v>
                </c:pt>
                <c:pt idx="7">
                  <c:v>8.2393165520974385</c:v>
                </c:pt>
                <c:pt idx="8">
                  <c:v>11.808196935612841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5B4-4212-9C4E-341289874A0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V_Polar!$E$20:$E$30</c:f>
              <c:numCache>
                <c:formatCode>General</c:formatCode>
                <c:ptCount val="11"/>
                <c:pt idx="0">
                  <c:v>-18.11018385504736</c:v>
                </c:pt>
                <c:pt idx="1">
                  <c:v>-18.12313269331354</c:v>
                </c:pt>
                <c:pt idx="2">
                  <c:v>-18.122155042589455</c:v>
                </c:pt>
                <c:pt idx="3">
                  <c:v>-18.119023781598472</c:v>
                </c:pt>
                <c:pt idx="4">
                  <c:v>-18.114739543893165</c:v>
                </c:pt>
                <c:pt idx="5">
                  <c:v>-18.122701597063362</c:v>
                </c:pt>
                <c:pt idx="6">
                  <c:v>-18.117367166794406</c:v>
                </c:pt>
                <c:pt idx="7">
                  <c:v>-18.106919295995915</c:v>
                </c:pt>
                <c:pt idx="8">
                  <c:v>-18.092975924455857</c:v>
                </c:pt>
                <c:pt idx="9">
                  <c:v>-18.076474230233963</c:v>
                </c:pt>
                <c:pt idx="10">
                  <c:v>-18.055477921479856</c:v>
                </c:pt>
              </c:numCache>
            </c:numRef>
          </c:xVal>
          <c:yVal>
            <c:numRef>
              <c:f>V_Polar!$F$20:$F$30</c:f>
              <c:numCache>
                <c:formatCode>General</c:formatCode>
                <c:ptCount val="11"/>
                <c:pt idx="0">
                  <c:v>-8.9721576331819062</c:v>
                </c:pt>
                <c:pt idx="1">
                  <c:v>-2.0624275344725684</c:v>
                </c:pt>
                <c:pt idx="2">
                  <c:v>-4.2164582288391088</c:v>
                </c:pt>
                <c:pt idx="3">
                  <c:v>-6.0323754485615142</c:v>
                </c:pt>
                <c:pt idx="4">
                  <c:v>-7.6066268511806978</c:v>
                </c:pt>
                <c:pt idx="5">
                  <c:v>1.1909418605848045E-2</c:v>
                </c:pt>
                <c:pt idx="6">
                  <c:v>1.9752225748784531</c:v>
                </c:pt>
                <c:pt idx="7">
                  <c:v>4.150454769861204</c:v>
                </c:pt>
                <c:pt idx="8">
                  <c:v>6.0108695388594056</c:v>
                </c:pt>
                <c:pt idx="9">
                  <c:v>7.5430211994079697</c:v>
                </c:pt>
                <c:pt idx="10">
                  <c:v>8.9169012415419786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5B4-4212-9C4E-341289874A0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V_Polar!$G$20:$G$30</c:f>
              <c:numCache>
                <c:formatCode>General</c:formatCode>
                <c:ptCount val="11"/>
                <c:pt idx="0">
                  <c:v>-10.39235439915524</c:v>
                </c:pt>
                <c:pt idx="1">
                  <c:v>-10.397698038329795</c:v>
                </c:pt>
                <c:pt idx="2">
                  <c:v>-10.397070553188508</c:v>
                </c:pt>
                <c:pt idx="3">
                  <c:v>-10.395765350134329</c:v>
                </c:pt>
                <c:pt idx="4">
                  <c:v>-10.394092793891041</c:v>
                </c:pt>
                <c:pt idx="5">
                  <c:v>-10.39793048282784</c:v>
                </c:pt>
                <c:pt idx="6">
                  <c:v>-10.396551597775728</c:v>
                </c:pt>
                <c:pt idx="7">
                  <c:v>-10.393781345545248</c:v>
                </c:pt>
                <c:pt idx="8">
                  <c:v>-10.390238722216754</c:v>
                </c:pt>
                <c:pt idx="9">
                  <c:v>-10.386370672873515</c:v>
                </c:pt>
                <c:pt idx="10">
                  <c:v>-10.381948332512826</c:v>
                </c:pt>
              </c:numCache>
            </c:numRef>
          </c:xVal>
          <c:yVal>
            <c:numRef>
              <c:f>V_Polar!$H$20:$H$30</c:f>
              <c:numCache>
                <c:formatCode>General</c:formatCode>
                <c:ptCount val="11"/>
                <c:pt idx="0">
                  <c:v>-6.2539504198951628</c:v>
                </c:pt>
                <c:pt idx="1">
                  <c:v>-1.4401258200198654</c:v>
                </c:pt>
                <c:pt idx="2">
                  <c:v>-2.9413041294147053</c:v>
                </c:pt>
                <c:pt idx="3">
                  <c:v>-4.2068001383675</c:v>
                </c:pt>
                <c:pt idx="4">
                  <c:v>-5.3037941459882108</c:v>
                </c:pt>
                <c:pt idx="5">
                  <c:v>1.4020848663747447E-2</c:v>
                </c:pt>
                <c:pt idx="6">
                  <c:v>1.3830712338315463</c:v>
                </c:pt>
                <c:pt idx="7">
                  <c:v>2.9010004070493558</c:v>
                </c:pt>
                <c:pt idx="8">
                  <c:v>4.2010106089552286</c:v>
                </c:pt>
                <c:pt idx="9">
                  <c:v>5.2738232075006737</c:v>
                </c:pt>
                <c:pt idx="10">
                  <c:v>6.2377175795179349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5B4-4212-9C4E-341289874A0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V_Polar!$I$20:$I$30</c:f>
              <c:numCache>
                <c:formatCode>General</c:formatCode>
                <c:ptCount val="11"/>
                <c:pt idx="0">
                  <c:v>-6.0345072320616051</c:v>
                </c:pt>
                <c:pt idx="1">
                  <c:v>-6.0369746481999833</c:v>
                </c:pt>
                <c:pt idx="2">
                  <c:v>-6.0366513473633763</c:v>
                </c:pt>
                <c:pt idx="3">
                  <c:v>-6.0360462451208603</c:v>
                </c:pt>
                <c:pt idx="4">
                  <c:v>-6.0352880808107514</c:v>
                </c:pt>
                <c:pt idx="5">
                  <c:v>-6.0371399108790635</c:v>
                </c:pt>
                <c:pt idx="6">
                  <c:v>-6.036615622688549</c:v>
                </c:pt>
                <c:pt idx="7">
                  <c:v>-6.0355332639366122</c:v>
                </c:pt>
                <c:pt idx="8">
                  <c:v>-6.0341532356153813</c:v>
                </c:pt>
                <c:pt idx="9">
                  <c:v>-6.0326684594525615</c:v>
                </c:pt>
                <c:pt idx="10">
                  <c:v>-6.0310030199494511</c:v>
                </c:pt>
              </c:numCache>
            </c:numRef>
          </c:xVal>
          <c:yVal>
            <c:numRef>
              <c:f>V_Polar!$J$20:$J$30</c:f>
              <c:numCache>
                <c:formatCode>General</c:formatCode>
                <c:ptCount val="11"/>
                <c:pt idx="0">
                  <c:v>-5.0643098751483402</c:v>
                </c:pt>
                <c:pt idx="1">
                  <c:v>-1.168860831799879</c:v>
                </c:pt>
                <c:pt idx="2">
                  <c:v>-2.3842405919634828</c:v>
                </c:pt>
                <c:pt idx="3">
                  <c:v>-3.4086999623580998</c:v>
                </c:pt>
                <c:pt idx="4">
                  <c:v>-4.296552106619095</c:v>
                </c:pt>
                <c:pt idx="5">
                  <c:v>1.5247071615302551E-2</c:v>
                </c:pt>
                <c:pt idx="6">
                  <c:v>1.1239380729104556</c:v>
                </c:pt>
                <c:pt idx="7">
                  <c:v>2.3533463720188723</c:v>
                </c:pt>
                <c:pt idx="8">
                  <c:v>3.4064661978266009</c:v>
                </c:pt>
                <c:pt idx="9">
                  <c:v>4.2756637224671525</c:v>
                </c:pt>
                <c:pt idx="10">
                  <c:v>5.0557198084112107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5B4-4212-9C4E-341289874A0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V_Polar!$K$20:$K$30</c:f>
              <c:numCache>
                <c:formatCode>General</c:formatCode>
                <c:ptCount val="11"/>
                <c:pt idx="0">
                  <c:v>-2.8891164328492827</c:v>
                </c:pt>
                <c:pt idx="1">
                  <c:v>-2.8901486235959855</c:v>
                </c:pt>
                <c:pt idx="2">
                  <c:v>-2.8900076959285741</c:v>
                </c:pt>
                <c:pt idx="3">
                  <c:v>-2.889754040675423</c:v>
                </c:pt>
                <c:pt idx="4">
                  <c:v>-2.8894391948517804</c:v>
                </c:pt>
                <c:pt idx="5">
                  <c:v>-2.8902271055164785</c:v>
                </c:pt>
                <c:pt idx="6">
                  <c:v>-2.8900254636230294</c:v>
                </c:pt>
                <c:pt idx="7">
                  <c:v>-2.8896029278797339</c:v>
                </c:pt>
                <c:pt idx="8">
                  <c:v>-2.8890636800923621</c:v>
                </c:pt>
                <c:pt idx="9">
                  <c:v>-2.8884857482728896</c:v>
                </c:pt>
                <c:pt idx="10">
                  <c:v>-2.8878410992734125</c:v>
                </c:pt>
              </c:numCache>
            </c:numRef>
          </c:xVal>
          <c:yVal>
            <c:numRef>
              <c:f>V_Polar!$L$20:$L$30</c:f>
              <c:numCache>
                <c:formatCode>General</c:formatCode>
                <c:ptCount val="11"/>
                <c:pt idx="0">
                  <c:v>-4.5131617276093197</c:v>
                </c:pt>
                <c:pt idx="1">
                  <c:v>-1.0443122368564033</c:v>
                </c:pt>
                <c:pt idx="2">
                  <c:v>-2.127204108174515</c:v>
                </c:pt>
                <c:pt idx="3">
                  <c:v>-3.0398514482117229</c:v>
                </c:pt>
                <c:pt idx="4">
                  <c:v>-3.8305674555352316</c:v>
                </c:pt>
                <c:pt idx="5">
                  <c:v>1.6777364737457397E-2</c:v>
                </c:pt>
                <c:pt idx="6">
                  <c:v>1.0048034759753934</c:v>
                </c:pt>
                <c:pt idx="7">
                  <c:v>2.1003802286652031</c:v>
                </c:pt>
                <c:pt idx="8">
                  <c:v>3.0388085666750198</c:v>
                </c:pt>
                <c:pt idx="9">
                  <c:v>3.813196401328431</c:v>
                </c:pt>
                <c:pt idx="10">
                  <c:v>4.5070572869579442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5B4-4212-9C4E-341289874A0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V_Polar!$M$20:$M$30</c:f>
              <c:numCache>
                <c:formatCode>General</c:formatCode>
                <c:ptCount val="11"/>
                <c:pt idx="0">
                  <c:v>-0.19548627172582891</c:v>
                </c:pt>
                <c:pt idx="1">
                  <c:v>-0.19555272886850245</c:v>
                </c:pt>
                <c:pt idx="2">
                  <c:v>-0.19554352424817487</c:v>
                </c:pt>
                <c:pt idx="3">
                  <c:v>-0.19552717051703294</c:v>
                </c:pt>
                <c:pt idx="4">
                  <c:v>-0.19550693702793087</c:v>
                </c:pt>
                <c:pt idx="5">
                  <c:v>-0.19555797313864348</c:v>
                </c:pt>
                <c:pt idx="6">
                  <c:v>-0.19554527886121784</c:v>
                </c:pt>
                <c:pt idx="7">
                  <c:v>-0.19551858106818296</c:v>
                </c:pt>
                <c:pt idx="8">
                  <c:v>-0.19548450851891111</c:v>
                </c:pt>
                <c:pt idx="9">
                  <c:v>-0.19544804261703796</c:v>
                </c:pt>
                <c:pt idx="10">
                  <c:v>-0.19540744619651007</c:v>
                </c:pt>
              </c:numCache>
            </c:numRef>
          </c:xVal>
          <c:yVal>
            <c:numRef>
              <c:f>V_Polar!$N$20:$N$30</c:f>
              <c:numCache>
                <c:formatCode>General</c:formatCode>
                <c:ptCount val="11"/>
                <c:pt idx="0">
                  <c:v>-4.3366070773283889</c:v>
                </c:pt>
                <c:pt idx="1">
                  <c:v>-1.0061786898712883</c:v>
                </c:pt>
                <c:pt idx="2">
                  <c:v>-2.0464999022035149</c:v>
                </c:pt>
                <c:pt idx="3">
                  <c:v>-2.9231102617431488</c:v>
                </c:pt>
                <c:pt idx="4">
                  <c:v>-3.6823435959057909</c:v>
                </c:pt>
                <c:pt idx="5">
                  <c:v>1.9026721180503983E-2</c:v>
                </c:pt>
                <c:pt idx="6">
                  <c:v>0.96838064294978343</c:v>
                </c:pt>
                <c:pt idx="7">
                  <c:v>2.0209768126876342</c:v>
                </c:pt>
                <c:pt idx="8">
                  <c:v>2.9224406745627634</c:v>
                </c:pt>
                <c:pt idx="9">
                  <c:v>3.6660793032573489</c:v>
                </c:pt>
                <c:pt idx="10">
                  <c:v>4.3312090689479712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5B4-4212-9C4E-341289874A0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V_Polar!$O$20:$O$30</c:f>
              <c:numCache>
                <c:formatCode>General</c:formatCode>
                <c:ptCount val="11"/>
                <c:pt idx="0">
                  <c:v>2.4700880799439</c:v>
                </c:pt>
                <c:pt idx="1">
                  <c:v>2.4709593758240662</c:v>
                </c:pt>
                <c:pt idx="2">
                  <c:v>2.4708396347565293</c:v>
                </c:pt>
                <c:pt idx="3">
                  <c:v>2.4706252328583331</c:v>
                </c:pt>
                <c:pt idx="4">
                  <c:v>2.4703596116993749</c:v>
                </c:pt>
                <c:pt idx="5">
                  <c:v>2.4710258403209098</c:v>
                </c:pt>
                <c:pt idx="6">
                  <c:v>2.4708563593417967</c:v>
                </c:pt>
                <c:pt idx="7">
                  <c:v>2.4705011757426076</c:v>
                </c:pt>
                <c:pt idx="8">
                  <c:v>2.470048127974243</c:v>
                </c:pt>
                <c:pt idx="9">
                  <c:v>2.4695630502637433</c:v>
                </c:pt>
                <c:pt idx="10">
                  <c:v>2.4690235449576767</c:v>
                </c:pt>
              </c:numCache>
            </c:numRef>
          </c:xVal>
          <c:yVal>
            <c:numRef>
              <c:f>V_Polar!$P$20:$P$30</c:f>
              <c:numCache>
                <c:formatCode>General</c:formatCode>
                <c:ptCount val="11"/>
                <c:pt idx="0">
                  <c:v>-4.4661347172178543</c:v>
                </c:pt>
                <c:pt idx="1">
                  <c:v>-1.0391760093265441</c:v>
                </c:pt>
                <c:pt idx="2">
                  <c:v>-2.11035816783005</c:v>
                </c:pt>
                <c:pt idx="3">
                  <c:v>-3.0127839925585898</c:v>
                </c:pt>
                <c:pt idx="4">
                  <c:v>-3.7940768750128688</c:v>
                </c:pt>
                <c:pt idx="5">
                  <c:v>2.2453009998034883E-2</c:v>
                </c:pt>
                <c:pt idx="6">
                  <c:v>1.0001346492608214</c:v>
                </c:pt>
                <c:pt idx="7">
                  <c:v>2.0839819920462093</c:v>
                </c:pt>
                <c:pt idx="8">
                  <c:v>3.0119792084269914</c:v>
                </c:pt>
                <c:pt idx="9">
                  <c:v>3.7771743360292738</c:v>
                </c:pt>
                <c:pt idx="10">
                  <c:v>4.4602865761643846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5B4-4212-9C4E-341289874A0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V_Polar!$Q$20:$Q$30</c:f>
              <c:numCache>
                <c:formatCode>General</c:formatCode>
                <c:ptCount val="11"/>
                <c:pt idx="0">
                  <c:v>5.5132870449152103</c:v>
                </c:pt>
                <c:pt idx="1">
                  <c:v>5.5154836736113939</c:v>
                </c:pt>
                <c:pt idx="2">
                  <c:v>5.5151912177877804</c:v>
                </c:pt>
                <c:pt idx="3">
                  <c:v>5.5146511116360966</c:v>
                </c:pt>
                <c:pt idx="4">
                  <c:v>5.5139771581933799</c:v>
                </c:pt>
                <c:pt idx="5">
                  <c:v>5.5156325935122821</c:v>
                </c:pt>
                <c:pt idx="6">
                  <c:v>5.5151716351624582</c:v>
                </c:pt>
                <c:pt idx="7">
                  <c:v>5.5142195837682184</c:v>
                </c:pt>
                <c:pt idx="8">
                  <c:v>5.5130072939714365</c:v>
                </c:pt>
                <c:pt idx="9">
                  <c:v>5.511706154315263</c:v>
                </c:pt>
                <c:pt idx="10">
                  <c:v>5.5102560751466392</c:v>
                </c:pt>
              </c:numCache>
            </c:numRef>
          </c:xVal>
          <c:yVal>
            <c:numRef>
              <c:f>V_Polar!$R$20:$R$30</c:f>
              <c:numCache>
                <c:formatCode>General</c:formatCode>
                <c:ptCount val="11"/>
                <c:pt idx="0">
                  <c:v>-4.9512962025475566</c:v>
                </c:pt>
                <c:pt idx="1">
                  <c:v>-1.1555081350334828</c:v>
                </c:pt>
                <c:pt idx="2">
                  <c:v>-2.3428213912249349</c:v>
                </c:pt>
                <c:pt idx="3">
                  <c:v>-3.3428420118408191</c:v>
                </c:pt>
                <c:pt idx="4">
                  <c:v>-4.2082585750390296</c:v>
                </c:pt>
                <c:pt idx="5">
                  <c:v>2.7887978510967651E-2</c:v>
                </c:pt>
                <c:pt idx="6">
                  <c:v>1.1117308297527859</c:v>
                </c:pt>
                <c:pt idx="7">
                  <c:v>2.3130167737059883</c:v>
                </c:pt>
                <c:pt idx="8">
                  <c:v>3.3412032397684173</c:v>
                </c:pt>
                <c:pt idx="9">
                  <c:v>4.1885347826750561</c:v>
                </c:pt>
                <c:pt idx="10">
                  <c:v>4.9434161473294829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5B4-4212-9C4E-341289874A0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V_Polar!$S$20:$S$30</c:f>
              <c:numCache>
                <c:formatCode>General</c:formatCode>
                <c:ptCount val="11"/>
                <c:pt idx="0">
                  <c:v>9.6106970639866525</c:v>
                </c:pt>
                <c:pt idx="1">
                  <c:v>9.6154428094121833</c:v>
                </c:pt>
                <c:pt idx="2">
                  <c:v>9.6148640467707711</c:v>
                </c:pt>
                <c:pt idx="3">
                  <c:v>9.613699878595682</c:v>
                </c:pt>
                <c:pt idx="4">
                  <c:v>9.6122203990248103</c:v>
                </c:pt>
                <c:pt idx="5">
                  <c:v>9.6156617106943862</c:v>
                </c:pt>
                <c:pt idx="6">
                  <c:v>9.6144762849456846</c:v>
                </c:pt>
                <c:pt idx="7">
                  <c:v>9.6120917411583147</c:v>
                </c:pt>
                <c:pt idx="8">
                  <c:v>9.6090525831213096</c:v>
                </c:pt>
                <c:pt idx="9">
                  <c:v>9.6057547126239715</c:v>
                </c:pt>
                <c:pt idx="10">
                  <c:v>9.6020348586776425</c:v>
                </c:pt>
              </c:numCache>
            </c:numRef>
          </c:xVal>
          <c:yVal>
            <c:numRef>
              <c:f>V_Polar!$T$20:$T$30</c:f>
              <c:numCache>
                <c:formatCode>General</c:formatCode>
                <c:ptCount val="11"/>
                <c:pt idx="0">
                  <c:v>-6.0142298435077528</c:v>
                </c:pt>
                <c:pt idx="1">
                  <c:v>-1.408087046315563</c:v>
                </c:pt>
                <c:pt idx="2">
                  <c:v>-2.8500041453110923</c:v>
                </c:pt>
                <c:pt idx="3">
                  <c:v>-4.0641226030194666</c:v>
                </c:pt>
                <c:pt idx="4">
                  <c:v>-5.1142996151602995</c:v>
                </c:pt>
                <c:pt idx="5">
                  <c:v>3.7175584771260553E-2</c:v>
                </c:pt>
                <c:pt idx="6">
                  <c:v>1.3535697640249551</c:v>
                </c:pt>
                <c:pt idx="7">
                  <c:v>2.8121122983916313</c:v>
                </c:pt>
                <c:pt idx="8">
                  <c:v>4.0597748479807967</c:v>
                </c:pt>
                <c:pt idx="9">
                  <c:v>5.0871061493058933</c:v>
                </c:pt>
                <c:pt idx="10">
                  <c:v>6.0001244556907292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65B4-4212-9C4E-341289874A0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V_Polar!$U$20:$U$30</c:f>
              <c:numCache>
                <c:formatCode>General</c:formatCode>
                <c:ptCount val="11"/>
                <c:pt idx="0">
                  <c:v>16.547458234710561</c:v>
                </c:pt>
                <c:pt idx="1">
                  <c:v>16.55867638255932</c:v>
                </c:pt>
                <c:pt idx="2">
                  <c:v>16.557681767419428</c:v>
                </c:pt>
                <c:pt idx="3">
                  <c:v>16.554948842571072</c:v>
                </c:pt>
                <c:pt idx="4">
                  <c:v>16.55128947963982</c:v>
                </c:pt>
                <c:pt idx="5">
                  <c:v>16.558447380855334</c:v>
                </c:pt>
                <c:pt idx="6">
                  <c:v>16.55423813714058</c:v>
                </c:pt>
                <c:pt idx="7">
                  <c:v>16.546015402086311</c:v>
                </c:pt>
                <c:pt idx="8">
                  <c:v>16.535218491343649</c:v>
                </c:pt>
                <c:pt idx="9">
                  <c:v>16.522780838289897</c:v>
                </c:pt>
                <c:pt idx="10">
                  <c:v>16.507676488934912</c:v>
                </c:pt>
              </c:numCache>
            </c:numRef>
          </c:xVal>
          <c:yVal>
            <c:numRef>
              <c:f>V_Polar!$V$20:$V$30</c:f>
              <c:numCache>
                <c:formatCode>General</c:formatCode>
                <c:ptCount val="11"/>
                <c:pt idx="0">
                  <c:v>-8.385036988498543</c:v>
                </c:pt>
                <c:pt idx="1">
                  <c:v>-1.9703693228623265</c:v>
                </c:pt>
                <c:pt idx="2">
                  <c:v>-3.9802580184935721</c:v>
                </c:pt>
                <c:pt idx="3">
                  <c:v>-5.6720261049849894</c:v>
                </c:pt>
                <c:pt idx="4">
                  <c:v>-7.1344441443558182</c:v>
                </c:pt>
                <c:pt idx="5">
                  <c:v>5.5376205299042268E-2</c:v>
                </c:pt>
                <c:pt idx="6">
                  <c:v>1.8900307089189763</c:v>
                </c:pt>
                <c:pt idx="7">
                  <c:v>3.9211492013916818</c:v>
                </c:pt>
                <c:pt idx="8">
                  <c:v>5.6560892544594026</c:v>
                </c:pt>
                <c:pt idx="9">
                  <c:v>7.0814954890648227</c:v>
                </c:pt>
                <c:pt idx="10">
                  <c:v>8.3425583555792517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5B4-4212-9C4E-341289874A0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V_Polar!$W$20:$W$29</c:f>
              <c:numCache>
                <c:formatCode>General</c:formatCode>
                <c:ptCount val="10"/>
              </c:numCache>
            </c:numRef>
          </c:xVal>
          <c:yVal>
            <c:numRef>
              <c:f>V_Polar!$X$20:$X$29</c:f>
              <c:numCache>
                <c:formatCode>General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65B4-4212-9C4E-341289874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253416"/>
        <c:axId val="719256368"/>
      </c:scatterChart>
      <c:valAx>
        <c:axId val="71925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56368"/>
        <c:crosses val="autoZero"/>
        <c:crossBetween val="midCat"/>
        <c:majorUnit val="5"/>
      </c:valAx>
      <c:valAx>
        <c:axId val="71925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5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G$6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List" dx="22" fmlaLink="$E$4" fmlaRange="$T$1:$T$5" noThreeD="1" sel="1" val="0"/>
</file>

<file path=xl/ctrlProps/ctrlProp5.xml><?xml version="1.0" encoding="utf-8"?>
<formControlPr xmlns="http://schemas.microsoft.com/office/spreadsheetml/2009/9/main" objectType="List" dx="22" fmlaLink="$K$4" fmlaRange="$T$6:$T$12" noThreeD="1" sel="1" val="0"/>
</file>

<file path=xl/ctrlProps/ctrlProp6.xml><?xml version="1.0" encoding="utf-8"?>
<formControlPr xmlns="http://schemas.microsoft.com/office/spreadsheetml/2009/9/main" objectType="List" dx="22" fmlaLink="$M$4" fmlaRange="$T$13:$T$14" noThreeD="1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List" dx="22" fmlaLink="$A$4" fmlaRange="$AB$1:$AB$9" noThreeD="1" sel="1" val="0"/>
</file>

<file path=xl/ctrlProps/ctrlProp12.xml><?xml version="1.0" encoding="utf-8"?>
<formControlPr xmlns="http://schemas.microsoft.com/office/spreadsheetml/2009/9/main" objectType="Radio" firstButton="1" fmlaLink="$B$4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0</xdr:rowOff>
        </xdr:from>
        <xdr:to>
          <xdr:col>7</xdr:col>
          <xdr:colOff>85725</xdr:colOff>
          <xdr:row>6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داده را حساب کن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</xdr:row>
          <xdr:rowOff>19050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16387" name="Option Button 3" descr="Iranian Calendar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1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تقویم ایرانی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3</xdr:row>
          <xdr:rowOff>95250</xdr:rowOff>
        </xdr:from>
        <xdr:to>
          <xdr:col>6</xdr:col>
          <xdr:colOff>323850</xdr:colOff>
          <xdr:row>4</xdr:row>
          <xdr:rowOff>66675</xdr:rowOff>
        </xdr:to>
        <xdr:sp macro="" textlink="">
          <xdr:nvSpPr>
            <xdr:cNvPr id="16388" name="Option 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1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تقویم میلادی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</xdr:row>
          <xdr:rowOff>9525</xdr:rowOff>
        </xdr:from>
        <xdr:to>
          <xdr:col>4</xdr:col>
          <xdr:colOff>495300</xdr:colOff>
          <xdr:row>4</xdr:row>
          <xdr:rowOff>219075</xdr:rowOff>
        </xdr:to>
        <xdr:sp macro="" textlink="">
          <xdr:nvSpPr>
            <xdr:cNvPr id="16392" name="List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0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0</xdr:rowOff>
        </xdr:from>
        <xdr:to>
          <xdr:col>9</xdr:col>
          <xdr:colOff>600075</xdr:colOff>
          <xdr:row>5</xdr:row>
          <xdr:rowOff>200025</xdr:rowOff>
        </xdr:to>
        <xdr:sp macro="" textlink="">
          <xdr:nvSpPr>
            <xdr:cNvPr id="16393" name="List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0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2</xdr:row>
          <xdr:rowOff>19050</xdr:rowOff>
        </xdr:from>
        <xdr:to>
          <xdr:col>13</xdr:col>
          <xdr:colOff>19050</xdr:colOff>
          <xdr:row>3</xdr:row>
          <xdr:rowOff>219075</xdr:rowOff>
        </xdr:to>
        <xdr:sp macro="" textlink="">
          <xdr:nvSpPr>
            <xdr:cNvPr id="16396" name="List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4</xdr:row>
          <xdr:rowOff>152400</xdr:rowOff>
        </xdr:from>
        <xdr:to>
          <xdr:col>12</xdr:col>
          <xdr:colOff>657225</xdr:colOff>
          <xdr:row>6</xdr:row>
          <xdr:rowOff>9525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0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ساعت  را حساب کن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</xdr:row>
          <xdr:rowOff>0</xdr:rowOff>
        </xdr:from>
        <xdr:to>
          <xdr:col>7</xdr:col>
          <xdr:colOff>695325</xdr:colOff>
          <xdr:row>1</xdr:row>
          <xdr:rowOff>238125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حساب کن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میانگین را حساب کن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102</xdr:row>
      <xdr:rowOff>66676</xdr:rowOff>
    </xdr:from>
    <xdr:to>
      <xdr:col>13</xdr:col>
      <xdr:colOff>152400</xdr:colOff>
      <xdr:row>122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647700</xdr:colOff>
      <xdr:row>0</xdr:row>
      <xdr:rowOff>161925</xdr:rowOff>
    </xdr:from>
    <xdr:ext cx="4105275" cy="7334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515100" y="161925"/>
          <a:ext cx="4105275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رابطه های این بخش از کتاب ساعتهای خورشیدی نوشته بویشر اخذ شده است .</a:t>
          </a:r>
          <a:endParaRPr lang="en-US" sz="1200" baseline="0">
            <a:solidFill>
              <a:schemeClr val="tx1"/>
            </a:solidFill>
            <a:latin typeface="+mn-lt"/>
            <a:ea typeface="+mn-ea"/>
            <a:cs typeface="B Nazanin" panose="00000400000000000000" pitchFamily="2" charset="-78"/>
          </a:endParaRPr>
        </a:p>
        <a:p>
          <a:pPr marL="0" indent="0" algn="r"/>
          <a:r>
            <a:rPr lang="fa-IR" sz="120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عددی</a:t>
          </a:r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 را که میخواهید</a:t>
          </a:r>
          <a:r>
            <a:rPr lang="fa-IR" sz="120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 در سلول</a:t>
          </a:r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 های رنگی بنویسید.</a:t>
          </a:r>
        </a:p>
        <a:p>
          <a:pPr marL="0" indent="0" algn="l"/>
          <a:r>
            <a:rPr lang="en-US" sz="120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Sonnenuhren by Ottmar Beucher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</xdr:row>
      <xdr:rowOff>9526</xdr:rowOff>
    </xdr:from>
    <xdr:to>
      <xdr:col>13</xdr:col>
      <xdr:colOff>123825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30</xdr:row>
      <xdr:rowOff>166686</xdr:rowOff>
    </xdr:from>
    <xdr:to>
      <xdr:col>14</xdr:col>
      <xdr:colOff>342900</xdr:colOff>
      <xdr:row>48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533402</xdr:colOff>
      <xdr:row>31</xdr:row>
      <xdr:rowOff>152399</xdr:rowOff>
    </xdr:from>
    <xdr:to>
      <xdr:col>15</xdr:col>
      <xdr:colOff>247650</xdr:colOff>
      <xdr:row>57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31</xdr:row>
      <xdr:rowOff>161925</xdr:rowOff>
    </xdr:from>
    <xdr:to>
      <xdr:col>16</xdr:col>
      <xdr:colOff>304800</xdr:colOff>
      <xdr:row>49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657225</xdr:colOff>
          <xdr:row>3</xdr:row>
          <xdr:rowOff>123825</xdr:rowOff>
        </xdr:from>
        <xdr:to>
          <xdr:col>8</xdr:col>
          <xdr:colOff>133350</xdr:colOff>
          <xdr:row>5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A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ساعت خورشیدی را با روش برداری حساب کن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9525</xdr:rowOff>
        </xdr:from>
        <xdr:to>
          <xdr:col>2</xdr:col>
          <xdr:colOff>542925</xdr:colOff>
          <xdr:row>6</xdr:row>
          <xdr:rowOff>114300</xdr:rowOff>
        </xdr:to>
        <xdr:sp macro="" textlink="">
          <xdr:nvSpPr>
            <xdr:cNvPr id="34821" name="List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A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2</xdr:row>
          <xdr:rowOff>76200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34823" name="Option 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A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 Loal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</xdr:row>
          <xdr:rowOff>161925</xdr:rowOff>
        </xdr:from>
        <xdr:to>
          <xdr:col>4</xdr:col>
          <xdr:colOff>447675</xdr:colOff>
          <xdr:row>4</xdr:row>
          <xdr:rowOff>171450</xdr:rowOff>
        </xdr:to>
        <xdr:sp macro="" textlink="">
          <xdr:nvSpPr>
            <xdr:cNvPr id="34824" name="Option 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A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 Civil Tiem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36</xdr:row>
      <xdr:rowOff>104775</xdr:rowOff>
    </xdr:from>
    <xdr:to>
      <xdr:col>15</xdr:col>
      <xdr:colOff>514350</xdr:colOff>
      <xdr:row>52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30</xdr:row>
      <xdr:rowOff>80962</xdr:rowOff>
    </xdr:from>
    <xdr:to>
      <xdr:col>16</xdr:col>
      <xdr:colOff>276225</xdr:colOff>
      <xdr:row>45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0d0283c2c5762e3/Documents/SunDials%20(2)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er"/>
      <sheetName val="EquSol"/>
      <sheetName val="HourLines"/>
      <sheetName val="Average"/>
      <sheetName val="Equatorial"/>
      <sheetName val="Polar"/>
      <sheetName val="Horizontal"/>
      <sheetName val="Vertical"/>
      <sheetName val="General"/>
      <sheetName val="VectorDial"/>
      <sheetName val="V_Polar"/>
      <sheetName val="V_Vertical"/>
      <sheetName val="V_Equatorial"/>
      <sheetName val="Bifilar"/>
      <sheetName val="DialTest"/>
      <sheetName val="Sheet1"/>
      <sheetName val="Sheet2"/>
      <sheetName val="Sheet3"/>
      <sheetName val="Equation of Time"/>
    </sheetNames>
    <sheetDataSet>
      <sheetData sheetId="0">
        <row r="2">
          <cell r="B2" t="str">
            <v>تهران</v>
          </cell>
          <cell r="I2">
            <v>1401</v>
          </cell>
        </row>
        <row r="6">
          <cell r="G6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2271-E2E0-475D-A7B7-382B013CB419}">
  <sheetPr codeName="Sheet11"/>
  <dimension ref="A1:T40"/>
  <sheetViews>
    <sheetView tabSelected="1" workbookViewId="0">
      <selection activeCell="B10" sqref="B10"/>
    </sheetView>
  </sheetViews>
  <sheetFormatPr defaultRowHeight="15"/>
  <cols>
    <col min="1" max="1" width="22.7109375" customWidth="1"/>
    <col min="2" max="2" width="11.140625" customWidth="1"/>
    <col min="5" max="10" width="9.5703125" bestFit="1" customWidth="1"/>
    <col min="11" max="16" width="10.28515625" bestFit="1" customWidth="1"/>
    <col min="19" max="19" width="9" customWidth="1"/>
    <col min="20" max="20" width="7.28515625" hidden="1" customWidth="1"/>
  </cols>
  <sheetData>
    <row r="1" spans="1:20" ht="18">
      <c r="T1" s="67" t="s">
        <v>98</v>
      </c>
    </row>
    <row r="2" spans="1:20" ht="18.75">
      <c r="A2" s="155" t="s">
        <v>19</v>
      </c>
      <c r="B2" s="131" t="s">
        <v>518</v>
      </c>
      <c r="D2" s="6" t="s">
        <v>110</v>
      </c>
      <c r="F2" s="8" t="s">
        <v>111</v>
      </c>
      <c r="H2" s="9" t="s">
        <v>112</v>
      </c>
      <c r="I2" s="9">
        <v>1401</v>
      </c>
      <c r="J2" s="8" t="s">
        <v>113</v>
      </c>
      <c r="L2" s="6" t="s">
        <v>114</v>
      </c>
      <c r="O2" s="6" t="s">
        <v>20</v>
      </c>
      <c r="P2" s="9" t="s">
        <v>115</v>
      </c>
      <c r="Q2" s="9" t="s">
        <v>116</v>
      </c>
      <c r="T2" s="67" t="s">
        <v>99</v>
      </c>
    </row>
    <row r="3" spans="1:20" ht="18.75">
      <c r="A3" s="155" t="s">
        <v>76</v>
      </c>
      <c r="B3" s="130">
        <v>46.289150238037102</v>
      </c>
      <c r="O3" s="2">
        <v>10</v>
      </c>
      <c r="P3">
        <v>0</v>
      </c>
      <c r="Q3">
        <v>0</v>
      </c>
      <c r="T3" s="67" t="s">
        <v>100</v>
      </c>
    </row>
    <row r="4" spans="1:20" ht="18.75">
      <c r="A4" s="155" t="s">
        <v>77</v>
      </c>
      <c r="B4" s="130">
        <v>38.079292297363203</v>
      </c>
      <c r="E4" s="12">
        <v>1</v>
      </c>
      <c r="K4">
        <v>1</v>
      </c>
      <c r="M4">
        <v>2</v>
      </c>
      <c r="T4" s="67" t="s">
        <v>101</v>
      </c>
    </row>
    <row r="5" spans="1:20" ht="18.75">
      <c r="A5" s="155" t="s">
        <v>78</v>
      </c>
      <c r="B5" s="130">
        <v>1210</v>
      </c>
      <c r="T5" s="67" t="s">
        <v>102</v>
      </c>
    </row>
    <row r="6" spans="1:20" ht="18.75">
      <c r="A6" s="155" t="s">
        <v>79</v>
      </c>
      <c r="B6" s="130">
        <v>3.5</v>
      </c>
      <c r="G6">
        <v>1</v>
      </c>
      <c r="S6" s="12"/>
      <c r="T6" s="67" t="s">
        <v>96</v>
      </c>
    </row>
    <row r="7" spans="1:20" ht="21">
      <c r="A7" s="156" t="s">
        <v>80</v>
      </c>
      <c r="C7" s="13">
        <f>(B3-B6*15)*4</f>
        <v>-24.843399047851591</v>
      </c>
      <c r="G7" s="6"/>
      <c r="I7" s="67" t="s">
        <v>519</v>
      </c>
      <c r="J7" s="89" t="str">
        <f>IF(I7="Apparent Declination of Sun, Delta, Degrees","میل ظاهری خورشید،درجه",IF(I7="Local Noon Times, Hour","ظهر به وقت محلی، ساعت",IF(I7="Equation of Time, Minutes","تعدیل زمان،دقیقه",IF(I7="Mean Declination of Sun, Delta, Degrees","میل متوسط خورشید،دقیقه",IF(I7="Sun Elevation at Noon, Degrees","ارتفاع خورشید در ظهر،درجه")))))</f>
        <v>ظهر به وقت محلی، ساعت</v>
      </c>
      <c r="S7" s="12"/>
      <c r="T7" s="67" t="s">
        <v>103</v>
      </c>
    </row>
    <row r="8" spans="1:20" ht="19.5" thickBot="1">
      <c r="A8" s="155" t="s">
        <v>81</v>
      </c>
      <c r="B8" s="10">
        <v>876.11192927573188</v>
      </c>
      <c r="C8" t="s">
        <v>3</v>
      </c>
      <c r="J8" s="132" t="s">
        <v>61</v>
      </c>
      <c r="S8" s="12"/>
      <c r="T8" s="67" t="s">
        <v>22</v>
      </c>
    </row>
    <row r="9" spans="1:20" ht="21">
      <c r="A9" s="154" t="s">
        <v>82</v>
      </c>
      <c r="B9" s="10">
        <v>7.1364968049580559</v>
      </c>
      <c r="C9" s="127" t="s">
        <v>4</v>
      </c>
      <c r="D9" s="153" t="s">
        <v>0</v>
      </c>
      <c r="E9" s="163">
        <v>1</v>
      </c>
      <c r="F9" s="163">
        <f>E9+1</f>
        <v>2</v>
      </c>
      <c r="G9" s="163">
        <f t="shared" ref="G9:P9" si="0">F9+1</f>
        <v>3</v>
      </c>
      <c r="H9" s="163">
        <f t="shared" si="0"/>
        <v>4</v>
      </c>
      <c r="I9" s="163">
        <f t="shared" si="0"/>
        <v>5</v>
      </c>
      <c r="J9" s="163">
        <f t="shared" si="0"/>
        <v>6</v>
      </c>
      <c r="K9" s="163">
        <f t="shared" si="0"/>
        <v>7</v>
      </c>
      <c r="L9" s="163">
        <f t="shared" si="0"/>
        <v>8</v>
      </c>
      <c r="M9" s="163">
        <f t="shared" si="0"/>
        <v>9</v>
      </c>
      <c r="N9" s="163">
        <f t="shared" si="0"/>
        <v>10</v>
      </c>
      <c r="O9" s="163">
        <f t="shared" si="0"/>
        <v>11</v>
      </c>
      <c r="P9" s="164">
        <f t="shared" si="0"/>
        <v>12</v>
      </c>
      <c r="S9" s="12"/>
      <c r="T9" s="67" t="s">
        <v>104</v>
      </c>
    </row>
    <row r="10" spans="1:20" ht="21">
      <c r="D10" s="165">
        <v>1</v>
      </c>
      <c r="E10" s="15" t="s">
        <v>520</v>
      </c>
      <c r="F10" s="15" t="s">
        <v>550</v>
      </c>
      <c r="G10" s="15" t="s">
        <v>578</v>
      </c>
      <c r="H10" s="15" t="s">
        <v>604</v>
      </c>
      <c r="I10" s="15" t="s">
        <v>634</v>
      </c>
      <c r="J10" s="15" t="s">
        <v>659</v>
      </c>
      <c r="K10" s="15" t="s">
        <v>685</v>
      </c>
      <c r="L10" s="15" t="s">
        <v>715</v>
      </c>
      <c r="M10" s="15" t="s">
        <v>738</v>
      </c>
      <c r="N10" s="15" t="s">
        <v>589</v>
      </c>
      <c r="O10" s="15" t="s">
        <v>789</v>
      </c>
      <c r="P10" s="16" t="s">
        <v>817</v>
      </c>
      <c r="S10" s="12"/>
      <c r="T10" s="67" t="s">
        <v>105</v>
      </c>
    </row>
    <row r="11" spans="1:20" ht="21">
      <c r="D11" s="165">
        <f>D10+1</f>
        <v>2</v>
      </c>
      <c r="E11" s="15" t="s">
        <v>521</v>
      </c>
      <c r="F11" s="15" t="s">
        <v>551</v>
      </c>
      <c r="G11" s="15" t="s">
        <v>579</v>
      </c>
      <c r="H11" s="15" t="s">
        <v>605</v>
      </c>
      <c r="I11" s="15" t="s">
        <v>635</v>
      </c>
      <c r="J11" s="15" t="s">
        <v>660</v>
      </c>
      <c r="K11" s="15" t="s">
        <v>686</v>
      </c>
      <c r="L11" s="15" t="s">
        <v>716</v>
      </c>
      <c r="M11" s="15" t="s">
        <v>739</v>
      </c>
      <c r="N11" s="15" t="s">
        <v>764</v>
      </c>
      <c r="O11" s="15" t="s">
        <v>790</v>
      </c>
      <c r="P11" s="16" t="s">
        <v>818</v>
      </c>
      <c r="S11" s="12"/>
      <c r="T11" s="67" t="s">
        <v>106</v>
      </c>
    </row>
    <row r="12" spans="1:20" ht="21">
      <c r="D12" s="165">
        <f t="shared" ref="D12:D40" si="1">D11+1</f>
        <v>3</v>
      </c>
      <c r="E12" s="15" t="s">
        <v>522</v>
      </c>
      <c r="F12" s="15" t="s">
        <v>552</v>
      </c>
      <c r="G12" s="15" t="s">
        <v>580</v>
      </c>
      <c r="H12" s="15" t="s">
        <v>606</v>
      </c>
      <c r="I12" s="15" t="s">
        <v>636</v>
      </c>
      <c r="J12" s="15" t="s">
        <v>661</v>
      </c>
      <c r="K12" s="15" t="s">
        <v>687</v>
      </c>
      <c r="L12" s="15" t="s">
        <v>717</v>
      </c>
      <c r="M12" s="15" t="s">
        <v>740</v>
      </c>
      <c r="N12" s="15" t="s">
        <v>765</v>
      </c>
      <c r="O12" s="15" t="s">
        <v>791</v>
      </c>
      <c r="P12" s="16" t="s">
        <v>800</v>
      </c>
      <c r="S12" s="12"/>
      <c r="T12" s="66" t="s">
        <v>107</v>
      </c>
    </row>
    <row r="13" spans="1:20" ht="21">
      <c r="D13" s="165">
        <f t="shared" si="1"/>
        <v>4</v>
      </c>
      <c r="E13" s="15" t="s">
        <v>523</v>
      </c>
      <c r="F13" s="15" t="s">
        <v>553</v>
      </c>
      <c r="G13" s="15" t="s">
        <v>581</v>
      </c>
      <c r="H13" s="15" t="s">
        <v>607</v>
      </c>
      <c r="I13" s="15" t="s">
        <v>636</v>
      </c>
      <c r="J13" s="15" t="s">
        <v>662</v>
      </c>
      <c r="K13" s="15" t="s">
        <v>688</v>
      </c>
      <c r="L13" s="15" t="s">
        <v>718</v>
      </c>
      <c r="M13" s="15" t="s">
        <v>741</v>
      </c>
      <c r="N13" s="15" t="s">
        <v>766</v>
      </c>
      <c r="O13" s="15" t="s">
        <v>792</v>
      </c>
      <c r="P13" s="16" t="s">
        <v>799</v>
      </c>
      <c r="T13" s="67" t="s">
        <v>108</v>
      </c>
    </row>
    <row r="14" spans="1:20" ht="21">
      <c r="D14" s="165">
        <f t="shared" si="1"/>
        <v>5</v>
      </c>
      <c r="E14" s="15" t="s">
        <v>524</v>
      </c>
      <c r="F14" s="15" t="s">
        <v>554</v>
      </c>
      <c r="G14" s="15" t="s">
        <v>582</v>
      </c>
      <c r="H14" s="15" t="s">
        <v>608</v>
      </c>
      <c r="I14" s="15" t="s">
        <v>636</v>
      </c>
      <c r="J14" s="15" t="s">
        <v>663</v>
      </c>
      <c r="K14" s="15" t="s">
        <v>689</v>
      </c>
      <c r="L14" s="15" t="s">
        <v>719</v>
      </c>
      <c r="M14" s="15" t="s">
        <v>742</v>
      </c>
      <c r="N14" s="15" t="s">
        <v>598</v>
      </c>
      <c r="O14" s="15" t="s">
        <v>793</v>
      </c>
      <c r="P14" s="16" t="s">
        <v>819</v>
      </c>
      <c r="T14" s="67" t="s">
        <v>109</v>
      </c>
    </row>
    <row r="15" spans="1:20" ht="21">
      <c r="D15" s="165">
        <f t="shared" si="1"/>
        <v>6</v>
      </c>
      <c r="E15" s="15" t="s">
        <v>525</v>
      </c>
      <c r="F15" s="15" t="s">
        <v>555</v>
      </c>
      <c r="G15" s="15" t="s">
        <v>583</v>
      </c>
      <c r="H15" s="15" t="s">
        <v>305</v>
      </c>
      <c r="I15" s="15" t="s">
        <v>635</v>
      </c>
      <c r="J15" s="15" t="s">
        <v>664</v>
      </c>
      <c r="K15" s="15" t="s">
        <v>690</v>
      </c>
      <c r="L15" s="15" t="s">
        <v>720</v>
      </c>
      <c r="M15" s="15" t="s">
        <v>743</v>
      </c>
      <c r="N15" s="15" t="s">
        <v>767</v>
      </c>
      <c r="O15" s="15" t="s">
        <v>794</v>
      </c>
      <c r="P15" s="16" t="s">
        <v>820</v>
      </c>
    </row>
    <row r="16" spans="1:20" ht="21">
      <c r="D16" s="165">
        <f t="shared" si="1"/>
        <v>7</v>
      </c>
      <c r="E16" s="15" t="s">
        <v>186</v>
      </c>
      <c r="F16" s="15" t="s">
        <v>556</v>
      </c>
      <c r="G16" s="15" t="s">
        <v>584</v>
      </c>
      <c r="H16" s="15" t="s">
        <v>609</v>
      </c>
      <c r="I16" s="15" t="s">
        <v>637</v>
      </c>
      <c r="J16" s="15" t="s">
        <v>665</v>
      </c>
      <c r="K16" s="15" t="s">
        <v>691</v>
      </c>
      <c r="L16" s="15" t="s">
        <v>721</v>
      </c>
      <c r="M16" s="15" t="s">
        <v>744</v>
      </c>
      <c r="N16" s="15" t="s">
        <v>768</v>
      </c>
      <c r="O16" s="15" t="s">
        <v>795</v>
      </c>
      <c r="P16" s="16" t="s">
        <v>821</v>
      </c>
    </row>
    <row r="17" spans="4:16" ht="21">
      <c r="D17" s="165">
        <f t="shared" si="1"/>
        <v>8</v>
      </c>
      <c r="E17" s="15" t="s">
        <v>526</v>
      </c>
      <c r="F17" s="15" t="s">
        <v>557</v>
      </c>
      <c r="G17" s="15" t="s">
        <v>585</v>
      </c>
      <c r="H17" s="15" t="s">
        <v>610</v>
      </c>
      <c r="I17" s="15" t="s">
        <v>638</v>
      </c>
      <c r="J17" s="15" t="s">
        <v>666</v>
      </c>
      <c r="K17" s="15" t="s">
        <v>692</v>
      </c>
      <c r="L17" s="15" t="s">
        <v>722</v>
      </c>
      <c r="M17" s="15" t="s">
        <v>745</v>
      </c>
      <c r="N17" s="15" t="s">
        <v>769</v>
      </c>
      <c r="O17" s="15" t="s">
        <v>796</v>
      </c>
      <c r="P17" s="16" t="s">
        <v>822</v>
      </c>
    </row>
    <row r="18" spans="4:16" ht="21">
      <c r="D18" s="165">
        <f t="shared" si="1"/>
        <v>9</v>
      </c>
      <c r="E18" s="15" t="s">
        <v>527</v>
      </c>
      <c r="F18" s="15" t="s">
        <v>558</v>
      </c>
      <c r="G18" s="15" t="s">
        <v>586</v>
      </c>
      <c r="H18" s="15" t="s">
        <v>611</v>
      </c>
      <c r="I18" s="15" t="s">
        <v>639</v>
      </c>
      <c r="J18" s="15" t="s">
        <v>667</v>
      </c>
      <c r="K18" s="15" t="s">
        <v>693</v>
      </c>
      <c r="L18" s="15" t="s">
        <v>723</v>
      </c>
      <c r="M18" s="15" t="s">
        <v>746</v>
      </c>
      <c r="N18" s="15" t="s">
        <v>770</v>
      </c>
      <c r="O18" s="15" t="s">
        <v>797</v>
      </c>
      <c r="P18" s="16" t="s">
        <v>823</v>
      </c>
    </row>
    <row r="19" spans="4:16" ht="21">
      <c r="D19" s="165">
        <f t="shared" si="1"/>
        <v>10</v>
      </c>
      <c r="E19" s="15" t="s">
        <v>528</v>
      </c>
      <c r="F19" s="15" t="s">
        <v>559</v>
      </c>
      <c r="G19" s="15" t="s">
        <v>556</v>
      </c>
      <c r="H19" s="15" t="s">
        <v>612</v>
      </c>
      <c r="I19" s="15" t="s">
        <v>640</v>
      </c>
      <c r="J19" s="15" t="s">
        <v>596</v>
      </c>
      <c r="K19" s="15" t="s">
        <v>694</v>
      </c>
      <c r="L19" s="15" t="s">
        <v>724</v>
      </c>
      <c r="M19" s="15" t="s">
        <v>747</v>
      </c>
      <c r="N19" s="15" t="s">
        <v>771</v>
      </c>
      <c r="O19" s="15" t="s">
        <v>798</v>
      </c>
      <c r="P19" s="16" t="s">
        <v>824</v>
      </c>
    </row>
    <row r="20" spans="4:16" ht="21">
      <c r="D20" s="165">
        <f t="shared" si="1"/>
        <v>11</v>
      </c>
      <c r="E20" s="15" t="s">
        <v>529</v>
      </c>
      <c r="F20" s="15" t="s">
        <v>560</v>
      </c>
      <c r="G20" s="15" t="s">
        <v>555</v>
      </c>
      <c r="H20" s="15" t="s">
        <v>613</v>
      </c>
      <c r="I20" s="15" t="s">
        <v>641</v>
      </c>
      <c r="J20" s="15" t="s">
        <v>668</v>
      </c>
      <c r="K20" s="15" t="s">
        <v>695</v>
      </c>
      <c r="L20" s="15" t="s">
        <v>725</v>
      </c>
      <c r="M20" s="15" t="s">
        <v>748</v>
      </c>
      <c r="N20" s="15" t="s">
        <v>772</v>
      </c>
      <c r="O20" s="15" t="s">
        <v>799</v>
      </c>
      <c r="P20" s="16" t="s">
        <v>825</v>
      </c>
    </row>
    <row r="21" spans="4:16" ht="21">
      <c r="D21" s="165">
        <f t="shared" si="1"/>
        <v>12</v>
      </c>
      <c r="E21" s="15" t="s">
        <v>530</v>
      </c>
      <c r="F21" s="15" t="s">
        <v>561</v>
      </c>
      <c r="G21" s="15" t="s">
        <v>554</v>
      </c>
      <c r="H21" s="15" t="s">
        <v>614</v>
      </c>
      <c r="I21" s="15" t="s">
        <v>642</v>
      </c>
      <c r="J21" s="15" t="s">
        <v>669</v>
      </c>
      <c r="K21" s="15" t="s">
        <v>696</v>
      </c>
      <c r="L21" s="15" t="s">
        <v>726</v>
      </c>
      <c r="M21" s="15" t="s">
        <v>749</v>
      </c>
      <c r="N21" s="15" t="s">
        <v>773</v>
      </c>
      <c r="O21" s="15" t="s">
        <v>800</v>
      </c>
      <c r="P21" s="16" t="s">
        <v>792</v>
      </c>
    </row>
    <row r="22" spans="4:16" ht="21">
      <c r="D22" s="165">
        <f t="shared" si="1"/>
        <v>13</v>
      </c>
      <c r="E22" s="15" t="s">
        <v>531</v>
      </c>
      <c r="F22" s="15" t="s">
        <v>562</v>
      </c>
      <c r="G22" s="15" t="s">
        <v>587</v>
      </c>
      <c r="H22" s="15" t="s">
        <v>615</v>
      </c>
      <c r="I22" s="15" t="s">
        <v>643</v>
      </c>
      <c r="J22" s="15" t="s">
        <v>670</v>
      </c>
      <c r="K22" s="15" t="s">
        <v>697</v>
      </c>
      <c r="L22" s="15" t="s">
        <v>726</v>
      </c>
      <c r="M22" s="15" t="s">
        <v>750</v>
      </c>
      <c r="N22" s="15" t="s">
        <v>653</v>
      </c>
      <c r="O22" s="15" t="s">
        <v>801</v>
      </c>
      <c r="P22" s="16" t="s">
        <v>826</v>
      </c>
    </row>
    <row r="23" spans="4:16" ht="21">
      <c r="D23" s="165">
        <f t="shared" si="1"/>
        <v>14</v>
      </c>
      <c r="E23" s="15" t="s">
        <v>532</v>
      </c>
      <c r="F23" s="15" t="s">
        <v>563</v>
      </c>
      <c r="G23" s="15" t="s">
        <v>588</v>
      </c>
      <c r="H23" s="15" t="s">
        <v>616</v>
      </c>
      <c r="I23" s="15" t="s">
        <v>644</v>
      </c>
      <c r="J23" s="15" t="s">
        <v>550</v>
      </c>
      <c r="K23" s="15" t="s">
        <v>698</v>
      </c>
      <c r="L23" s="15" t="s">
        <v>724</v>
      </c>
      <c r="M23" s="15" t="s">
        <v>751</v>
      </c>
      <c r="N23" s="15" t="s">
        <v>617</v>
      </c>
      <c r="O23" s="15" t="s">
        <v>802</v>
      </c>
      <c r="P23" s="16" t="s">
        <v>827</v>
      </c>
    </row>
    <row r="24" spans="4:16" ht="21">
      <c r="D24" s="165">
        <f t="shared" si="1"/>
        <v>15</v>
      </c>
      <c r="E24" s="15" t="s">
        <v>533</v>
      </c>
      <c r="F24" s="15" t="s">
        <v>564</v>
      </c>
      <c r="G24" s="15" t="s">
        <v>589</v>
      </c>
      <c r="H24" s="15" t="s">
        <v>617</v>
      </c>
      <c r="I24" s="15" t="s">
        <v>645</v>
      </c>
      <c r="J24" s="15" t="s">
        <v>671</v>
      </c>
      <c r="K24" s="15" t="s">
        <v>699</v>
      </c>
      <c r="L24" s="15" t="s">
        <v>723</v>
      </c>
      <c r="M24" s="15" t="s">
        <v>752</v>
      </c>
      <c r="N24" s="15" t="s">
        <v>774</v>
      </c>
      <c r="O24" s="15" t="s">
        <v>803</v>
      </c>
      <c r="P24" s="16" t="s">
        <v>828</v>
      </c>
    </row>
    <row r="25" spans="4:16" ht="21">
      <c r="D25" s="165">
        <f t="shared" si="1"/>
        <v>16</v>
      </c>
      <c r="E25" s="15" t="s">
        <v>534</v>
      </c>
      <c r="F25" s="15" t="s">
        <v>565</v>
      </c>
      <c r="G25" s="15" t="s">
        <v>590</v>
      </c>
      <c r="H25" s="15" t="s">
        <v>618</v>
      </c>
      <c r="I25" s="15" t="s">
        <v>646</v>
      </c>
      <c r="J25" s="15" t="s">
        <v>672</v>
      </c>
      <c r="K25" s="15" t="s">
        <v>700</v>
      </c>
      <c r="L25" s="15" t="s">
        <v>722</v>
      </c>
      <c r="M25" s="15" t="s">
        <v>688</v>
      </c>
      <c r="N25" s="15" t="s">
        <v>775</v>
      </c>
      <c r="O25" s="15" t="s">
        <v>804</v>
      </c>
      <c r="P25" s="16" t="s">
        <v>829</v>
      </c>
    </row>
    <row r="26" spans="4:16" ht="21">
      <c r="D26" s="165">
        <f t="shared" si="1"/>
        <v>17</v>
      </c>
      <c r="E26" s="15" t="s">
        <v>535</v>
      </c>
      <c r="F26" s="15" t="s">
        <v>566</v>
      </c>
      <c r="G26" s="15" t="s">
        <v>591</v>
      </c>
      <c r="H26" s="15" t="s">
        <v>619</v>
      </c>
      <c r="I26" s="15" t="s">
        <v>647</v>
      </c>
      <c r="J26" s="15" t="s">
        <v>673</v>
      </c>
      <c r="K26" s="15" t="s">
        <v>701</v>
      </c>
      <c r="L26" s="15" t="s">
        <v>721</v>
      </c>
      <c r="M26" s="15" t="s">
        <v>753</v>
      </c>
      <c r="N26" s="15" t="s">
        <v>776</v>
      </c>
      <c r="O26" s="15" t="s">
        <v>805</v>
      </c>
      <c r="P26" s="16" t="s">
        <v>830</v>
      </c>
    </row>
    <row r="27" spans="4:16" ht="21">
      <c r="D27" s="165">
        <f t="shared" si="1"/>
        <v>18</v>
      </c>
      <c r="E27" s="15" t="s">
        <v>536</v>
      </c>
      <c r="F27" s="15" t="s">
        <v>567</v>
      </c>
      <c r="G27" s="15" t="s">
        <v>592</v>
      </c>
      <c r="H27" s="15" t="s">
        <v>620</v>
      </c>
      <c r="I27" s="15" t="s">
        <v>648</v>
      </c>
      <c r="J27" s="15" t="s">
        <v>558</v>
      </c>
      <c r="K27" s="15" t="s">
        <v>702</v>
      </c>
      <c r="L27" s="15" t="s">
        <v>720</v>
      </c>
      <c r="M27" s="15" t="s">
        <v>754</v>
      </c>
      <c r="N27" s="15" t="s">
        <v>635</v>
      </c>
      <c r="O27" s="15" t="s">
        <v>806</v>
      </c>
      <c r="P27" s="16" t="s">
        <v>787</v>
      </c>
    </row>
    <row r="28" spans="4:16" ht="21">
      <c r="D28" s="165">
        <f t="shared" si="1"/>
        <v>19</v>
      </c>
      <c r="E28" s="15" t="s">
        <v>537</v>
      </c>
      <c r="F28" s="15" t="s">
        <v>568</v>
      </c>
      <c r="G28" s="15" t="s">
        <v>593</v>
      </c>
      <c r="H28" s="15" t="s">
        <v>621</v>
      </c>
      <c r="I28" s="15" t="s">
        <v>186</v>
      </c>
      <c r="J28" s="15" t="s">
        <v>582</v>
      </c>
      <c r="K28" s="15" t="s">
        <v>703</v>
      </c>
      <c r="L28" s="15" t="s">
        <v>719</v>
      </c>
      <c r="M28" s="15" t="s">
        <v>755</v>
      </c>
      <c r="N28" s="15" t="s">
        <v>777</v>
      </c>
      <c r="O28" s="15" t="s">
        <v>807</v>
      </c>
      <c r="P28" s="16" t="s">
        <v>831</v>
      </c>
    </row>
    <row r="29" spans="4:16" ht="21">
      <c r="D29" s="165">
        <f t="shared" si="1"/>
        <v>20</v>
      </c>
      <c r="E29" s="15" t="s">
        <v>538</v>
      </c>
      <c r="F29" s="15" t="s">
        <v>569</v>
      </c>
      <c r="G29" s="15" t="s">
        <v>594</v>
      </c>
      <c r="H29" s="15" t="s">
        <v>622</v>
      </c>
      <c r="I29" s="15" t="s">
        <v>620</v>
      </c>
      <c r="J29" s="15" t="s">
        <v>578</v>
      </c>
      <c r="K29" s="15" t="s">
        <v>704</v>
      </c>
      <c r="L29" s="15" t="s">
        <v>727</v>
      </c>
      <c r="M29" s="15" t="s">
        <v>756</v>
      </c>
      <c r="N29" s="15" t="s">
        <v>778</v>
      </c>
      <c r="O29" s="15" t="s">
        <v>808</v>
      </c>
      <c r="P29" s="16" t="s">
        <v>832</v>
      </c>
    </row>
    <row r="30" spans="4:16" ht="21">
      <c r="D30" s="165">
        <f>D29+1</f>
        <v>21</v>
      </c>
      <c r="E30" s="15" t="s">
        <v>539</v>
      </c>
      <c r="F30" s="15" t="s">
        <v>570</v>
      </c>
      <c r="G30" s="15" t="s">
        <v>595</v>
      </c>
      <c r="H30" s="15" t="s">
        <v>623</v>
      </c>
      <c r="I30" s="15" t="s">
        <v>649</v>
      </c>
      <c r="J30" s="15" t="s">
        <v>674</v>
      </c>
      <c r="K30" s="15" t="s">
        <v>705</v>
      </c>
      <c r="L30" s="15" t="s">
        <v>728</v>
      </c>
      <c r="M30" s="15" t="s">
        <v>757</v>
      </c>
      <c r="N30" s="15" t="s">
        <v>779</v>
      </c>
      <c r="O30" s="15" t="s">
        <v>809</v>
      </c>
      <c r="P30" s="16" t="s">
        <v>833</v>
      </c>
    </row>
    <row r="31" spans="4:16" ht="21">
      <c r="D31" s="165">
        <f t="shared" si="1"/>
        <v>22</v>
      </c>
      <c r="E31" s="15" t="s">
        <v>540</v>
      </c>
      <c r="F31" s="15" t="s">
        <v>571</v>
      </c>
      <c r="G31" s="15" t="s">
        <v>545</v>
      </c>
      <c r="H31" s="15" t="s">
        <v>624</v>
      </c>
      <c r="I31" s="15" t="s">
        <v>650</v>
      </c>
      <c r="J31" s="15" t="s">
        <v>675</v>
      </c>
      <c r="K31" s="15" t="s">
        <v>706</v>
      </c>
      <c r="L31" s="15" t="s">
        <v>729</v>
      </c>
      <c r="M31" s="15" t="s">
        <v>758</v>
      </c>
      <c r="N31" s="15" t="s">
        <v>780</v>
      </c>
      <c r="O31" s="15" t="s">
        <v>810</v>
      </c>
      <c r="P31" s="16" t="s">
        <v>834</v>
      </c>
    </row>
    <row r="32" spans="4:16" ht="21">
      <c r="D32" s="165">
        <f t="shared" si="1"/>
        <v>23</v>
      </c>
      <c r="E32" s="15" t="s">
        <v>541</v>
      </c>
      <c r="F32" s="15" t="s">
        <v>571</v>
      </c>
      <c r="G32" s="15" t="s">
        <v>596</v>
      </c>
      <c r="H32" s="15" t="s">
        <v>625</v>
      </c>
      <c r="I32" s="15" t="s">
        <v>651</v>
      </c>
      <c r="J32" s="15" t="s">
        <v>676</v>
      </c>
      <c r="K32" s="15" t="s">
        <v>707</v>
      </c>
      <c r="L32" s="15" t="s">
        <v>730</v>
      </c>
      <c r="M32" s="15" t="s">
        <v>759</v>
      </c>
      <c r="N32" s="15" t="s">
        <v>781</v>
      </c>
      <c r="O32" s="15" t="s">
        <v>810</v>
      </c>
      <c r="P32" s="16" t="s">
        <v>835</v>
      </c>
    </row>
    <row r="33" spans="4:16" ht="21">
      <c r="D33" s="165">
        <f>D32+1</f>
        <v>24</v>
      </c>
      <c r="E33" s="15" t="s">
        <v>542</v>
      </c>
      <c r="F33" s="15" t="s">
        <v>571</v>
      </c>
      <c r="G33" s="15" t="s">
        <v>597</v>
      </c>
      <c r="H33" s="15" t="s">
        <v>626</v>
      </c>
      <c r="I33" s="15" t="s">
        <v>652</v>
      </c>
      <c r="J33" s="15" t="s">
        <v>677</v>
      </c>
      <c r="K33" s="15" t="s">
        <v>708</v>
      </c>
      <c r="L33" s="15" t="s">
        <v>731</v>
      </c>
      <c r="M33" s="15" t="s">
        <v>760</v>
      </c>
      <c r="N33" s="15" t="s">
        <v>782</v>
      </c>
      <c r="O33" s="15" t="s">
        <v>809</v>
      </c>
      <c r="P33" s="16" t="s">
        <v>836</v>
      </c>
    </row>
    <row r="34" spans="4:16" ht="21">
      <c r="D34" s="165">
        <f t="shared" si="1"/>
        <v>25</v>
      </c>
      <c r="E34" s="15" t="s">
        <v>543</v>
      </c>
      <c r="F34" s="15" t="s">
        <v>571</v>
      </c>
      <c r="G34" s="15" t="s">
        <v>598</v>
      </c>
      <c r="H34" s="15" t="s">
        <v>627</v>
      </c>
      <c r="I34" s="15" t="s">
        <v>653</v>
      </c>
      <c r="J34" s="15" t="s">
        <v>678</v>
      </c>
      <c r="K34" s="15" t="s">
        <v>709</v>
      </c>
      <c r="L34" s="15" t="s">
        <v>732</v>
      </c>
      <c r="M34" s="15" t="s">
        <v>761</v>
      </c>
      <c r="N34" s="15" t="s">
        <v>783</v>
      </c>
      <c r="O34" s="15" t="s">
        <v>811</v>
      </c>
      <c r="P34" s="16" t="s">
        <v>837</v>
      </c>
    </row>
    <row r="35" spans="4:16" ht="21">
      <c r="D35" s="165">
        <f t="shared" si="1"/>
        <v>26</v>
      </c>
      <c r="E35" s="15" t="s">
        <v>544</v>
      </c>
      <c r="F35" s="15" t="s">
        <v>572</v>
      </c>
      <c r="G35" s="15" t="s">
        <v>599</v>
      </c>
      <c r="H35" s="15" t="s">
        <v>628</v>
      </c>
      <c r="I35" s="15" t="s">
        <v>654</v>
      </c>
      <c r="J35" s="15" t="s">
        <v>679</v>
      </c>
      <c r="K35" s="15" t="s">
        <v>710</v>
      </c>
      <c r="L35" s="15" t="s">
        <v>733</v>
      </c>
      <c r="M35" s="15" t="s">
        <v>762</v>
      </c>
      <c r="N35" s="15" t="s">
        <v>784</v>
      </c>
      <c r="O35" s="15" t="s">
        <v>812</v>
      </c>
      <c r="P35" s="16" t="s">
        <v>838</v>
      </c>
    </row>
    <row r="36" spans="4:16" ht="21">
      <c r="D36" s="165">
        <f t="shared" si="1"/>
        <v>27</v>
      </c>
      <c r="E36" s="15" t="s">
        <v>545</v>
      </c>
      <c r="F36" s="15" t="s">
        <v>573</v>
      </c>
      <c r="G36" s="15" t="s">
        <v>600</v>
      </c>
      <c r="H36" s="15" t="s">
        <v>629</v>
      </c>
      <c r="I36" s="15" t="s">
        <v>655</v>
      </c>
      <c r="J36" s="15" t="s">
        <v>680</v>
      </c>
      <c r="K36" s="15" t="s">
        <v>711</v>
      </c>
      <c r="L36" s="15" t="s">
        <v>734</v>
      </c>
      <c r="M36" s="15" t="s">
        <v>567</v>
      </c>
      <c r="N36" s="15" t="s">
        <v>785</v>
      </c>
      <c r="O36" s="15" t="s">
        <v>813</v>
      </c>
      <c r="P36" s="16" t="s">
        <v>780</v>
      </c>
    </row>
    <row r="37" spans="4:16" ht="21">
      <c r="D37" s="165">
        <f t="shared" si="1"/>
        <v>28</v>
      </c>
      <c r="E37" s="15" t="s">
        <v>546</v>
      </c>
      <c r="F37" s="15" t="s">
        <v>574</v>
      </c>
      <c r="G37" s="15" t="s">
        <v>601</v>
      </c>
      <c r="H37" s="15" t="s">
        <v>630</v>
      </c>
      <c r="I37" s="15" t="s">
        <v>611</v>
      </c>
      <c r="J37" s="15" t="s">
        <v>681</v>
      </c>
      <c r="K37" s="15" t="s">
        <v>712</v>
      </c>
      <c r="L37" s="15" t="s">
        <v>735</v>
      </c>
      <c r="M37" s="15" t="s">
        <v>561</v>
      </c>
      <c r="N37" s="15" t="s">
        <v>786</v>
      </c>
      <c r="O37" s="15" t="s">
        <v>814</v>
      </c>
      <c r="P37" s="16" t="s">
        <v>839</v>
      </c>
    </row>
    <row r="38" spans="4:16" ht="21">
      <c r="D38" s="165">
        <f t="shared" si="1"/>
        <v>29</v>
      </c>
      <c r="E38" s="15" t="s">
        <v>547</v>
      </c>
      <c r="F38" s="15" t="s">
        <v>575</v>
      </c>
      <c r="G38" s="15" t="s">
        <v>539</v>
      </c>
      <c r="H38" s="15" t="s">
        <v>631</v>
      </c>
      <c r="I38" s="15" t="s">
        <v>656</v>
      </c>
      <c r="J38" s="15" t="s">
        <v>682</v>
      </c>
      <c r="K38" s="15" t="s">
        <v>713</v>
      </c>
      <c r="L38" s="15" t="s">
        <v>736</v>
      </c>
      <c r="M38" s="15" t="s">
        <v>763</v>
      </c>
      <c r="N38" s="15" t="s">
        <v>787</v>
      </c>
      <c r="O38" s="15" t="s">
        <v>815</v>
      </c>
      <c r="P38" s="16" t="s">
        <v>840</v>
      </c>
    </row>
    <row r="39" spans="4:16" ht="21">
      <c r="D39" s="165">
        <f>D38+1</f>
        <v>30</v>
      </c>
      <c r="E39" s="15" t="s">
        <v>548</v>
      </c>
      <c r="F39" s="15" t="s">
        <v>576</v>
      </c>
      <c r="G39" s="15" t="s">
        <v>602</v>
      </c>
      <c r="H39" s="15" t="s">
        <v>632</v>
      </c>
      <c r="I39" s="15" t="s">
        <v>657</v>
      </c>
      <c r="J39" s="15" t="s">
        <v>683</v>
      </c>
      <c r="K39" s="15" t="s">
        <v>714</v>
      </c>
      <c r="L39" s="15" t="s">
        <v>737</v>
      </c>
      <c r="M39" s="15" t="s">
        <v>554</v>
      </c>
      <c r="N39" s="15" t="s">
        <v>788</v>
      </c>
      <c r="O39" s="15" t="s">
        <v>816</v>
      </c>
      <c r="P39" s="16"/>
    </row>
    <row r="40" spans="4:16" ht="21.75" thickBot="1">
      <c r="D40" s="166">
        <f t="shared" si="1"/>
        <v>31</v>
      </c>
      <c r="E40" s="17" t="s">
        <v>549</v>
      </c>
      <c r="F40" s="17" t="s">
        <v>577</v>
      </c>
      <c r="G40" s="17" t="s">
        <v>603</v>
      </c>
      <c r="H40" s="17" t="s">
        <v>633</v>
      </c>
      <c r="I40" s="17" t="s">
        <v>658</v>
      </c>
      <c r="J40" s="17" t="s">
        <v>684</v>
      </c>
      <c r="K40" s="17"/>
      <c r="L40" s="17"/>
      <c r="M40" s="17"/>
      <c r="N40" s="17"/>
      <c r="O40" s="17"/>
      <c r="P40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EQT_Click">
                <anchor moveWithCells="1">
                  <from>
                    <xdr:col>5</xdr:col>
                    <xdr:colOff>209550</xdr:colOff>
                    <xdr:row>5</xdr:row>
                    <xdr:rowOff>0</xdr:rowOff>
                  </from>
                  <to>
                    <xdr:col>7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Option Button 3">
              <controlPr defaultSize="0" autoFill="0" autoLine="0" autoPict="0" altText="Iranian Calendar">
                <anchor moveWithCells="1">
                  <from>
                    <xdr:col>4</xdr:col>
                    <xdr:colOff>571500</xdr:colOff>
                    <xdr:row>2</xdr:row>
                    <xdr:rowOff>19050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Option Button 4">
              <controlPr defaultSize="0" autoFill="0" autoLine="0" autoPict="0">
                <anchor moveWithCells="1">
                  <from>
                    <xdr:col>4</xdr:col>
                    <xdr:colOff>581025</xdr:colOff>
                    <xdr:row>3</xdr:row>
                    <xdr:rowOff>95250</xdr:rowOff>
                  </from>
                  <to>
                    <xdr:col>6</xdr:col>
                    <xdr:colOff>323850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7" name="List Box 8">
              <controlPr defaultSize="0" autoLine="0" autoPict="0">
                <anchor moveWithCells="1">
                  <from>
                    <xdr:col>2</xdr:col>
                    <xdr:colOff>190500</xdr:colOff>
                    <xdr:row>2</xdr:row>
                    <xdr:rowOff>9525</xdr:rowOff>
                  </from>
                  <to>
                    <xdr:col>4</xdr:col>
                    <xdr:colOff>495300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8" name="List Box 9">
              <controlPr defaultSize="0" autoLine="0" autoPict="0">
                <anchor moveWithCells="1">
                  <from>
                    <xdr:col>8</xdr:col>
                    <xdr:colOff>28575</xdr:colOff>
                    <xdr:row>2</xdr:row>
                    <xdr:rowOff>0</xdr:rowOff>
                  </from>
                  <to>
                    <xdr:col>9</xdr:col>
                    <xdr:colOff>600075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9" name="List Box 12">
              <controlPr defaultSize="0" autoLine="0" autoPict="0">
                <anchor moveWithCells="1">
                  <from>
                    <xdr:col>10</xdr:col>
                    <xdr:colOff>552450</xdr:colOff>
                    <xdr:row>2</xdr:row>
                    <xdr:rowOff>19050</xdr:rowOff>
                  </from>
                  <to>
                    <xdr:col>13</xdr:col>
                    <xdr:colOff>19050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0" name="Button 13">
              <controlPr defaultSize="0" print="0" autoFill="0" autoPict="0" macro="[0]!PolarGnom">
                <anchor moveWithCells="1" sizeWithCells="1">
                  <from>
                    <xdr:col>10</xdr:col>
                    <xdr:colOff>542925</xdr:colOff>
                    <xdr:row>4</xdr:row>
                    <xdr:rowOff>152400</xdr:rowOff>
                  </from>
                  <to>
                    <xdr:col>12</xdr:col>
                    <xdr:colOff>657225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9A1D9-D7BB-465F-8FFA-790CD8ABE083}">
  <sheetPr codeName="Sheet12"/>
  <dimension ref="A1:P132"/>
  <sheetViews>
    <sheetView workbookViewId="0">
      <selection activeCell="A4" sqref="A4"/>
    </sheetView>
  </sheetViews>
  <sheetFormatPr defaultRowHeight="15"/>
  <cols>
    <col min="1" max="1" width="9.140625" style="2"/>
    <col min="2" max="3" width="10.5703125" style="2" bestFit="1" customWidth="1"/>
    <col min="4" max="4" width="10.7109375" style="2" customWidth="1"/>
    <col min="5" max="5" width="10.140625" style="2" customWidth="1"/>
    <col min="6" max="7" width="10.7109375" style="2" customWidth="1"/>
    <col min="8" max="8" width="11" style="2" customWidth="1"/>
    <col min="9" max="11" width="10.140625" style="2" customWidth="1"/>
    <col min="12" max="12" width="11" style="2" customWidth="1"/>
    <col min="13" max="15" width="10.140625" style="2" customWidth="1"/>
    <col min="16" max="16" width="11.28515625" style="2" customWidth="1"/>
  </cols>
  <sheetData>
    <row r="1" spans="1:16" ht="21">
      <c r="B1" s="24" t="s">
        <v>12</v>
      </c>
      <c r="C1" s="11" t="str">
        <f>[1]Enter!B2</f>
        <v>تهران</v>
      </c>
      <c r="D1" s="24" t="s">
        <v>112</v>
      </c>
      <c r="E1" s="11">
        <f>[1]Enter!I2</f>
        <v>1401</v>
      </c>
      <c r="F1" s="9" t="str">
        <f>IF([1]Enter!G6=1,"خورشیدی","میلادی")</f>
        <v>خورشیدی</v>
      </c>
    </row>
    <row r="2" spans="1:16" ht="19.5">
      <c r="B2" s="23" t="s">
        <v>117</v>
      </c>
      <c r="C2" s="23" t="s">
        <v>13</v>
      </c>
      <c r="D2" s="23" t="s">
        <v>2</v>
      </c>
      <c r="E2" s="23" t="s">
        <v>118</v>
      </c>
    </row>
    <row r="3" spans="1:16" s="2" customFormat="1">
      <c r="B3" s="11">
        <f>Enter!B3</f>
        <v>46.289150238037102</v>
      </c>
      <c r="C3" s="11">
        <f>Enter!B4</f>
        <v>38.079292297363203</v>
      </c>
      <c r="D3" s="11">
        <f>Enter!B5</f>
        <v>1210</v>
      </c>
      <c r="E3" s="11">
        <f>Enter!B6</f>
        <v>3.5</v>
      </c>
    </row>
    <row r="4" spans="1:16" s="2" customFormat="1" ht="21.75" thickBot="1">
      <c r="B4" s="184" t="s">
        <v>5</v>
      </c>
      <c r="C4" s="184"/>
      <c r="F4" s="184" t="s">
        <v>6</v>
      </c>
      <c r="G4" s="184"/>
      <c r="J4" s="184" t="s">
        <v>119</v>
      </c>
      <c r="K4" s="184"/>
      <c r="N4" s="184" t="s">
        <v>7</v>
      </c>
      <c r="O4" s="184"/>
    </row>
    <row r="5" spans="1:16" ht="15.75">
      <c r="A5" s="26" t="s">
        <v>8</v>
      </c>
      <c r="B5" s="27" t="s">
        <v>9</v>
      </c>
      <c r="C5" s="27" t="s">
        <v>10</v>
      </c>
      <c r="D5" s="28" t="s">
        <v>11</v>
      </c>
      <c r="E5" s="26" t="s">
        <v>8</v>
      </c>
      <c r="F5" s="27" t="s">
        <v>9</v>
      </c>
      <c r="G5" s="27" t="s">
        <v>10</v>
      </c>
      <c r="H5" s="28" t="s">
        <v>11</v>
      </c>
      <c r="I5" s="26" t="s">
        <v>8</v>
      </c>
      <c r="J5" s="27" t="s">
        <v>9</v>
      </c>
      <c r="K5" s="27" t="s">
        <v>10</v>
      </c>
      <c r="L5" s="28" t="s">
        <v>11</v>
      </c>
      <c r="M5" s="26" t="s">
        <v>8</v>
      </c>
      <c r="N5" s="27" t="s">
        <v>9</v>
      </c>
      <c r="O5" s="27" t="s">
        <v>10</v>
      </c>
      <c r="P5" s="28" t="s">
        <v>11</v>
      </c>
    </row>
    <row r="6" spans="1:16" ht="17.25" customHeight="1">
      <c r="A6" s="14">
        <v>12</v>
      </c>
      <c r="B6" s="2">
        <v>29</v>
      </c>
      <c r="C6" s="2">
        <v>19</v>
      </c>
      <c r="D6" s="20">
        <v>3.2988590307325438</v>
      </c>
      <c r="E6" s="14">
        <v>3</v>
      </c>
      <c r="F6" s="2">
        <v>31</v>
      </c>
      <c r="G6" s="2">
        <v>12</v>
      </c>
      <c r="H6" s="20">
        <v>43.716399622331288</v>
      </c>
      <c r="I6" s="14">
        <v>7</v>
      </c>
      <c r="J6" s="2">
        <v>1</v>
      </c>
      <c r="K6" s="2">
        <v>4</v>
      </c>
      <c r="L6" s="20">
        <v>34.088697659997962</v>
      </c>
      <c r="M6" s="2">
        <v>10</v>
      </c>
      <c r="N6" s="2">
        <v>1</v>
      </c>
      <c r="O6" s="2">
        <v>1</v>
      </c>
      <c r="P6" s="20">
        <v>17.49110254914055</v>
      </c>
    </row>
    <row r="7" spans="1:16" ht="21.75" thickBot="1">
      <c r="A7" s="167" t="s">
        <v>120</v>
      </c>
      <c r="B7" s="25" t="s">
        <v>1</v>
      </c>
      <c r="C7" s="25" t="s">
        <v>2</v>
      </c>
      <c r="D7" s="168" t="s">
        <v>116</v>
      </c>
      <c r="E7" s="167" t="s">
        <v>120</v>
      </c>
      <c r="F7" s="25" t="s">
        <v>1</v>
      </c>
      <c r="G7" s="25" t="s">
        <v>2</v>
      </c>
      <c r="H7" s="168" t="s">
        <v>116</v>
      </c>
      <c r="I7" s="167" t="s">
        <v>120</v>
      </c>
      <c r="J7" s="25" t="s">
        <v>1</v>
      </c>
      <c r="K7" s="25" t="s">
        <v>2</v>
      </c>
      <c r="L7" s="168" t="s">
        <v>116</v>
      </c>
      <c r="M7" s="167" t="s">
        <v>120</v>
      </c>
      <c r="N7" s="25" t="s">
        <v>1</v>
      </c>
      <c r="O7" s="25" t="s">
        <v>2</v>
      </c>
      <c r="P7" s="168" t="s">
        <v>116</v>
      </c>
    </row>
    <row r="8" spans="1:16">
      <c r="A8" s="19">
        <v>0.25609953703703703</v>
      </c>
      <c r="B8" s="22">
        <v>89.693271448431986</v>
      </c>
      <c r="C8" s="22">
        <v>-0.25636746956086454</v>
      </c>
      <c r="D8" s="22">
        <v>-0.21307079210554278</v>
      </c>
      <c r="E8" s="19">
        <v>0.20072916666666665</v>
      </c>
      <c r="F8" s="22">
        <v>60.00667168728139</v>
      </c>
      <c r="G8" s="22">
        <v>-0.26615355970094356</v>
      </c>
      <c r="H8" s="22">
        <v>23.435862922069727</v>
      </c>
      <c r="I8" s="19">
        <v>0.24526620370370369</v>
      </c>
      <c r="J8" s="21">
        <v>89.461757900192467</v>
      </c>
      <c r="K8" s="21">
        <v>-0.25270023602819036</v>
      </c>
      <c r="L8" s="21">
        <v>-2.257244668097028E-2</v>
      </c>
      <c r="M8" s="19">
        <v>0.29928240740740741</v>
      </c>
      <c r="N8" s="21">
        <v>118.67287254978051</v>
      </c>
      <c r="O8" s="21">
        <v>-0.26664462904559738</v>
      </c>
      <c r="P8" s="21">
        <v>-23.439505034471335</v>
      </c>
    </row>
    <row r="9" spans="1:16">
      <c r="A9" s="19">
        <v>0.25832175925925926</v>
      </c>
      <c r="B9" s="22">
        <v>90.160387303421814</v>
      </c>
      <c r="C9" s="22">
        <v>0.30116090000289231</v>
      </c>
      <c r="D9" s="22">
        <v>-0.212190840828131</v>
      </c>
      <c r="E9" s="19">
        <v>0.2126851851851852</v>
      </c>
      <c r="F9" s="22">
        <v>62.49735439819429</v>
      </c>
      <c r="G9" s="22">
        <v>2.4934396796228708</v>
      </c>
      <c r="H9" s="22">
        <v>23.435945875035674</v>
      </c>
      <c r="I9" s="19">
        <v>0.24784722222222222</v>
      </c>
      <c r="J9" s="21">
        <v>90.005180133954653</v>
      </c>
      <c r="K9" s="21">
        <v>0.39433874386283452</v>
      </c>
      <c r="L9" s="21">
        <v>-2.3577395625340419E-2</v>
      </c>
      <c r="M9" s="19">
        <v>0.33539351851851856</v>
      </c>
      <c r="N9" s="21">
        <v>126.64201013129151</v>
      </c>
      <c r="O9" s="21">
        <v>8.1778107288912878</v>
      </c>
      <c r="P9" s="21">
        <v>-23.439596429116936</v>
      </c>
    </row>
    <row r="10" spans="1:16">
      <c r="A10" s="19">
        <v>0.29998842592592595</v>
      </c>
      <c r="B10" s="22">
        <v>99.03737796829536</v>
      </c>
      <c r="C10" s="22">
        <v>12.068491472703442</v>
      </c>
      <c r="D10" s="22">
        <v>-0.19572196882053444</v>
      </c>
      <c r="E10" s="19">
        <v>0.25435185185185188</v>
      </c>
      <c r="F10" s="22">
        <v>70.613026744936107</v>
      </c>
      <c r="G10" s="22">
        <v>13.489770679865231</v>
      </c>
      <c r="H10" s="22">
        <v>23.436234053412139</v>
      </c>
      <c r="I10" s="19">
        <v>0.2895138888888889</v>
      </c>
      <c r="J10" s="21">
        <v>98.907712682318177</v>
      </c>
      <c r="K10" s="21">
        <v>12.158796041898791</v>
      </c>
      <c r="L10" s="21">
        <v>-3.9795283424511226E-2</v>
      </c>
      <c r="M10" s="19">
        <v>0.37706018518518519</v>
      </c>
      <c r="N10" s="21">
        <v>137.25274368280745</v>
      </c>
      <c r="O10" s="21">
        <v>17.193337001908525</v>
      </c>
      <c r="P10" s="21">
        <v>-23.439663090076099</v>
      </c>
    </row>
    <row r="11" spans="1:16">
      <c r="A11" s="19">
        <v>0.34165509259259258</v>
      </c>
      <c r="B11" s="22">
        <v>108.76129752825891</v>
      </c>
      <c r="C11" s="22">
        <v>23.863344717158821</v>
      </c>
      <c r="D11" s="22">
        <v>-0.17925298809993911</v>
      </c>
      <c r="E11" s="19">
        <v>0.29601851851851851</v>
      </c>
      <c r="F11" s="22">
        <v>78.250912453224956</v>
      </c>
      <c r="G11" s="22">
        <v>25.185844267818876</v>
      </c>
      <c r="H11" s="22">
        <v>23.436510266509114</v>
      </c>
      <c r="I11" s="19">
        <v>0.33118055555555553</v>
      </c>
      <c r="J11" s="21">
        <v>108.65601993507121</v>
      </c>
      <c r="K11" s="21">
        <v>23.94019910572873</v>
      </c>
      <c r="L11" s="21">
        <v>-5.6013793338942013E-2</v>
      </c>
      <c r="M11" s="19">
        <v>0.41872685185185188</v>
      </c>
      <c r="N11" s="21">
        <v>149.76149236603399</v>
      </c>
      <c r="O11" s="21">
        <v>24.434982547430529</v>
      </c>
      <c r="P11" s="21">
        <v>-23.439677437911921</v>
      </c>
    </row>
    <row r="12" spans="1:16">
      <c r="A12" s="19">
        <v>0.38332175925925926</v>
      </c>
      <c r="B12" s="22">
        <v>120.39707665598338</v>
      </c>
      <c r="C12" s="22">
        <v>34.94182314864149</v>
      </c>
      <c r="D12" s="22">
        <v>-0.16278384323381498</v>
      </c>
      <c r="E12" s="19">
        <v>0.3376851851851852</v>
      </c>
      <c r="F12" s="22">
        <v>86.02522032600136</v>
      </c>
      <c r="G12" s="22">
        <v>37.22836777533125</v>
      </c>
      <c r="H12" s="22">
        <v>23.436760807645513</v>
      </c>
      <c r="I12" s="19">
        <v>0.37284722222222227</v>
      </c>
      <c r="J12" s="21">
        <v>120.31814978652736</v>
      </c>
      <c r="K12" s="21">
        <v>35.005158583424269</v>
      </c>
      <c r="L12" s="21">
        <v>-7.2232847568786757E-2</v>
      </c>
      <c r="M12" s="19">
        <v>0.46039351851851856</v>
      </c>
      <c r="N12" s="21">
        <v>164.22313535953631</v>
      </c>
      <c r="O12" s="21">
        <v>29.20491205936403</v>
      </c>
      <c r="P12" s="21">
        <v>-23.439630781808901</v>
      </c>
    </row>
    <row r="13" spans="1:16">
      <c r="A13" s="19">
        <v>0.42498842592592595</v>
      </c>
      <c r="B13" s="22">
        <v>135.41662253447186</v>
      </c>
      <c r="C13" s="22">
        <v>44.579870896203538</v>
      </c>
      <c r="D13" s="22">
        <v>-0.1463145277971942</v>
      </c>
      <c r="E13" s="19">
        <v>0.37935185185185188</v>
      </c>
      <c r="F13" s="22">
        <v>94.903933227023089</v>
      </c>
      <c r="G13" s="22">
        <v>49.388670283938382</v>
      </c>
      <c r="H13" s="22">
        <v>23.436972903105204</v>
      </c>
      <c r="I13" s="19">
        <v>0.4145138888888889</v>
      </c>
      <c r="J13" s="21">
        <v>135.36895570604807</v>
      </c>
      <c r="K13" s="21">
        <v>44.626718425421593</v>
      </c>
      <c r="L13" s="21">
        <v>-8.8452339072738861E-2</v>
      </c>
      <c r="M13" s="19">
        <v>0.50206018518518525</v>
      </c>
      <c r="N13" s="21">
        <v>179.99999991116977</v>
      </c>
      <c r="O13" s="21">
        <v>30.882234892269889</v>
      </c>
      <c r="P13" s="21">
        <v>-23.43951765845129</v>
      </c>
    </row>
    <row r="14" spans="1:16">
      <c r="A14" s="19">
        <v>0.46665509259259258</v>
      </c>
      <c r="B14" s="22">
        <v>155.40329764599588</v>
      </c>
      <c r="C14" s="22">
        <v>51.552091145228552</v>
      </c>
      <c r="D14" s="22">
        <v>-0.12984508262359479</v>
      </c>
      <c r="E14" s="19">
        <v>0.42101851851851851</v>
      </c>
      <c r="F14" s="22">
        <v>107.05587657312321</v>
      </c>
      <c r="G14" s="22">
        <v>61.335592643280187</v>
      </c>
      <c r="H14" s="22">
        <v>23.437135582964061</v>
      </c>
      <c r="I14" s="19">
        <v>0.45618055555555559</v>
      </c>
      <c r="J14" s="21">
        <v>155.38873627848309</v>
      </c>
      <c r="K14" s="21">
        <v>51.5755765879112</v>
      </c>
      <c r="L14" s="21">
        <v>-0.1046721410151135</v>
      </c>
      <c r="M14" s="19">
        <v>0.54372685185185188</v>
      </c>
      <c r="N14" s="21">
        <v>195.77694551385619</v>
      </c>
      <c r="O14" s="21">
        <v>29.205197744349238</v>
      </c>
      <c r="P14" s="21">
        <v>-23.439336204629917</v>
      </c>
    </row>
    <row r="15" spans="1:16">
      <c r="A15" s="19">
        <v>0.50832175925925926</v>
      </c>
      <c r="B15" s="22">
        <v>180.00000014791826</v>
      </c>
      <c r="C15" s="22">
        <v>54.19440648720883</v>
      </c>
      <c r="D15" s="22">
        <v>-0.1133755898516612</v>
      </c>
      <c r="E15" s="19">
        <v>0.4626851851851852</v>
      </c>
      <c r="F15" s="22">
        <v>129.28018071071892</v>
      </c>
      <c r="G15" s="22">
        <v>72.1415733786435</v>
      </c>
      <c r="H15" s="22">
        <v>23.437240429184406</v>
      </c>
      <c r="I15" s="19">
        <v>0.49784722222222227</v>
      </c>
      <c r="J15" s="21">
        <v>179.9999999489898</v>
      </c>
      <c r="K15" s="21">
        <v>54.18689290933451</v>
      </c>
      <c r="L15" s="21">
        <v>-0.12089211851748244</v>
      </c>
      <c r="M15" s="19">
        <v>0.58539351851851851</v>
      </c>
      <c r="N15" s="21">
        <v>210.23879532106872</v>
      </c>
      <c r="O15" s="21">
        <v>24.435509472657348</v>
      </c>
      <c r="P15" s="21">
        <v>-23.439088284306663</v>
      </c>
    </row>
    <row r="16" spans="1:16">
      <c r="A16" s="19">
        <v>0.54998842592592589</v>
      </c>
      <c r="B16" s="22">
        <v>204.61461658421788</v>
      </c>
      <c r="C16" s="22">
        <v>51.583076710021068</v>
      </c>
      <c r="D16" s="22">
        <v>-9.6906161850188771E-2</v>
      </c>
      <c r="E16" s="19">
        <v>0.50435185185185183</v>
      </c>
      <c r="F16" s="22">
        <v>179.9999999370595</v>
      </c>
      <c r="G16" s="22">
        <v>77.737587057469952</v>
      </c>
      <c r="H16" s="22">
        <v>23.437282149853623</v>
      </c>
      <c r="I16" s="19">
        <v>0.53951388888888896</v>
      </c>
      <c r="J16" s="21">
        <v>204.5936259858388</v>
      </c>
      <c r="K16" s="21">
        <v>51.545059836214953</v>
      </c>
      <c r="L16" s="21">
        <v>-0.13711214323491558</v>
      </c>
      <c r="M16" s="19">
        <v>0.62706018518518525</v>
      </c>
      <c r="N16" s="21">
        <v>222.74781078664682</v>
      </c>
      <c r="O16" s="21">
        <v>17.194042327691914</v>
      </c>
      <c r="P16" s="21">
        <v>-23.438779361441636</v>
      </c>
    </row>
    <row r="17" spans="1:16">
      <c r="A17" s="19">
        <v>0.59165509259259264</v>
      </c>
      <c r="B17" s="22">
        <v>224.63613814944773</v>
      </c>
      <c r="C17" s="22">
        <v>44.63395540542983</v>
      </c>
      <c r="D17" s="22">
        <v>-8.0436929331032705E-2</v>
      </c>
      <c r="E17" s="19">
        <v>0.54601851851851857</v>
      </c>
      <c r="F17" s="22">
        <v>230.7198610648168</v>
      </c>
      <c r="G17" s="22">
        <v>72.141586734565351</v>
      </c>
      <c r="H17" s="22">
        <v>23.4372589402501</v>
      </c>
      <c r="I17" s="19">
        <v>0.58118055555555559</v>
      </c>
      <c r="J17" s="21">
        <v>224.5790933208726</v>
      </c>
      <c r="K17" s="21">
        <v>44.573450927605542</v>
      </c>
      <c r="L17" s="21">
        <v>-0.15333210623400167</v>
      </c>
      <c r="M17" s="19">
        <v>0.66872685185185177</v>
      </c>
      <c r="N17" s="21">
        <v>233.3588334251472</v>
      </c>
      <c r="O17" s="21">
        <v>8.1786333566837719</v>
      </c>
      <c r="P17" s="21">
        <v>-23.438418127259599</v>
      </c>
    </row>
    <row r="18" spans="1:16">
      <c r="A18" s="19">
        <v>0.63332175925925926</v>
      </c>
      <c r="B18" s="22">
        <v>239.68741589455468</v>
      </c>
      <c r="C18" s="22">
        <v>35.012260038312739</v>
      </c>
      <c r="D18" s="22">
        <v>-6.3968028221388251E-2</v>
      </c>
      <c r="E18" s="19">
        <v>0.5876851851851852</v>
      </c>
      <c r="F18" s="22">
        <v>252.94418961588772</v>
      </c>
      <c r="G18" s="22">
        <v>61.335611684414467</v>
      </c>
      <c r="H18" s="22">
        <v>23.437172605975505</v>
      </c>
      <c r="I18" s="19">
        <v>0.62284722222222222</v>
      </c>
      <c r="J18" s="21">
        <v>239.59864842447558</v>
      </c>
      <c r="K18" s="21">
        <v>34.935785134414481</v>
      </c>
      <c r="L18" s="21">
        <v>-0.16955192955880458</v>
      </c>
      <c r="M18" s="19">
        <v>0.70483796296296297</v>
      </c>
      <c r="N18" s="21">
        <v>241.32890190841911</v>
      </c>
      <c r="O18" s="21">
        <v>-0.26656937442270212</v>
      </c>
      <c r="P18" s="21">
        <v>-23.438071387693924</v>
      </c>
    </row>
    <row r="19" spans="1:16">
      <c r="A19" s="19">
        <v>0.67498842592592589</v>
      </c>
      <c r="B19" s="22">
        <v>251.34953308111045</v>
      </c>
      <c r="C19" s="22">
        <v>23.947402634634891</v>
      </c>
      <c r="D19" s="22">
        <v>-4.749958490811939E-2</v>
      </c>
      <c r="E19" s="19">
        <v>0.62935185185185183</v>
      </c>
      <c r="F19" s="22">
        <v>265.09614333332996</v>
      </c>
      <c r="G19" s="22">
        <v>49.388694827827337</v>
      </c>
      <c r="H19" s="22">
        <v>23.43702843973994</v>
      </c>
      <c r="I19" s="19">
        <v>0.66451388888888896</v>
      </c>
      <c r="J19" s="21">
        <v>251.23483686225595</v>
      </c>
      <c r="K19" s="21">
        <v>23.857410981850027</v>
      </c>
      <c r="L19" s="21">
        <v>-0.18577157691462989</v>
      </c>
      <c r="N19" s="21"/>
      <c r="O19" s="21"/>
      <c r="P19" s="21"/>
    </row>
    <row r="20" spans="1:16">
      <c r="A20" s="19">
        <v>0.71665509259259252</v>
      </c>
      <c r="B20" s="22">
        <v>261.09771516899292</v>
      </c>
      <c r="C20" s="22">
        <v>12.166304454772101</v>
      </c>
      <c r="D20" s="22">
        <v>-3.103170445939258E-2</v>
      </c>
      <c r="E20" s="19">
        <v>0.67101851851851846</v>
      </c>
      <c r="F20" s="22">
        <v>273.97486372597098</v>
      </c>
      <c r="G20" s="22">
        <v>37.228399589589749</v>
      </c>
      <c r="H20" s="22">
        <v>23.436834860223215</v>
      </c>
      <c r="I20" s="19">
        <v>0.70618055555555559</v>
      </c>
      <c r="J20" s="21">
        <v>260.95924548220165</v>
      </c>
      <c r="K20" s="21">
        <v>12.062462823810836</v>
      </c>
      <c r="L20" s="21">
        <v>-0.20199105924925431</v>
      </c>
      <c r="N20" s="21"/>
      <c r="O20" s="21"/>
      <c r="P20" s="21"/>
    </row>
    <row r="21" spans="1:16">
      <c r="A21" s="19">
        <v>0.75832175925925915</v>
      </c>
      <c r="B21" s="22">
        <v>270.00011578668506</v>
      </c>
      <c r="C21" s="22">
        <v>0.4013756288680011</v>
      </c>
      <c r="D21" s="22">
        <v>-1.456446126420098E-2</v>
      </c>
      <c r="E21" s="19">
        <v>0.71268518518518509</v>
      </c>
      <c r="F21" s="22">
        <v>281.74917903705301</v>
      </c>
      <c r="G21" s="22">
        <v>25.18588590439305</v>
      </c>
      <c r="H21" s="22">
        <v>23.436602837776466</v>
      </c>
      <c r="I21" s="19">
        <v>0.74784722222222222</v>
      </c>
      <c r="J21" s="21">
        <v>269.83674796118299</v>
      </c>
      <c r="K21" s="21">
        <v>0.29567685318624348</v>
      </c>
      <c r="L21" s="21">
        <v>-0.21821043614513511</v>
      </c>
      <c r="N21" s="21"/>
      <c r="O21" s="21"/>
      <c r="P21" s="21"/>
    </row>
    <row r="22" spans="1:16">
      <c r="A22" s="19">
        <v>0.76099537037037035</v>
      </c>
      <c r="B22" s="22">
        <v>270.5610965984763</v>
      </c>
      <c r="C22" s="22">
        <v>-0.26652055605095581</v>
      </c>
      <c r="D22" s="22">
        <v>-1.3511078456250566E-2</v>
      </c>
      <c r="E22" s="19">
        <v>0.75435185185185183</v>
      </c>
      <c r="F22" s="22">
        <v>289.38707286634889</v>
      </c>
      <c r="G22" s="22">
        <v>13.4898253152676</v>
      </c>
      <c r="H22" s="22">
        <v>23.436345146288396</v>
      </c>
      <c r="I22" s="19">
        <v>0.75009259259259264</v>
      </c>
      <c r="J22" s="21">
        <v>270.30795360189569</v>
      </c>
      <c r="K22" s="21">
        <v>-0.26656933106303893</v>
      </c>
      <c r="L22" s="21">
        <v>-0.2190845899570292</v>
      </c>
      <c r="N22" s="21"/>
      <c r="O22" s="21"/>
      <c r="P22" s="21"/>
    </row>
    <row r="23" spans="1:16">
      <c r="B23" s="22"/>
      <c r="C23" s="22"/>
      <c r="D23" s="22"/>
      <c r="E23" s="19">
        <v>0.79601851851851846</v>
      </c>
      <c r="F23" s="22">
        <v>297.50275379434191</v>
      </c>
      <c r="G23" s="22">
        <v>2.4935081787158704</v>
      </c>
      <c r="H23" s="22">
        <v>23.436075492345903</v>
      </c>
      <c r="J23" s="21"/>
      <c r="K23" s="21"/>
      <c r="L23" s="21"/>
      <c r="N23" s="21"/>
      <c r="O23" s="21"/>
      <c r="P23" s="21"/>
    </row>
    <row r="24" spans="1:16">
      <c r="B24" s="22"/>
      <c r="C24" s="22"/>
      <c r="D24" s="22"/>
      <c r="E24" s="19">
        <v>0.80797453703703714</v>
      </c>
      <c r="F24" s="22">
        <v>299.99391406381426</v>
      </c>
      <c r="G24" s="22">
        <v>-0.26656897787308176</v>
      </c>
      <c r="H24" s="22">
        <v>23.435997840650401</v>
      </c>
      <c r="J24" s="21"/>
      <c r="K24" s="21"/>
      <c r="L24" s="21"/>
      <c r="N24" s="21"/>
      <c r="O24" s="21"/>
      <c r="P24" s="21"/>
    </row>
    <row r="25" spans="1:16">
      <c r="B25" s="22"/>
      <c r="C25" s="22"/>
      <c r="D25" s="22"/>
      <c r="F25" s="22"/>
      <c r="G25" s="22"/>
      <c r="H25" s="22"/>
      <c r="J25" s="21"/>
      <c r="K25" s="21"/>
      <c r="L25" s="21"/>
      <c r="N25" s="21"/>
      <c r="O25" s="21"/>
      <c r="P25" s="21"/>
    </row>
    <row r="26" spans="1:16">
      <c r="B26" s="22"/>
      <c r="C26" s="22"/>
      <c r="D26" s="22"/>
      <c r="F26" s="22"/>
      <c r="G26" s="22"/>
      <c r="H26" s="22"/>
      <c r="J26" s="21"/>
      <c r="K26" s="21"/>
      <c r="L26" s="21"/>
      <c r="N26" s="21"/>
      <c r="O26" s="21"/>
      <c r="P26" s="21"/>
    </row>
    <row r="27" spans="1:16">
      <c r="B27" s="22"/>
      <c r="C27" s="22"/>
      <c r="D27" s="22"/>
      <c r="F27" s="22"/>
      <c r="G27" s="22"/>
      <c r="H27" s="22"/>
      <c r="J27" s="21"/>
      <c r="K27" s="21"/>
      <c r="L27" s="21"/>
      <c r="N27" s="21"/>
      <c r="O27" s="21"/>
      <c r="P27" s="21"/>
    </row>
    <row r="28" spans="1:16">
      <c r="B28" s="22"/>
      <c r="C28" s="22"/>
      <c r="D28" s="22"/>
      <c r="F28" s="22"/>
      <c r="G28" s="22"/>
      <c r="H28" s="22"/>
      <c r="J28" s="21"/>
      <c r="K28" s="21"/>
      <c r="L28" s="21"/>
      <c r="N28" s="21"/>
      <c r="O28" s="21"/>
      <c r="P28" s="21"/>
    </row>
    <row r="29" spans="1:16">
      <c r="B29" s="22"/>
      <c r="C29" s="22"/>
      <c r="D29" s="22"/>
      <c r="F29" s="22"/>
      <c r="G29" s="22"/>
      <c r="H29" s="22"/>
      <c r="J29" s="21"/>
      <c r="K29" s="21"/>
      <c r="L29" s="21"/>
      <c r="N29" s="21"/>
      <c r="O29" s="21"/>
      <c r="P29" s="21"/>
    </row>
    <row r="30" spans="1:16">
      <c r="B30" s="22"/>
      <c r="C30" s="22"/>
      <c r="D30" s="22"/>
      <c r="F30" s="22"/>
      <c r="G30" s="22"/>
      <c r="H30" s="22"/>
      <c r="J30" s="21"/>
      <c r="K30" s="21"/>
      <c r="L30" s="21"/>
      <c r="N30" s="21"/>
      <c r="O30" s="21"/>
      <c r="P30" s="21"/>
    </row>
    <row r="31" spans="1:16">
      <c r="B31" s="22"/>
      <c r="C31" s="22"/>
      <c r="D31" s="22"/>
      <c r="F31" s="22"/>
      <c r="G31" s="22"/>
      <c r="H31" s="22"/>
      <c r="J31" s="21"/>
      <c r="K31" s="21"/>
      <c r="L31" s="21"/>
      <c r="N31" s="21"/>
      <c r="O31" s="21"/>
      <c r="P31" s="21"/>
    </row>
    <row r="32" spans="1:16">
      <c r="B32" s="22"/>
      <c r="C32" s="22"/>
      <c r="D32" s="22"/>
      <c r="F32" s="22"/>
      <c r="G32" s="22"/>
      <c r="H32" s="22"/>
      <c r="J32" s="21"/>
      <c r="K32" s="21"/>
      <c r="L32" s="21"/>
      <c r="N32" s="21"/>
      <c r="O32" s="21"/>
      <c r="P32" s="21"/>
    </row>
    <row r="33" spans="2:16">
      <c r="B33" s="22"/>
      <c r="C33" s="22"/>
      <c r="D33" s="22"/>
      <c r="F33" s="22"/>
      <c r="G33" s="22"/>
      <c r="H33" s="22"/>
      <c r="J33" s="21"/>
      <c r="K33" s="21"/>
      <c r="L33" s="21"/>
      <c r="N33" s="21"/>
      <c r="O33" s="21"/>
      <c r="P33" s="21"/>
    </row>
    <row r="34" spans="2:16">
      <c r="B34" s="22"/>
      <c r="C34" s="22"/>
      <c r="D34" s="22"/>
      <c r="F34" s="22"/>
      <c r="G34" s="22"/>
      <c r="H34" s="22"/>
      <c r="J34" s="21"/>
      <c r="K34" s="21"/>
      <c r="L34" s="21"/>
      <c r="N34" s="21"/>
      <c r="O34" s="21"/>
      <c r="P34" s="21"/>
    </row>
    <row r="35" spans="2:16">
      <c r="B35" s="22"/>
      <c r="C35" s="22"/>
      <c r="D35" s="22"/>
      <c r="F35" s="22"/>
      <c r="G35" s="22"/>
      <c r="H35" s="22"/>
      <c r="J35" s="21"/>
      <c r="K35" s="21"/>
      <c r="L35" s="21"/>
      <c r="N35" s="21"/>
      <c r="O35" s="21"/>
      <c r="P35" s="21"/>
    </row>
    <row r="36" spans="2:16">
      <c r="B36" s="22"/>
      <c r="C36" s="22"/>
      <c r="D36" s="22"/>
      <c r="F36" s="22"/>
      <c r="G36" s="22"/>
      <c r="H36" s="22"/>
      <c r="J36" s="21"/>
      <c r="K36" s="21"/>
      <c r="L36" s="21"/>
      <c r="N36" s="21"/>
      <c r="O36" s="21"/>
      <c r="P36" s="21"/>
    </row>
    <row r="37" spans="2:16">
      <c r="B37" s="22"/>
      <c r="C37" s="22"/>
      <c r="D37" s="22"/>
      <c r="F37" s="22"/>
      <c r="G37" s="22"/>
      <c r="H37" s="22"/>
      <c r="J37" s="21"/>
      <c r="K37" s="21"/>
      <c r="L37" s="21"/>
      <c r="N37" s="21"/>
      <c r="O37" s="21"/>
      <c r="P37" s="21"/>
    </row>
    <row r="38" spans="2:16">
      <c r="B38" s="22"/>
      <c r="C38" s="22"/>
      <c r="D38" s="22"/>
      <c r="F38" s="22"/>
      <c r="G38" s="22"/>
      <c r="H38" s="22"/>
      <c r="J38" s="21"/>
      <c r="K38" s="21"/>
      <c r="L38" s="21"/>
      <c r="N38" s="21"/>
      <c r="O38" s="21"/>
      <c r="P38" s="21"/>
    </row>
    <row r="39" spans="2:16">
      <c r="B39" s="22"/>
      <c r="C39" s="22"/>
      <c r="D39" s="22"/>
      <c r="F39" s="22"/>
      <c r="G39" s="22"/>
      <c r="H39" s="22"/>
      <c r="J39" s="21"/>
      <c r="K39" s="21"/>
      <c r="L39" s="21"/>
      <c r="N39" s="21"/>
      <c r="O39" s="21"/>
      <c r="P39" s="21"/>
    </row>
    <row r="40" spans="2:16">
      <c r="B40" s="22"/>
      <c r="C40" s="22"/>
      <c r="D40" s="22"/>
      <c r="F40" s="22"/>
      <c r="G40" s="22"/>
      <c r="H40" s="22"/>
      <c r="J40" s="21"/>
      <c r="K40" s="21"/>
      <c r="L40" s="21"/>
      <c r="N40" s="21"/>
      <c r="O40" s="21"/>
      <c r="P40" s="21"/>
    </row>
    <row r="41" spans="2:16">
      <c r="B41" s="22"/>
      <c r="C41" s="22"/>
      <c r="D41" s="22"/>
      <c r="F41" s="22"/>
      <c r="G41" s="22"/>
      <c r="H41" s="22"/>
      <c r="J41" s="21"/>
      <c r="K41" s="21"/>
      <c r="L41" s="21"/>
      <c r="N41" s="21"/>
      <c r="O41" s="21"/>
      <c r="P41" s="21"/>
    </row>
    <row r="42" spans="2:16">
      <c r="B42" s="22"/>
      <c r="C42" s="22"/>
      <c r="D42" s="22"/>
      <c r="F42" s="22"/>
      <c r="G42" s="22"/>
      <c r="H42" s="22"/>
      <c r="J42" s="21"/>
      <c r="K42" s="21"/>
      <c r="L42" s="21"/>
      <c r="N42" s="21"/>
      <c r="O42" s="21"/>
      <c r="P42" s="21"/>
    </row>
    <row r="43" spans="2:16">
      <c r="B43" s="22"/>
      <c r="C43" s="22"/>
      <c r="D43" s="22"/>
      <c r="F43" s="22"/>
      <c r="G43" s="22"/>
      <c r="H43" s="22"/>
      <c r="J43" s="21"/>
      <c r="K43" s="21"/>
      <c r="L43" s="21"/>
      <c r="N43" s="21"/>
      <c r="O43" s="21"/>
      <c r="P43" s="21"/>
    </row>
    <row r="44" spans="2:16">
      <c r="B44" s="22"/>
      <c r="C44" s="22"/>
      <c r="D44" s="22"/>
      <c r="F44" s="22"/>
      <c r="G44" s="22"/>
      <c r="H44" s="22"/>
      <c r="J44" s="21"/>
      <c r="K44" s="21"/>
      <c r="L44" s="21"/>
      <c r="N44" s="21"/>
      <c r="O44" s="21"/>
      <c r="P44" s="21"/>
    </row>
    <row r="45" spans="2:16">
      <c r="B45" s="22"/>
      <c r="C45" s="22"/>
      <c r="D45" s="22"/>
      <c r="F45" s="22"/>
      <c r="G45" s="22"/>
      <c r="H45" s="22"/>
      <c r="J45" s="21"/>
      <c r="K45" s="21"/>
      <c r="L45" s="21"/>
      <c r="N45" s="21"/>
      <c r="O45" s="21"/>
      <c r="P45" s="21"/>
    </row>
    <row r="46" spans="2:16">
      <c r="B46" s="22"/>
      <c r="C46" s="22"/>
      <c r="D46" s="22"/>
      <c r="F46" s="22"/>
      <c r="G46" s="22"/>
      <c r="H46" s="22"/>
      <c r="J46" s="21"/>
      <c r="K46" s="21"/>
      <c r="L46" s="21"/>
      <c r="N46" s="21"/>
      <c r="O46" s="21"/>
      <c r="P46" s="21"/>
    </row>
    <row r="47" spans="2:16">
      <c r="B47" s="22"/>
      <c r="C47" s="22"/>
      <c r="D47" s="22"/>
      <c r="F47" s="22"/>
      <c r="G47" s="22"/>
      <c r="H47" s="22"/>
      <c r="J47" s="21"/>
      <c r="K47" s="21"/>
      <c r="L47" s="21"/>
      <c r="N47" s="21"/>
      <c r="O47" s="21"/>
      <c r="P47" s="21"/>
    </row>
    <row r="48" spans="2:16">
      <c r="B48" s="22"/>
      <c r="C48" s="22"/>
      <c r="D48" s="22"/>
      <c r="F48" s="22"/>
      <c r="G48" s="22"/>
      <c r="H48" s="22"/>
      <c r="J48" s="21"/>
      <c r="K48" s="21"/>
      <c r="L48" s="21"/>
      <c r="N48" s="21"/>
      <c r="O48" s="21"/>
      <c r="P48" s="21"/>
    </row>
    <row r="49" spans="2:16">
      <c r="B49" s="22"/>
      <c r="C49" s="22"/>
      <c r="D49" s="22"/>
      <c r="F49" s="22"/>
      <c r="G49" s="22"/>
      <c r="H49" s="22"/>
      <c r="J49" s="21"/>
      <c r="K49" s="21"/>
      <c r="L49" s="21"/>
      <c r="N49" s="21"/>
      <c r="O49" s="21"/>
      <c r="P49" s="21"/>
    </row>
    <row r="50" spans="2:16">
      <c r="B50" s="22"/>
      <c r="C50" s="22"/>
      <c r="D50" s="22"/>
      <c r="F50" s="22"/>
      <c r="G50" s="22"/>
      <c r="H50" s="22"/>
      <c r="J50" s="21"/>
      <c r="K50" s="21"/>
      <c r="L50" s="21"/>
      <c r="N50" s="21"/>
      <c r="O50" s="21"/>
      <c r="P50" s="21"/>
    </row>
    <row r="51" spans="2:16">
      <c r="B51" s="22"/>
      <c r="C51" s="22"/>
      <c r="D51" s="22"/>
      <c r="F51" s="22"/>
      <c r="G51" s="22"/>
      <c r="H51" s="22"/>
      <c r="J51" s="21"/>
      <c r="K51" s="21"/>
      <c r="L51" s="21"/>
      <c r="N51" s="21"/>
      <c r="O51" s="21"/>
      <c r="P51" s="21"/>
    </row>
    <row r="52" spans="2:16">
      <c r="B52" s="22"/>
      <c r="C52" s="22"/>
      <c r="D52" s="22"/>
      <c r="F52" s="22"/>
      <c r="G52" s="22"/>
      <c r="H52" s="22"/>
      <c r="J52" s="21"/>
      <c r="K52" s="21"/>
      <c r="L52" s="21"/>
      <c r="N52" s="21"/>
      <c r="O52" s="21"/>
      <c r="P52" s="21"/>
    </row>
    <row r="53" spans="2:16">
      <c r="B53" s="22"/>
      <c r="C53" s="22"/>
      <c r="D53" s="22"/>
      <c r="F53" s="22"/>
      <c r="G53" s="22"/>
      <c r="H53" s="22"/>
      <c r="J53" s="21"/>
      <c r="K53" s="21"/>
      <c r="L53" s="21"/>
      <c r="N53" s="21"/>
      <c r="O53" s="21"/>
      <c r="P53" s="21"/>
    </row>
    <row r="54" spans="2:16">
      <c r="B54" s="22"/>
      <c r="C54" s="22"/>
      <c r="D54" s="22"/>
      <c r="F54" s="22"/>
      <c r="G54" s="22"/>
      <c r="H54" s="22"/>
      <c r="J54" s="21"/>
      <c r="K54" s="21"/>
      <c r="L54" s="21"/>
      <c r="N54" s="21"/>
      <c r="O54" s="21"/>
      <c r="P54" s="21"/>
    </row>
    <row r="55" spans="2:16">
      <c r="B55" s="22"/>
      <c r="C55" s="22"/>
      <c r="D55" s="22"/>
      <c r="F55" s="22"/>
      <c r="G55" s="22"/>
      <c r="H55" s="22"/>
      <c r="J55" s="21"/>
      <c r="K55" s="21"/>
      <c r="L55" s="21"/>
      <c r="N55" s="21"/>
      <c r="O55" s="21"/>
      <c r="P55" s="21"/>
    </row>
    <row r="56" spans="2:16">
      <c r="B56" s="22"/>
      <c r="C56" s="22"/>
      <c r="D56" s="22"/>
      <c r="F56" s="22"/>
      <c r="G56" s="22"/>
      <c r="H56" s="22"/>
      <c r="J56" s="21"/>
      <c r="K56" s="21"/>
      <c r="L56" s="21"/>
      <c r="N56" s="21"/>
      <c r="O56" s="21"/>
      <c r="P56" s="21"/>
    </row>
    <row r="57" spans="2:16">
      <c r="B57" s="22"/>
      <c r="C57" s="22"/>
      <c r="D57" s="22"/>
      <c r="F57" s="22"/>
      <c r="G57" s="22"/>
      <c r="H57" s="22"/>
      <c r="J57" s="21"/>
      <c r="K57" s="21"/>
      <c r="L57" s="21"/>
      <c r="N57" s="21"/>
      <c r="O57" s="21"/>
      <c r="P57" s="21"/>
    </row>
    <row r="58" spans="2:16">
      <c r="B58" s="22"/>
      <c r="C58" s="22"/>
      <c r="D58" s="22"/>
      <c r="F58" s="22"/>
      <c r="G58" s="22"/>
      <c r="H58" s="22"/>
      <c r="J58" s="21"/>
      <c r="K58" s="21"/>
      <c r="L58" s="21"/>
      <c r="N58" s="21"/>
      <c r="O58" s="21"/>
      <c r="P58" s="21"/>
    </row>
    <row r="59" spans="2:16">
      <c r="B59" s="22"/>
      <c r="C59" s="22"/>
      <c r="D59" s="22"/>
      <c r="F59" s="22"/>
      <c r="G59" s="22"/>
      <c r="H59" s="22"/>
      <c r="J59" s="21"/>
      <c r="K59" s="21"/>
      <c r="L59" s="21"/>
      <c r="N59" s="21"/>
      <c r="O59" s="21"/>
      <c r="P59" s="21"/>
    </row>
    <row r="60" spans="2:16">
      <c r="B60" s="22"/>
      <c r="C60" s="22"/>
      <c r="D60" s="22"/>
      <c r="F60" s="22"/>
      <c r="G60" s="22"/>
      <c r="H60" s="22"/>
      <c r="J60" s="21"/>
      <c r="K60" s="21"/>
      <c r="L60" s="21"/>
      <c r="N60" s="21"/>
      <c r="O60" s="21"/>
      <c r="P60" s="21"/>
    </row>
    <row r="61" spans="2:16">
      <c r="B61" s="22"/>
      <c r="C61" s="22"/>
      <c r="D61" s="22"/>
      <c r="F61" s="22"/>
      <c r="G61" s="22"/>
      <c r="H61" s="22"/>
      <c r="J61" s="21"/>
      <c r="K61" s="21"/>
      <c r="L61" s="21"/>
      <c r="N61" s="21"/>
      <c r="O61" s="21"/>
      <c r="P61" s="21"/>
    </row>
    <row r="62" spans="2:16">
      <c r="B62" s="22"/>
      <c r="C62" s="22"/>
      <c r="D62" s="22"/>
      <c r="F62" s="22"/>
      <c r="G62" s="22"/>
      <c r="H62" s="22"/>
      <c r="J62" s="21"/>
      <c r="K62" s="21"/>
      <c r="L62" s="21"/>
      <c r="N62" s="21"/>
      <c r="O62" s="21"/>
      <c r="P62" s="21"/>
    </row>
    <row r="63" spans="2:16">
      <c r="B63" s="22"/>
      <c r="C63" s="22"/>
      <c r="D63" s="22"/>
      <c r="F63" s="22"/>
      <c r="G63" s="22"/>
      <c r="H63" s="22"/>
      <c r="J63" s="21"/>
      <c r="K63" s="21"/>
      <c r="L63" s="21"/>
      <c r="N63" s="21"/>
      <c r="O63" s="21"/>
      <c r="P63" s="21"/>
    </row>
    <row r="64" spans="2:16">
      <c r="B64" s="22"/>
      <c r="C64" s="22"/>
      <c r="D64" s="22"/>
      <c r="F64" s="22"/>
      <c r="G64" s="22"/>
      <c r="H64" s="22"/>
      <c r="J64" s="21"/>
      <c r="K64" s="21"/>
      <c r="L64" s="21"/>
      <c r="N64" s="21"/>
      <c r="O64" s="21"/>
      <c r="P64" s="21"/>
    </row>
    <row r="65" spans="2:16">
      <c r="B65" s="22"/>
      <c r="C65" s="22"/>
      <c r="D65" s="22"/>
      <c r="F65" s="22"/>
      <c r="G65" s="22"/>
      <c r="H65" s="22"/>
      <c r="J65" s="21"/>
      <c r="K65" s="21"/>
      <c r="L65" s="21"/>
      <c r="N65" s="21"/>
      <c r="O65" s="21"/>
      <c r="P65" s="21"/>
    </row>
    <row r="66" spans="2:16">
      <c r="B66" s="22"/>
      <c r="C66" s="22"/>
      <c r="D66" s="22"/>
      <c r="F66" s="22"/>
      <c r="G66" s="22"/>
      <c r="H66" s="22"/>
      <c r="J66" s="21"/>
      <c r="K66" s="21"/>
      <c r="L66" s="21"/>
      <c r="N66" s="21"/>
      <c r="O66" s="21"/>
      <c r="P66" s="21"/>
    </row>
    <row r="67" spans="2:16">
      <c r="B67" s="22"/>
      <c r="C67" s="22"/>
      <c r="D67" s="22"/>
      <c r="F67" s="22"/>
      <c r="G67" s="22"/>
      <c r="H67" s="22"/>
      <c r="J67" s="21"/>
      <c r="K67" s="21"/>
      <c r="L67" s="21"/>
      <c r="N67" s="21"/>
      <c r="O67" s="21"/>
      <c r="P67" s="21"/>
    </row>
    <row r="68" spans="2:16">
      <c r="B68" s="22"/>
      <c r="C68" s="22"/>
      <c r="D68" s="22"/>
      <c r="F68" s="22"/>
      <c r="G68" s="22"/>
      <c r="H68" s="22"/>
      <c r="J68" s="21"/>
      <c r="K68" s="21"/>
      <c r="L68" s="21"/>
      <c r="N68" s="21"/>
      <c r="O68" s="21"/>
      <c r="P68" s="21"/>
    </row>
    <row r="69" spans="2:16">
      <c r="B69" s="22"/>
      <c r="C69" s="22"/>
      <c r="D69" s="22"/>
      <c r="F69" s="22"/>
      <c r="G69" s="22"/>
      <c r="H69" s="22"/>
      <c r="J69" s="21"/>
      <c r="K69" s="21"/>
      <c r="L69" s="21"/>
      <c r="N69" s="21"/>
      <c r="O69" s="21"/>
      <c r="P69" s="21"/>
    </row>
    <row r="70" spans="2:16">
      <c r="B70" s="22"/>
      <c r="C70" s="22"/>
      <c r="D70" s="22"/>
      <c r="F70" s="22"/>
      <c r="G70" s="22"/>
      <c r="H70" s="22"/>
      <c r="J70" s="21"/>
      <c r="K70" s="21"/>
      <c r="L70" s="21"/>
      <c r="N70" s="21"/>
      <c r="O70" s="21"/>
      <c r="P70" s="21"/>
    </row>
    <row r="71" spans="2:16">
      <c r="B71" s="22"/>
      <c r="C71" s="22"/>
      <c r="D71" s="22"/>
      <c r="F71" s="22"/>
      <c r="G71" s="22"/>
      <c r="H71" s="22"/>
      <c r="J71" s="21"/>
      <c r="K71" s="21"/>
      <c r="L71" s="21"/>
      <c r="N71" s="21"/>
      <c r="O71" s="21"/>
      <c r="P71" s="21"/>
    </row>
    <row r="72" spans="2:16">
      <c r="B72" s="22"/>
      <c r="C72" s="22"/>
      <c r="D72" s="22"/>
      <c r="F72" s="22"/>
      <c r="G72" s="22"/>
      <c r="H72" s="22"/>
      <c r="J72" s="21"/>
      <c r="K72" s="21"/>
      <c r="L72" s="21"/>
      <c r="N72" s="21"/>
      <c r="O72" s="21"/>
      <c r="P72" s="21"/>
    </row>
    <row r="73" spans="2:16">
      <c r="B73" s="22"/>
      <c r="C73" s="22"/>
      <c r="D73" s="22"/>
      <c r="F73" s="22"/>
      <c r="G73" s="22"/>
      <c r="H73" s="22"/>
      <c r="J73" s="21"/>
      <c r="K73" s="21"/>
      <c r="L73" s="21"/>
      <c r="N73" s="21"/>
      <c r="O73" s="21"/>
      <c r="P73" s="21"/>
    </row>
    <row r="74" spans="2:16">
      <c r="B74" s="22"/>
      <c r="C74" s="22"/>
      <c r="D74" s="22"/>
      <c r="F74" s="22"/>
      <c r="G74" s="22"/>
      <c r="H74" s="22"/>
      <c r="J74" s="21"/>
      <c r="K74" s="21"/>
      <c r="L74" s="21"/>
      <c r="N74" s="21"/>
      <c r="O74" s="21"/>
      <c r="P74" s="21"/>
    </row>
    <row r="75" spans="2:16">
      <c r="B75" s="22"/>
      <c r="C75" s="22"/>
      <c r="D75" s="22"/>
      <c r="F75" s="22"/>
      <c r="G75" s="22"/>
      <c r="H75" s="22"/>
      <c r="J75" s="21"/>
      <c r="K75" s="21"/>
      <c r="L75" s="21"/>
      <c r="N75" s="21"/>
      <c r="O75" s="21"/>
      <c r="P75" s="21"/>
    </row>
    <row r="76" spans="2:16">
      <c r="B76" s="22"/>
      <c r="C76" s="22"/>
      <c r="D76" s="22"/>
      <c r="F76" s="22"/>
      <c r="G76" s="22"/>
      <c r="H76" s="22"/>
      <c r="J76" s="21"/>
      <c r="K76" s="21"/>
      <c r="L76" s="21"/>
      <c r="N76" s="21"/>
      <c r="O76" s="21"/>
      <c r="P76" s="21"/>
    </row>
    <row r="77" spans="2:16">
      <c r="B77" s="22"/>
      <c r="C77" s="22"/>
      <c r="D77" s="22"/>
      <c r="F77" s="22"/>
      <c r="G77" s="22"/>
      <c r="H77" s="22"/>
      <c r="J77" s="21"/>
      <c r="K77" s="21"/>
      <c r="L77" s="21"/>
      <c r="N77" s="21"/>
      <c r="O77" s="21"/>
      <c r="P77" s="21"/>
    </row>
    <row r="78" spans="2:16">
      <c r="B78" s="22"/>
      <c r="C78" s="22"/>
      <c r="D78" s="22"/>
      <c r="F78" s="22"/>
      <c r="G78" s="22"/>
      <c r="H78" s="22"/>
      <c r="J78" s="21"/>
      <c r="K78" s="21"/>
      <c r="L78" s="21"/>
      <c r="N78" s="21"/>
      <c r="O78" s="21"/>
      <c r="P78" s="21"/>
    </row>
    <row r="79" spans="2:16">
      <c r="B79" s="22"/>
      <c r="C79" s="22"/>
      <c r="D79" s="22"/>
      <c r="F79" s="22"/>
      <c r="G79" s="22"/>
      <c r="H79" s="22"/>
      <c r="J79" s="21"/>
      <c r="K79" s="21"/>
      <c r="L79" s="21"/>
      <c r="N79" s="21"/>
      <c r="O79" s="21"/>
      <c r="P79" s="21"/>
    </row>
    <row r="80" spans="2:16">
      <c r="B80" s="22"/>
      <c r="C80" s="22"/>
      <c r="D80" s="22"/>
      <c r="F80" s="22"/>
      <c r="G80" s="22"/>
      <c r="H80" s="22"/>
      <c r="J80" s="21"/>
      <c r="K80" s="21"/>
      <c r="L80" s="21"/>
      <c r="N80" s="21"/>
      <c r="O80" s="21"/>
      <c r="P80" s="21"/>
    </row>
    <row r="81" spans="2:16">
      <c r="B81" s="22"/>
      <c r="C81" s="22"/>
      <c r="D81" s="22"/>
      <c r="F81" s="22"/>
      <c r="G81" s="22"/>
      <c r="H81" s="22"/>
      <c r="J81" s="21"/>
      <c r="K81" s="21"/>
      <c r="L81" s="21"/>
      <c r="N81" s="21"/>
      <c r="O81" s="21"/>
      <c r="P81" s="21"/>
    </row>
    <row r="82" spans="2:16">
      <c r="B82" s="22"/>
      <c r="C82" s="22"/>
      <c r="D82" s="22"/>
      <c r="F82" s="22"/>
      <c r="G82" s="22"/>
      <c r="H82" s="22"/>
      <c r="J82" s="21"/>
      <c r="K82" s="21"/>
      <c r="L82" s="21"/>
      <c r="N82" s="21"/>
      <c r="O82" s="21"/>
      <c r="P82" s="21"/>
    </row>
    <row r="83" spans="2:16">
      <c r="B83" s="22"/>
      <c r="C83" s="22"/>
      <c r="D83" s="22"/>
      <c r="F83" s="22"/>
      <c r="G83" s="22"/>
      <c r="H83" s="22"/>
      <c r="J83" s="21"/>
      <c r="K83" s="21"/>
      <c r="L83" s="21"/>
      <c r="N83" s="21"/>
      <c r="O83" s="21"/>
      <c r="P83" s="21"/>
    </row>
    <row r="84" spans="2:16">
      <c r="B84" s="22"/>
      <c r="C84" s="22"/>
      <c r="D84" s="22"/>
      <c r="F84" s="22"/>
      <c r="G84" s="22"/>
      <c r="H84" s="22"/>
      <c r="J84" s="21"/>
      <c r="K84" s="21"/>
      <c r="L84" s="21"/>
      <c r="N84" s="21"/>
      <c r="O84" s="21"/>
      <c r="P84" s="21"/>
    </row>
    <row r="85" spans="2:16">
      <c r="B85" s="22"/>
      <c r="C85" s="22"/>
      <c r="D85" s="22"/>
      <c r="F85" s="22"/>
      <c r="G85" s="22"/>
      <c r="H85" s="22"/>
      <c r="J85" s="21"/>
      <c r="K85" s="21"/>
      <c r="L85" s="21"/>
      <c r="N85" s="21"/>
      <c r="O85" s="21"/>
      <c r="P85" s="21"/>
    </row>
    <row r="86" spans="2:16">
      <c r="B86" s="22"/>
      <c r="C86" s="22"/>
      <c r="D86" s="22"/>
      <c r="F86" s="22"/>
      <c r="G86" s="22"/>
      <c r="H86" s="22"/>
      <c r="J86" s="21"/>
      <c r="K86" s="21"/>
      <c r="L86" s="21"/>
      <c r="N86" s="21"/>
      <c r="O86" s="21"/>
      <c r="P86" s="21"/>
    </row>
    <row r="87" spans="2:16">
      <c r="B87" s="22"/>
      <c r="C87" s="22"/>
      <c r="D87" s="22"/>
      <c r="F87" s="22"/>
      <c r="G87" s="22"/>
      <c r="H87" s="22"/>
      <c r="J87" s="21"/>
      <c r="K87" s="21"/>
      <c r="L87" s="21"/>
      <c r="N87" s="21"/>
      <c r="O87" s="21"/>
      <c r="P87" s="21"/>
    </row>
    <row r="88" spans="2:16">
      <c r="B88" s="22"/>
      <c r="C88" s="22"/>
      <c r="D88" s="22"/>
      <c r="F88" s="22"/>
      <c r="G88" s="22"/>
      <c r="H88" s="22"/>
      <c r="J88" s="21"/>
      <c r="K88" s="21"/>
      <c r="L88" s="21"/>
      <c r="N88" s="21"/>
      <c r="O88" s="21"/>
      <c r="P88" s="21"/>
    </row>
    <row r="89" spans="2:16">
      <c r="B89" s="22"/>
      <c r="C89" s="22"/>
      <c r="D89" s="22"/>
      <c r="F89" s="22"/>
      <c r="G89" s="22"/>
      <c r="H89" s="22"/>
      <c r="J89" s="21"/>
      <c r="K89" s="21"/>
      <c r="L89" s="21"/>
      <c r="N89" s="21"/>
      <c r="O89" s="21"/>
      <c r="P89" s="21"/>
    </row>
    <row r="90" spans="2:16">
      <c r="B90" s="22"/>
      <c r="C90" s="22"/>
      <c r="D90" s="22"/>
      <c r="F90" s="22"/>
      <c r="G90" s="22"/>
      <c r="H90" s="22"/>
      <c r="J90" s="21"/>
      <c r="K90" s="21"/>
      <c r="L90" s="21"/>
      <c r="N90" s="21"/>
      <c r="O90" s="21"/>
      <c r="P90" s="21"/>
    </row>
    <row r="91" spans="2:16">
      <c r="B91" s="22"/>
      <c r="C91" s="22"/>
      <c r="D91" s="22"/>
      <c r="F91" s="22"/>
      <c r="G91" s="22"/>
      <c r="H91" s="22"/>
      <c r="J91" s="21"/>
      <c r="K91" s="21"/>
      <c r="L91" s="21"/>
      <c r="N91" s="21"/>
      <c r="O91" s="21"/>
      <c r="P91" s="21"/>
    </row>
    <row r="92" spans="2:16">
      <c r="B92" s="22"/>
      <c r="C92" s="22"/>
      <c r="D92" s="22"/>
      <c r="F92" s="22"/>
      <c r="G92" s="22"/>
      <c r="H92" s="22"/>
      <c r="J92" s="21"/>
      <c r="K92" s="21"/>
      <c r="L92" s="21"/>
      <c r="N92" s="21"/>
      <c r="O92" s="21"/>
      <c r="P92" s="21"/>
    </row>
    <row r="93" spans="2:16">
      <c r="B93" s="22"/>
      <c r="C93" s="22"/>
      <c r="D93" s="22"/>
      <c r="F93" s="22"/>
      <c r="G93" s="22"/>
      <c r="H93" s="22"/>
      <c r="J93" s="21"/>
      <c r="K93" s="21"/>
      <c r="L93" s="21"/>
      <c r="N93" s="21"/>
      <c r="O93" s="21"/>
      <c r="P93" s="21"/>
    </row>
    <row r="94" spans="2:16">
      <c r="B94" s="22"/>
      <c r="C94" s="22"/>
      <c r="D94" s="22"/>
      <c r="F94" s="22"/>
      <c r="G94" s="22"/>
      <c r="H94" s="22"/>
      <c r="J94" s="21"/>
      <c r="K94" s="21"/>
      <c r="L94" s="21"/>
      <c r="N94" s="21"/>
      <c r="O94" s="21"/>
      <c r="P94" s="21"/>
    </row>
    <row r="95" spans="2:16">
      <c r="B95" s="22"/>
      <c r="C95" s="22"/>
      <c r="D95" s="22"/>
      <c r="F95" s="22"/>
      <c r="G95" s="22"/>
      <c r="H95" s="22"/>
      <c r="J95" s="21"/>
      <c r="K95" s="21"/>
      <c r="L95" s="21"/>
      <c r="N95" s="21"/>
      <c r="O95" s="21"/>
      <c r="P95" s="21"/>
    </row>
    <row r="96" spans="2:16">
      <c r="B96" s="22"/>
      <c r="C96" s="22"/>
      <c r="D96" s="22"/>
      <c r="F96" s="22"/>
      <c r="G96" s="22"/>
      <c r="H96" s="22"/>
      <c r="J96" s="21"/>
      <c r="K96" s="21"/>
      <c r="L96" s="21"/>
      <c r="N96" s="21"/>
      <c r="O96" s="21"/>
      <c r="P96" s="21"/>
    </row>
    <row r="97" spans="2:16">
      <c r="B97" s="22"/>
      <c r="C97" s="22"/>
      <c r="D97" s="22"/>
      <c r="F97" s="22"/>
      <c r="G97" s="22"/>
      <c r="H97" s="22"/>
      <c r="J97" s="21"/>
      <c r="K97" s="21"/>
      <c r="L97" s="21"/>
      <c r="N97" s="21"/>
      <c r="O97" s="21"/>
      <c r="P97" s="21"/>
    </row>
    <row r="98" spans="2:16">
      <c r="B98" s="22"/>
      <c r="C98" s="22"/>
      <c r="D98" s="22"/>
      <c r="F98" s="22"/>
      <c r="G98" s="22"/>
      <c r="H98" s="22"/>
      <c r="J98" s="21"/>
      <c r="K98" s="21"/>
      <c r="L98" s="21"/>
      <c r="N98" s="21"/>
      <c r="O98" s="21"/>
      <c r="P98" s="21"/>
    </row>
    <row r="99" spans="2:16">
      <c r="B99" s="22"/>
      <c r="C99" s="22"/>
      <c r="D99" s="22"/>
      <c r="F99" s="22"/>
      <c r="G99" s="22"/>
      <c r="H99" s="22"/>
      <c r="J99" s="21"/>
      <c r="K99" s="21"/>
      <c r="L99" s="21"/>
      <c r="N99" s="21"/>
      <c r="O99" s="21"/>
      <c r="P99" s="21"/>
    </row>
    <row r="100" spans="2:16">
      <c r="B100" s="22"/>
      <c r="C100" s="22"/>
      <c r="D100" s="22"/>
      <c r="F100" s="22"/>
      <c r="G100" s="22"/>
      <c r="H100" s="22"/>
      <c r="J100" s="21"/>
      <c r="K100" s="21"/>
      <c r="L100" s="21"/>
      <c r="N100" s="21"/>
      <c r="O100" s="21"/>
      <c r="P100" s="21"/>
    </row>
    <row r="101" spans="2:16">
      <c r="B101" s="22"/>
      <c r="C101" s="22"/>
      <c r="D101" s="22"/>
      <c r="F101" s="22"/>
      <c r="G101" s="22"/>
      <c r="H101" s="22"/>
      <c r="J101" s="21"/>
      <c r="K101" s="21"/>
      <c r="L101" s="21"/>
      <c r="N101" s="21"/>
      <c r="O101" s="21"/>
      <c r="P101" s="21"/>
    </row>
    <row r="102" spans="2:16">
      <c r="B102" s="22"/>
      <c r="C102" s="22"/>
      <c r="D102" s="22"/>
      <c r="F102" s="22"/>
      <c r="G102" s="22"/>
      <c r="H102" s="22"/>
      <c r="J102" s="21"/>
      <c r="K102" s="21"/>
      <c r="L102" s="21"/>
      <c r="N102" s="21"/>
      <c r="O102" s="21"/>
      <c r="P102" s="21"/>
    </row>
    <row r="103" spans="2:16">
      <c r="B103" s="22"/>
      <c r="C103" s="22"/>
      <c r="D103" s="22"/>
      <c r="F103" s="22"/>
      <c r="G103" s="22"/>
      <c r="H103" s="22"/>
      <c r="J103" s="21"/>
      <c r="K103" s="21"/>
      <c r="L103" s="21"/>
      <c r="N103" s="21"/>
      <c r="O103" s="21"/>
      <c r="P103" s="21"/>
    </row>
    <row r="104" spans="2:16">
      <c r="B104" s="22"/>
      <c r="C104" s="22"/>
      <c r="D104" s="22"/>
      <c r="F104" s="22"/>
      <c r="G104" s="22"/>
      <c r="H104" s="22"/>
      <c r="J104" s="21"/>
      <c r="K104" s="21"/>
      <c r="L104" s="21"/>
      <c r="N104" s="21"/>
      <c r="O104" s="21"/>
      <c r="P104" s="21"/>
    </row>
    <row r="105" spans="2:16">
      <c r="B105" s="22"/>
      <c r="C105" s="22"/>
      <c r="D105" s="22"/>
      <c r="F105" s="22"/>
      <c r="G105" s="22"/>
      <c r="H105" s="22"/>
      <c r="J105" s="21"/>
      <c r="K105" s="21"/>
      <c r="L105" s="21"/>
      <c r="N105" s="21"/>
      <c r="O105" s="21"/>
      <c r="P105" s="21"/>
    </row>
    <row r="106" spans="2:16">
      <c r="B106" s="22"/>
      <c r="C106" s="22"/>
      <c r="D106" s="22"/>
      <c r="F106" s="22"/>
      <c r="G106" s="22"/>
      <c r="H106" s="22"/>
      <c r="J106" s="21"/>
      <c r="K106" s="21"/>
      <c r="L106" s="21"/>
      <c r="N106" s="21"/>
      <c r="O106" s="21"/>
      <c r="P106" s="21"/>
    </row>
    <row r="107" spans="2:16">
      <c r="B107" s="22"/>
      <c r="C107" s="22"/>
      <c r="D107" s="22"/>
      <c r="F107" s="22"/>
      <c r="G107" s="22"/>
      <c r="H107" s="22"/>
      <c r="J107" s="21"/>
      <c r="K107" s="21"/>
      <c r="L107" s="21"/>
      <c r="N107" s="21"/>
      <c r="O107" s="21"/>
      <c r="P107" s="21"/>
    </row>
    <row r="108" spans="2:16">
      <c r="B108" s="22"/>
      <c r="C108" s="22"/>
      <c r="D108" s="22"/>
      <c r="F108" s="22"/>
      <c r="G108" s="22"/>
      <c r="H108" s="22"/>
      <c r="J108" s="21"/>
      <c r="K108" s="21"/>
      <c r="L108" s="21"/>
      <c r="N108" s="21"/>
      <c r="O108" s="21"/>
      <c r="P108" s="21"/>
    </row>
    <row r="109" spans="2:16">
      <c r="B109" s="22"/>
      <c r="C109" s="22"/>
      <c r="D109" s="22"/>
      <c r="F109" s="22"/>
      <c r="G109" s="22"/>
      <c r="H109" s="22"/>
      <c r="J109" s="21"/>
      <c r="K109" s="21"/>
      <c r="L109" s="21"/>
      <c r="N109" s="21"/>
      <c r="O109" s="21"/>
      <c r="P109" s="21"/>
    </row>
    <row r="110" spans="2:16">
      <c r="B110" s="22"/>
      <c r="C110" s="22"/>
      <c r="D110" s="22"/>
      <c r="F110" s="22"/>
      <c r="G110" s="22"/>
      <c r="H110" s="22"/>
      <c r="J110" s="21"/>
      <c r="K110" s="21"/>
      <c r="L110" s="21"/>
      <c r="N110" s="21"/>
      <c r="O110" s="21"/>
      <c r="P110" s="21"/>
    </row>
    <row r="111" spans="2:16">
      <c r="B111" s="22"/>
      <c r="C111" s="22"/>
      <c r="D111" s="22"/>
      <c r="F111" s="22"/>
      <c r="G111" s="22"/>
      <c r="H111" s="22"/>
      <c r="J111" s="21"/>
      <c r="K111" s="21"/>
      <c r="L111" s="21"/>
      <c r="N111" s="21"/>
      <c r="O111" s="21"/>
      <c r="P111" s="21"/>
    </row>
    <row r="112" spans="2:16">
      <c r="B112" s="22"/>
      <c r="C112" s="22"/>
      <c r="D112" s="22"/>
      <c r="F112" s="22"/>
      <c r="G112" s="22"/>
      <c r="H112" s="22"/>
      <c r="J112" s="21"/>
      <c r="K112" s="21"/>
      <c r="L112" s="21"/>
      <c r="N112" s="21"/>
      <c r="O112" s="21"/>
      <c r="P112" s="21"/>
    </row>
    <row r="113" spans="2:16">
      <c r="B113" s="22"/>
      <c r="C113" s="22"/>
      <c r="D113" s="22"/>
      <c r="F113" s="22"/>
      <c r="G113" s="22"/>
      <c r="H113" s="22"/>
      <c r="J113" s="21"/>
      <c r="K113" s="21"/>
      <c r="L113" s="21"/>
      <c r="N113" s="21"/>
      <c r="O113" s="21"/>
      <c r="P113" s="21"/>
    </row>
    <row r="114" spans="2:16">
      <c r="B114" s="22"/>
      <c r="C114" s="22"/>
      <c r="D114" s="22"/>
      <c r="F114" s="22"/>
      <c r="G114" s="22"/>
      <c r="H114" s="22"/>
      <c r="J114" s="21"/>
      <c r="K114" s="21"/>
      <c r="L114" s="21"/>
      <c r="N114" s="21"/>
      <c r="O114" s="21"/>
      <c r="P114" s="21"/>
    </row>
    <row r="115" spans="2:16">
      <c r="B115" s="22"/>
      <c r="C115" s="22"/>
      <c r="D115" s="22"/>
      <c r="F115" s="22"/>
      <c r="G115" s="22"/>
      <c r="H115" s="22"/>
      <c r="J115" s="21"/>
      <c r="K115" s="21"/>
      <c r="L115" s="21"/>
      <c r="N115" s="21"/>
      <c r="O115" s="21"/>
      <c r="P115" s="21"/>
    </row>
    <row r="116" spans="2:16">
      <c r="B116" s="22"/>
      <c r="C116" s="22"/>
      <c r="D116" s="22"/>
      <c r="F116" s="22"/>
      <c r="G116" s="22"/>
      <c r="H116" s="22"/>
      <c r="J116" s="21"/>
      <c r="K116" s="21"/>
      <c r="L116" s="21"/>
      <c r="N116" s="21"/>
      <c r="O116" s="21"/>
      <c r="P116" s="21"/>
    </row>
    <row r="117" spans="2:16">
      <c r="B117" s="22"/>
      <c r="C117" s="22"/>
      <c r="D117" s="22"/>
      <c r="F117" s="22"/>
      <c r="G117" s="22"/>
      <c r="H117" s="22"/>
      <c r="J117" s="21"/>
      <c r="K117" s="21"/>
      <c r="L117" s="21"/>
      <c r="N117" s="21"/>
      <c r="O117" s="21"/>
      <c r="P117" s="21"/>
    </row>
    <row r="118" spans="2:16">
      <c r="B118" s="22"/>
      <c r="C118" s="22"/>
      <c r="D118" s="22"/>
      <c r="F118" s="22"/>
      <c r="G118" s="22"/>
      <c r="H118" s="22"/>
      <c r="J118" s="21"/>
      <c r="K118" s="21"/>
      <c r="L118" s="21"/>
      <c r="N118" s="21"/>
      <c r="O118" s="21"/>
      <c r="P118" s="21"/>
    </row>
    <row r="119" spans="2:16">
      <c r="B119" s="22"/>
      <c r="C119" s="22"/>
      <c r="D119" s="22"/>
      <c r="F119" s="22"/>
      <c r="G119" s="22"/>
      <c r="H119" s="22"/>
      <c r="J119" s="21"/>
      <c r="K119" s="21"/>
      <c r="L119" s="21"/>
      <c r="N119" s="21"/>
      <c r="O119" s="21"/>
      <c r="P119" s="21"/>
    </row>
    <row r="120" spans="2:16">
      <c r="B120" s="22"/>
      <c r="C120" s="22"/>
      <c r="D120" s="22"/>
      <c r="F120" s="22"/>
      <c r="G120" s="22"/>
      <c r="H120" s="22"/>
      <c r="J120" s="21"/>
      <c r="K120" s="21"/>
      <c r="L120" s="21"/>
      <c r="N120" s="21"/>
      <c r="O120" s="21"/>
      <c r="P120" s="21"/>
    </row>
    <row r="121" spans="2:16">
      <c r="B121" s="22"/>
      <c r="C121" s="22"/>
      <c r="D121" s="22"/>
      <c r="F121" s="22"/>
      <c r="G121" s="22"/>
      <c r="H121" s="22"/>
      <c r="J121" s="21"/>
      <c r="K121" s="21"/>
      <c r="L121" s="21"/>
      <c r="N121" s="21"/>
      <c r="O121" s="21"/>
      <c r="P121" s="21"/>
    </row>
    <row r="122" spans="2:16">
      <c r="B122" s="22"/>
      <c r="C122" s="22"/>
      <c r="D122" s="22"/>
      <c r="F122" s="22"/>
      <c r="G122" s="22"/>
      <c r="H122" s="22"/>
      <c r="J122" s="21"/>
      <c r="K122" s="21"/>
      <c r="L122" s="21"/>
      <c r="N122" s="21"/>
      <c r="O122" s="21"/>
      <c r="P122" s="21"/>
    </row>
    <row r="123" spans="2:16">
      <c r="B123" s="22"/>
      <c r="C123" s="22"/>
      <c r="D123" s="22"/>
      <c r="F123" s="22"/>
      <c r="G123" s="22"/>
      <c r="H123" s="22"/>
      <c r="J123" s="21"/>
      <c r="K123" s="21"/>
      <c r="L123" s="21"/>
      <c r="N123" s="21"/>
      <c r="O123" s="21"/>
      <c r="P123" s="21"/>
    </row>
    <row r="124" spans="2:16">
      <c r="B124" s="22"/>
      <c r="C124" s="22"/>
      <c r="D124" s="22"/>
      <c r="F124" s="22"/>
      <c r="G124" s="22"/>
      <c r="H124" s="22"/>
      <c r="J124" s="21"/>
      <c r="K124" s="21"/>
      <c r="L124" s="21"/>
      <c r="N124" s="21"/>
      <c r="O124" s="21"/>
      <c r="P124" s="21"/>
    </row>
    <row r="125" spans="2:16">
      <c r="B125" s="22"/>
      <c r="C125" s="22"/>
      <c r="D125" s="22"/>
      <c r="F125" s="22"/>
      <c r="G125" s="22"/>
      <c r="H125" s="22"/>
      <c r="J125" s="21"/>
      <c r="K125" s="21"/>
      <c r="L125" s="21"/>
      <c r="N125" s="21"/>
      <c r="O125" s="21"/>
      <c r="P125" s="21"/>
    </row>
    <row r="126" spans="2:16">
      <c r="B126" s="22"/>
      <c r="C126" s="22"/>
      <c r="D126" s="22"/>
      <c r="F126" s="22"/>
      <c r="G126" s="22"/>
      <c r="H126" s="22"/>
      <c r="J126" s="21"/>
      <c r="K126" s="21"/>
      <c r="L126" s="21"/>
      <c r="N126" s="21"/>
      <c r="O126" s="21"/>
      <c r="P126" s="21"/>
    </row>
    <row r="127" spans="2:16">
      <c r="B127" s="22"/>
      <c r="C127" s="22"/>
      <c r="D127" s="22"/>
      <c r="F127" s="22"/>
      <c r="G127" s="22"/>
      <c r="H127" s="22"/>
      <c r="N127" s="21"/>
      <c r="O127" s="21"/>
      <c r="P127" s="21"/>
    </row>
    <row r="128" spans="2:16">
      <c r="B128" s="22"/>
      <c r="C128" s="22"/>
      <c r="D128" s="22"/>
      <c r="N128" s="21"/>
      <c r="O128" s="21"/>
      <c r="P128" s="21"/>
    </row>
    <row r="129" spans="14:16">
      <c r="N129" s="21"/>
      <c r="O129" s="21"/>
      <c r="P129" s="21"/>
    </row>
    <row r="130" spans="14:16">
      <c r="N130" s="21"/>
      <c r="O130" s="21"/>
      <c r="P130" s="21"/>
    </row>
    <row r="131" spans="14:16">
      <c r="N131" s="21"/>
      <c r="O131" s="21"/>
      <c r="P131" s="21"/>
    </row>
    <row r="132" spans="14:16">
      <c r="N132" s="21"/>
      <c r="O132" s="21"/>
      <c r="P132" s="21"/>
    </row>
  </sheetData>
  <mergeCells count="4">
    <mergeCell ref="B4:C4"/>
    <mergeCell ref="F4:G4"/>
    <mergeCell ref="J4:K4"/>
    <mergeCell ref="N4: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eqsol_Click">
                <anchor moveWithCells="1">
                  <from>
                    <xdr:col>6</xdr:col>
                    <xdr:colOff>209550</xdr:colOff>
                    <xdr:row>1</xdr:row>
                    <xdr:rowOff>0</xdr:rowOff>
                  </from>
                  <to>
                    <xdr:col>7</xdr:col>
                    <xdr:colOff>695325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737F7-DB26-458A-8E21-7A8575F66279}">
  <sheetPr codeName="Sheet15"/>
  <dimension ref="A1:P36"/>
  <sheetViews>
    <sheetView workbookViewId="0">
      <selection activeCell="I2" sqref="I2"/>
    </sheetView>
  </sheetViews>
  <sheetFormatPr defaultRowHeight="15"/>
  <cols>
    <col min="1" max="1" width="22.85546875" customWidth="1"/>
  </cols>
  <sheetData>
    <row r="1" spans="1:16" ht="18.75" customHeight="1">
      <c r="I1" s="24" t="s">
        <v>121</v>
      </c>
      <c r="J1" s="24" t="s">
        <v>122</v>
      </c>
    </row>
    <row r="2" spans="1:16" ht="18.75">
      <c r="A2" s="128" t="str" cm="1">
        <f t="array" ref="A2:A9">Enter!A2:A9</f>
        <v>مکان</v>
      </c>
      <c r="B2" t="str">
        <f>Enter!B2</f>
        <v>تبریز</v>
      </c>
      <c r="I2">
        <v>1399</v>
      </c>
      <c r="J2">
        <v>1403</v>
      </c>
      <c r="K2">
        <f>J2-I2</f>
        <v>4</v>
      </c>
    </row>
    <row r="3" spans="1:16" ht="18.75">
      <c r="A3" s="128" t="str">
        <v>طول جغرافیایی</v>
      </c>
      <c r="B3">
        <f>Enter!B3</f>
        <v>46.289150238037102</v>
      </c>
      <c r="I3" s="48" t="s">
        <v>152</v>
      </c>
      <c r="K3" s="8" t="str">
        <f>IF(I3="Equation of Time, Minutes","تعدیل زمان، دقیقه","میل ظاهری خورشید، درجه")</f>
        <v>میل ظاهری خورشید، درجه</v>
      </c>
    </row>
    <row r="4" spans="1:16" ht="23.25" thickBot="1">
      <c r="A4" s="128" t="str">
        <v>عرض جغرافیایی</v>
      </c>
      <c r="B4">
        <f>Enter!B4</f>
        <v>38.079292297363203</v>
      </c>
      <c r="J4" s="88" t="s">
        <v>8</v>
      </c>
    </row>
    <row r="5" spans="1:16" ht="22.5">
      <c r="A5" s="128" t="str">
        <v>ارتفاع از سطح دریا</v>
      </c>
      <c r="B5">
        <f>Enter!B5</f>
        <v>1210</v>
      </c>
      <c r="D5" s="175" t="s">
        <v>9</v>
      </c>
      <c r="E5" s="176">
        <v>1</v>
      </c>
      <c r="F5" s="176">
        <f>E5+1</f>
        <v>2</v>
      </c>
      <c r="G5" s="176">
        <f t="shared" ref="G5:P5" si="0">F5+1</f>
        <v>3</v>
      </c>
      <c r="H5" s="176">
        <f t="shared" si="0"/>
        <v>4</v>
      </c>
      <c r="I5" s="176">
        <f t="shared" si="0"/>
        <v>5</v>
      </c>
      <c r="J5" s="176">
        <f t="shared" si="0"/>
        <v>6</v>
      </c>
      <c r="K5" s="176">
        <f t="shared" si="0"/>
        <v>7</v>
      </c>
      <c r="L5" s="176">
        <f t="shared" si="0"/>
        <v>8</v>
      </c>
      <c r="M5" s="176">
        <f t="shared" si="0"/>
        <v>9</v>
      </c>
      <c r="N5" s="176">
        <f t="shared" si="0"/>
        <v>10</v>
      </c>
      <c r="O5" s="176">
        <f t="shared" si="0"/>
        <v>11</v>
      </c>
      <c r="P5" s="177">
        <f t="shared" si="0"/>
        <v>12</v>
      </c>
    </row>
    <row r="6" spans="1:16" ht="21">
      <c r="A6" s="128" t="str">
        <v>ناحیه ساعتی</v>
      </c>
      <c r="B6">
        <f>Enter!B6</f>
        <v>3.5</v>
      </c>
      <c r="D6" s="178">
        <v>1</v>
      </c>
      <c r="E6" s="179" t="s">
        <v>153</v>
      </c>
      <c r="F6" s="179" t="s">
        <v>184</v>
      </c>
      <c r="G6" s="179" t="s">
        <v>215</v>
      </c>
      <c r="H6" s="179" t="s">
        <v>246</v>
      </c>
      <c r="I6" s="179" t="s">
        <v>277</v>
      </c>
      <c r="J6" s="179" t="s">
        <v>308</v>
      </c>
      <c r="K6" s="179" t="s">
        <v>339</v>
      </c>
      <c r="L6" s="179" t="s">
        <v>369</v>
      </c>
      <c r="M6" s="179" t="s">
        <v>399</v>
      </c>
      <c r="N6" s="179" t="s">
        <v>429</v>
      </c>
      <c r="O6" s="179" t="s">
        <v>459</v>
      </c>
      <c r="P6" s="180" t="s">
        <v>489</v>
      </c>
    </row>
    <row r="7" spans="1:16" ht="21">
      <c r="A7" s="128" t="str">
        <v>اختلاف ساعت محلی و رسمی</v>
      </c>
      <c r="B7">
        <f>Enter!B7</f>
        <v>0</v>
      </c>
      <c r="D7" s="178">
        <f>D6+1</f>
        <v>2</v>
      </c>
      <c r="E7" s="179" t="s">
        <v>154</v>
      </c>
      <c r="F7" s="179" t="s">
        <v>185</v>
      </c>
      <c r="G7" s="179" t="s">
        <v>216</v>
      </c>
      <c r="H7" s="179" t="s">
        <v>247</v>
      </c>
      <c r="I7" s="179" t="s">
        <v>278</v>
      </c>
      <c r="J7" s="179" t="s">
        <v>309</v>
      </c>
      <c r="K7" s="179" t="s">
        <v>340</v>
      </c>
      <c r="L7" s="179" t="s">
        <v>370</v>
      </c>
      <c r="M7" s="179" t="s">
        <v>400</v>
      </c>
      <c r="N7" s="179" t="s">
        <v>430</v>
      </c>
      <c r="O7" s="179" t="s">
        <v>460</v>
      </c>
      <c r="P7" s="180" t="s">
        <v>490</v>
      </c>
    </row>
    <row r="8" spans="1:16" ht="21">
      <c r="A8" s="128" t="str">
        <v>فشار هوا</v>
      </c>
      <c r="B8">
        <f>Enter!B8</f>
        <v>876.11192927573188</v>
      </c>
      <c r="D8" s="178">
        <f t="shared" ref="D8:D36" si="1">D7+1</f>
        <v>3</v>
      </c>
      <c r="E8" s="179" t="s">
        <v>155</v>
      </c>
      <c r="F8" s="179" t="s">
        <v>186</v>
      </c>
      <c r="G8" s="179" t="s">
        <v>217</v>
      </c>
      <c r="H8" s="179" t="s">
        <v>248</v>
      </c>
      <c r="I8" s="179" t="s">
        <v>279</v>
      </c>
      <c r="J8" s="179" t="s">
        <v>310</v>
      </c>
      <c r="K8" s="179" t="s">
        <v>341</v>
      </c>
      <c r="L8" s="179" t="s">
        <v>371</v>
      </c>
      <c r="M8" s="179" t="s">
        <v>401</v>
      </c>
      <c r="N8" s="179" t="s">
        <v>431</v>
      </c>
      <c r="O8" s="179" t="s">
        <v>461</v>
      </c>
      <c r="P8" s="180" t="s">
        <v>491</v>
      </c>
    </row>
    <row r="9" spans="1:16" ht="21">
      <c r="A9" s="128" t="str">
        <v>دمای هوا</v>
      </c>
      <c r="B9">
        <f>Enter!B9</f>
        <v>7.1364968049580559</v>
      </c>
      <c r="D9" s="178">
        <f t="shared" si="1"/>
        <v>4</v>
      </c>
      <c r="E9" s="179" t="s">
        <v>156</v>
      </c>
      <c r="F9" s="179" t="s">
        <v>187</v>
      </c>
      <c r="G9" s="179" t="s">
        <v>218</v>
      </c>
      <c r="H9" s="179" t="s">
        <v>249</v>
      </c>
      <c r="I9" s="179" t="s">
        <v>280</v>
      </c>
      <c r="J9" s="179" t="s">
        <v>311</v>
      </c>
      <c r="K9" s="179" t="s">
        <v>342</v>
      </c>
      <c r="L9" s="179" t="s">
        <v>372</v>
      </c>
      <c r="M9" s="179" t="s">
        <v>402</v>
      </c>
      <c r="N9" s="179" t="s">
        <v>432</v>
      </c>
      <c r="O9" s="179" t="s">
        <v>462</v>
      </c>
      <c r="P9" s="180" t="s">
        <v>492</v>
      </c>
    </row>
    <row r="10" spans="1:16" ht="21">
      <c r="D10" s="178">
        <f t="shared" si="1"/>
        <v>5</v>
      </c>
      <c r="E10" s="179" t="s">
        <v>157</v>
      </c>
      <c r="F10" s="179" t="s">
        <v>188</v>
      </c>
      <c r="G10" s="179" t="s">
        <v>219</v>
      </c>
      <c r="H10" s="179" t="s">
        <v>250</v>
      </c>
      <c r="I10" s="179" t="s">
        <v>281</v>
      </c>
      <c r="J10" s="179" t="s">
        <v>312</v>
      </c>
      <c r="K10" s="179" t="s">
        <v>343</v>
      </c>
      <c r="L10" s="179" t="s">
        <v>373</v>
      </c>
      <c r="M10" s="179" t="s">
        <v>403</v>
      </c>
      <c r="N10" s="179" t="s">
        <v>433</v>
      </c>
      <c r="O10" s="179" t="s">
        <v>463</v>
      </c>
      <c r="P10" s="180" t="s">
        <v>493</v>
      </c>
    </row>
    <row r="11" spans="1:16" ht="21">
      <c r="D11" s="178">
        <f t="shared" si="1"/>
        <v>6</v>
      </c>
      <c r="E11" s="179" t="s">
        <v>158</v>
      </c>
      <c r="F11" s="179" t="s">
        <v>189</v>
      </c>
      <c r="G11" s="179" t="s">
        <v>220</v>
      </c>
      <c r="H11" s="179" t="s">
        <v>251</v>
      </c>
      <c r="I11" s="179" t="s">
        <v>282</v>
      </c>
      <c r="J11" s="179" t="s">
        <v>313</v>
      </c>
      <c r="K11" s="179" t="s">
        <v>344</v>
      </c>
      <c r="L11" s="179" t="s">
        <v>374</v>
      </c>
      <c r="M11" s="179" t="s">
        <v>404</v>
      </c>
      <c r="N11" s="179" t="s">
        <v>434</v>
      </c>
      <c r="O11" s="179" t="s">
        <v>464</v>
      </c>
      <c r="P11" s="180" t="s">
        <v>494</v>
      </c>
    </row>
    <row r="12" spans="1:16" ht="21">
      <c r="D12" s="178">
        <f t="shared" si="1"/>
        <v>7</v>
      </c>
      <c r="E12" s="179" t="s">
        <v>159</v>
      </c>
      <c r="F12" s="179" t="s">
        <v>190</v>
      </c>
      <c r="G12" s="179" t="s">
        <v>221</v>
      </c>
      <c r="H12" s="179" t="s">
        <v>252</v>
      </c>
      <c r="I12" s="179" t="s">
        <v>283</v>
      </c>
      <c r="J12" s="179" t="s">
        <v>314</v>
      </c>
      <c r="K12" s="179" t="s">
        <v>345</v>
      </c>
      <c r="L12" s="179" t="s">
        <v>375</v>
      </c>
      <c r="M12" s="179" t="s">
        <v>405</v>
      </c>
      <c r="N12" s="179" t="s">
        <v>435</v>
      </c>
      <c r="O12" s="179" t="s">
        <v>465</v>
      </c>
      <c r="P12" s="180" t="s">
        <v>495</v>
      </c>
    </row>
    <row r="13" spans="1:16" ht="21">
      <c r="D13" s="178">
        <f t="shared" si="1"/>
        <v>8</v>
      </c>
      <c r="E13" s="179" t="s">
        <v>160</v>
      </c>
      <c r="F13" s="179" t="s">
        <v>191</v>
      </c>
      <c r="G13" s="179" t="s">
        <v>222</v>
      </c>
      <c r="H13" s="179" t="s">
        <v>253</v>
      </c>
      <c r="I13" s="179" t="s">
        <v>284</v>
      </c>
      <c r="J13" s="179" t="s">
        <v>315</v>
      </c>
      <c r="K13" s="179" t="s">
        <v>346</v>
      </c>
      <c r="L13" s="179" t="s">
        <v>376</v>
      </c>
      <c r="M13" s="179" t="s">
        <v>406</v>
      </c>
      <c r="N13" s="179" t="s">
        <v>436</v>
      </c>
      <c r="O13" s="179" t="s">
        <v>466</v>
      </c>
      <c r="P13" s="180" t="s">
        <v>151</v>
      </c>
    </row>
    <row r="14" spans="1:16" ht="21">
      <c r="D14" s="178">
        <f t="shared" si="1"/>
        <v>9</v>
      </c>
      <c r="E14" s="179" t="s">
        <v>161</v>
      </c>
      <c r="F14" s="179" t="s">
        <v>192</v>
      </c>
      <c r="G14" s="179" t="s">
        <v>223</v>
      </c>
      <c r="H14" s="179" t="s">
        <v>254</v>
      </c>
      <c r="I14" s="179" t="s">
        <v>285</v>
      </c>
      <c r="J14" s="179" t="s">
        <v>316</v>
      </c>
      <c r="K14" s="179" t="s">
        <v>347</v>
      </c>
      <c r="L14" s="179" t="s">
        <v>377</v>
      </c>
      <c r="M14" s="179" t="s">
        <v>407</v>
      </c>
      <c r="N14" s="179" t="s">
        <v>437</v>
      </c>
      <c r="O14" s="179" t="s">
        <v>467</v>
      </c>
      <c r="P14" s="180" t="s">
        <v>496</v>
      </c>
    </row>
    <row r="15" spans="1:16" ht="21">
      <c r="D15" s="178">
        <f t="shared" si="1"/>
        <v>10</v>
      </c>
      <c r="E15" s="179" t="s">
        <v>162</v>
      </c>
      <c r="F15" s="179" t="s">
        <v>193</v>
      </c>
      <c r="G15" s="179" t="s">
        <v>224</v>
      </c>
      <c r="H15" s="179" t="s">
        <v>255</v>
      </c>
      <c r="I15" s="179" t="s">
        <v>286</v>
      </c>
      <c r="J15" s="179" t="s">
        <v>317</v>
      </c>
      <c r="K15" s="179" t="s">
        <v>348</v>
      </c>
      <c r="L15" s="179" t="s">
        <v>378</v>
      </c>
      <c r="M15" s="179" t="s">
        <v>408</v>
      </c>
      <c r="N15" s="179" t="s">
        <v>438</v>
      </c>
      <c r="O15" s="179" t="s">
        <v>468</v>
      </c>
      <c r="P15" s="180" t="s">
        <v>497</v>
      </c>
    </row>
    <row r="16" spans="1:16" ht="21">
      <c r="D16" s="178">
        <f t="shared" si="1"/>
        <v>11</v>
      </c>
      <c r="E16" s="179" t="s">
        <v>163</v>
      </c>
      <c r="F16" s="179" t="s">
        <v>194</v>
      </c>
      <c r="G16" s="179" t="s">
        <v>225</v>
      </c>
      <c r="H16" s="179" t="s">
        <v>256</v>
      </c>
      <c r="I16" s="179" t="s">
        <v>287</v>
      </c>
      <c r="J16" s="179" t="s">
        <v>318</v>
      </c>
      <c r="K16" s="179" t="s">
        <v>349</v>
      </c>
      <c r="L16" s="179" t="s">
        <v>379</v>
      </c>
      <c r="M16" s="179" t="s">
        <v>409</v>
      </c>
      <c r="N16" s="179" t="s">
        <v>439</v>
      </c>
      <c r="O16" s="179" t="s">
        <v>469</v>
      </c>
      <c r="P16" s="180" t="s">
        <v>498</v>
      </c>
    </row>
    <row r="17" spans="4:16" ht="21">
      <c r="D17" s="178">
        <f t="shared" si="1"/>
        <v>12</v>
      </c>
      <c r="E17" s="179" t="s">
        <v>164</v>
      </c>
      <c r="F17" s="179" t="s">
        <v>195</v>
      </c>
      <c r="G17" s="179" t="s">
        <v>226</v>
      </c>
      <c r="H17" s="179" t="s">
        <v>257</v>
      </c>
      <c r="I17" s="179" t="s">
        <v>288</v>
      </c>
      <c r="J17" s="179" t="s">
        <v>319</v>
      </c>
      <c r="K17" s="179" t="s">
        <v>350</v>
      </c>
      <c r="L17" s="179" t="s">
        <v>380</v>
      </c>
      <c r="M17" s="179" t="s">
        <v>410</v>
      </c>
      <c r="N17" s="179" t="s">
        <v>440</v>
      </c>
      <c r="O17" s="179" t="s">
        <v>470</v>
      </c>
      <c r="P17" s="180" t="s">
        <v>499</v>
      </c>
    </row>
    <row r="18" spans="4:16" ht="21">
      <c r="D18" s="178">
        <f t="shared" si="1"/>
        <v>13</v>
      </c>
      <c r="E18" s="179" t="s">
        <v>165</v>
      </c>
      <c r="F18" s="179" t="s">
        <v>196</v>
      </c>
      <c r="G18" s="179" t="s">
        <v>227</v>
      </c>
      <c r="H18" s="179" t="s">
        <v>258</v>
      </c>
      <c r="I18" s="179" t="s">
        <v>289</v>
      </c>
      <c r="J18" s="179" t="s">
        <v>320</v>
      </c>
      <c r="K18" s="179" t="s">
        <v>351</v>
      </c>
      <c r="L18" s="179" t="s">
        <v>381</v>
      </c>
      <c r="M18" s="179" t="s">
        <v>411</v>
      </c>
      <c r="N18" s="179" t="s">
        <v>441</v>
      </c>
      <c r="O18" s="179" t="s">
        <v>471</v>
      </c>
      <c r="P18" s="180" t="s">
        <v>500</v>
      </c>
    </row>
    <row r="19" spans="4:16" ht="21">
      <c r="D19" s="178">
        <f t="shared" si="1"/>
        <v>14</v>
      </c>
      <c r="E19" s="179" t="s">
        <v>166</v>
      </c>
      <c r="F19" s="179" t="s">
        <v>197</v>
      </c>
      <c r="G19" s="179" t="s">
        <v>228</v>
      </c>
      <c r="H19" s="179" t="s">
        <v>259</v>
      </c>
      <c r="I19" s="179" t="s">
        <v>290</v>
      </c>
      <c r="J19" s="179" t="s">
        <v>321</v>
      </c>
      <c r="K19" s="179" t="s">
        <v>352</v>
      </c>
      <c r="L19" s="179" t="s">
        <v>382</v>
      </c>
      <c r="M19" s="179" t="s">
        <v>412</v>
      </c>
      <c r="N19" s="179" t="s">
        <v>442</v>
      </c>
      <c r="O19" s="179" t="s">
        <v>472</v>
      </c>
      <c r="P19" s="180" t="s">
        <v>501</v>
      </c>
    </row>
    <row r="20" spans="4:16" ht="21">
      <c r="D20" s="178">
        <f t="shared" si="1"/>
        <v>15</v>
      </c>
      <c r="E20" s="179" t="s">
        <v>167</v>
      </c>
      <c r="F20" s="179" t="s">
        <v>198</v>
      </c>
      <c r="G20" s="179" t="s">
        <v>229</v>
      </c>
      <c r="H20" s="179" t="s">
        <v>260</v>
      </c>
      <c r="I20" s="179" t="s">
        <v>291</v>
      </c>
      <c r="J20" s="179" t="s">
        <v>322</v>
      </c>
      <c r="K20" s="179" t="s">
        <v>353</v>
      </c>
      <c r="L20" s="179" t="s">
        <v>383</v>
      </c>
      <c r="M20" s="179" t="s">
        <v>413</v>
      </c>
      <c r="N20" s="179" t="s">
        <v>443</v>
      </c>
      <c r="O20" s="179" t="s">
        <v>473</v>
      </c>
      <c r="P20" s="180" t="s">
        <v>502</v>
      </c>
    </row>
    <row r="21" spans="4:16" ht="21">
      <c r="D21" s="178">
        <f t="shared" si="1"/>
        <v>16</v>
      </c>
      <c r="E21" s="179" t="s">
        <v>168</v>
      </c>
      <c r="F21" s="179" t="s">
        <v>199</v>
      </c>
      <c r="G21" s="179" t="s">
        <v>230</v>
      </c>
      <c r="H21" s="179" t="s">
        <v>261</v>
      </c>
      <c r="I21" s="179" t="s">
        <v>292</v>
      </c>
      <c r="J21" s="179" t="s">
        <v>323</v>
      </c>
      <c r="K21" s="179" t="s">
        <v>354</v>
      </c>
      <c r="L21" s="179" t="s">
        <v>384</v>
      </c>
      <c r="M21" s="179" t="s">
        <v>414</v>
      </c>
      <c r="N21" s="179" t="s">
        <v>444</v>
      </c>
      <c r="O21" s="179" t="s">
        <v>474</v>
      </c>
      <c r="P21" s="180" t="s">
        <v>503</v>
      </c>
    </row>
    <row r="22" spans="4:16" ht="21">
      <c r="D22" s="178">
        <f t="shared" si="1"/>
        <v>17</v>
      </c>
      <c r="E22" s="179" t="s">
        <v>169</v>
      </c>
      <c r="F22" s="179" t="s">
        <v>200</v>
      </c>
      <c r="G22" s="179" t="s">
        <v>231</v>
      </c>
      <c r="H22" s="179" t="s">
        <v>262</v>
      </c>
      <c r="I22" s="179" t="s">
        <v>293</v>
      </c>
      <c r="J22" s="179" t="s">
        <v>324</v>
      </c>
      <c r="K22" s="179" t="s">
        <v>355</v>
      </c>
      <c r="L22" s="179" t="s">
        <v>385</v>
      </c>
      <c r="M22" s="179" t="s">
        <v>415</v>
      </c>
      <c r="N22" s="179" t="s">
        <v>445</v>
      </c>
      <c r="O22" s="179" t="s">
        <v>475</v>
      </c>
      <c r="P22" s="180" t="s">
        <v>504</v>
      </c>
    </row>
    <row r="23" spans="4:16" ht="21">
      <c r="D23" s="178">
        <f t="shared" si="1"/>
        <v>18</v>
      </c>
      <c r="E23" s="179" t="s">
        <v>170</v>
      </c>
      <c r="F23" s="179" t="s">
        <v>201</v>
      </c>
      <c r="G23" s="179" t="s">
        <v>232</v>
      </c>
      <c r="H23" s="179" t="s">
        <v>263</v>
      </c>
      <c r="I23" s="179" t="s">
        <v>294</v>
      </c>
      <c r="J23" s="179" t="s">
        <v>325</v>
      </c>
      <c r="K23" s="179" t="s">
        <v>356</v>
      </c>
      <c r="L23" s="179" t="s">
        <v>386</v>
      </c>
      <c r="M23" s="179" t="s">
        <v>416</v>
      </c>
      <c r="N23" s="179" t="s">
        <v>446</v>
      </c>
      <c r="O23" s="179" t="s">
        <v>476</v>
      </c>
      <c r="P23" s="180" t="s">
        <v>505</v>
      </c>
    </row>
    <row r="24" spans="4:16" ht="21">
      <c r="D24" s="178">
        <f t="shared" si="1"/>
        <v>19</v>
      </c>
      <c r="E24" s="179" t="s">
        <v>171</v>
      </c>
      <c r="F24" s="179" t="s">
        <v>202</v>
      </c>
      <c r="G24" s="179" t="s">
        <v>233</v>
      </c>
      <c r="H24" s="179" t="s">
        <v>264</v>
      </c>
      <c r="I24" s="179" t="s">
        <v>295</v>
      </c>
      <c r="J24" s="179" t="s">
        <v>326</v>
      </c>
      <c r="K24" s="179" t="s">
        <v>357</v>
      </c>
      <c r="L24" s="179" t="s">
        <v>387</v>
      </c>
      <c r="M24" s="179" t="s">
        <v>417</v>
      </c>
      <c r="N24" s="179" t="s">
        <v>447</v>
      </c>
      <c r="O24" s="179" t="s">
        <v>477</v>
      </c>
      <c r="P24" s="180" t="s">
        <v>506</v>
      </c>
    </row>
    <row r="25" spans="4:16" ht="21">
      <c r="D25" s="178">
        <f t="shared" si="1"/>
        <v>20</v>
      </c>
      <c r="E25" s="179" t="s">
        <v>172</v>
      </c>
      <c r="F25" s="179" t="s">
        <v>203</v>
      </c>
      <c r="G25" s="179" t="s">
        <v>234</v>
      </c>
      <c r="H25" s="179" t="s">
        <v>265</v>
      </c>
      <c r="I25" s="179" t="s">
        <v>296</v>
      </c>
      <c r="J25" s="179" t="s">
        <v>327</v>
      </c>
      <c r="K25" s="179" t="s">
        <v>358</v>
      </c>
      <c r="L25" s="179" t="s">
        <v>388</v>
      </c>
      <c r="M25" s="179" t="s">
        <v>418</v>
      </c>
      <c r="N25" s="179" t="s">
        <v>448</v>
      </c>
      <c r="O25" s="179" t="s">
        <v>478</v>
      </c>
      <c r="P25" s="180" t="s">
        <v>507</v>
      </c>
    </row>
    <row r="26" spans="4:16" ht="21">
      <c r="D26" s="178">
        <f>D25+1</f>
        <v>21</v>
      </c>
      <c r="E26" s="179" t="s">
        <v>173</v>
      </c>
      <c r="F26" s="179" t="s">
        <v>204</v>
      </c>
      <c r="G26" s="179" t="s">
        <v>235</v>
      </c>
      <c r="H26" s="179" t="s">
        <v>266</v>
      </c>
      <c r="I26" s="179" t="s">
        <v>297</v>
      </c>
      <c r="J26" s="179" t="s">
        <v>328</v>
      </c>
      <c r="K26" s="179" t="s">
        <v>359</v>
      </c>
      <c r="L26" s="179" t="s">
        <v>389</v>
      </c>
      <c r="M26" s="179" t="s">
        <v>419</v>
      </c>
      <c r="N26" s="179" t="s">
        <v>449</v>
      </c>
      <c r="O26" s="179" t="s">
        <v>479</v>
      </c>
      <c r="P26" s="180" t="s">
        <v>508</v>
      </c>
    </row>
    <row r="27" spans="4:16" ht="21">
      <c r="D27" s="178">
        <f t="shared" si="1"/>
        <v>22</v>
      </c>
      <c r="E27" s="179" t="s">
        <v>174</v>
      </c>
      <c r="F27" s="179" t="s">
        <v>205</v>
      </c>
      <c r="G27" s="179" t="s">
        <v>236</v>
      </c>
      <c r="H27" s="179" t="s">
        <v>267</v>
      </c>
      <c r="I27" s="179" t="s">
        <v>298</v>
      </c>
      <c r="J27" s="179" t="s">
        <v>329</v>
      </c>
      <c r="K27" s="179" t="s">
        <v>360</v>
      </c>
      <c r="L27" s="179" t="s">
        <v>390</v>
      </c>
      <c r="M27" s="179" t="s">
        <v>420</v>
      </c>
      <c r="N27" s="179" t="s">
        <v>450</v>
      </c>
      <c r="O27" s="179" t="s">
        <v>480</v>
      </c>
      <c r="P27" s="180" t="s">
        <v>509</v>
      </c>
    </row>
    <row r="28" spans="4:16" ht="21">
      <c r="D28" s="178">
        <f t="shared" si="1"/>
        <v>23</v>
      </c>
      <c r="E28" s="179" t="s">
        <v>175</v>
      </c>
      <c r="F28" s="179" t="s">
        <v>206</v>
      </c>
      <c r="G28" s="179" t="s">
        <v>237</v>
      </c>
      <c r="H28" s="179" t="s">
        <v>268</v>
      </c>
      <c r="I28" s="179" t="s">
        <v>299</v>
      </c>
      <c r="J28" s="179" t="s">
        <v>330</v>
      </c>
      <c r="K28" s="179" t="s">
        <v>361</v>
      </c>
      <c r="L28" s="179" t="s">
        <v>391</v>
      </c>
      <c r="M28" s="179" t="s">
        <v>421</v>
      </c>
      <c r="N28" s="179" t="s">
        <v>451</v>
      </c>
      <c r="O28" s="179" t="s">
        <v>481</v>
      </c>
      <c r="P28" s="180" t="s">
        <v>510</v>
      </c>
    </row>
    <row r="29" spans="4:16" ht="21">
      <c r="D29" s="178">
        <f>D28+1</f>
        <v>24</v>
      </c>
      <c r="E29" s="179" t="s">
        <v>176</v>
      </c>
      <c r="F29" s="179" t="s">
        <v>207</v>
      </c>
      <c r="G29" s="179" t="s">
        <v>238</v>
      </c>
      <c r="H29" s="179" t="s">
        <v>269</v>
      </c>
      <c r="I29" s="179" t="s">
        <v>300</v>
      </c>
      <c r="J29" s="179" t="s">
        <v>331</v>
      </c>
      <c r="K29" s="179" t="s">
        <v>362</v>
      </c>
      <c r="L29" s="179" t="s">
        <v>392</v>
      </c>
      <c r="M29" s="179" t="s">
        <v>422</v>
      </c>
      <c r="N29" s="179" t="s">
        <v>452</v>
      </c>
      <c r="O29" s="179" t="s">
        <v>482</v>
      </c>
      <c r="P29" s="180" t="s">
        <v>511</v>
      </c>
    </row>
    <row r="30" spans="4:16" ht="21">
      <c r="D30" s="178">
        <f t="shared" si="1"/>
        <v>25</v>
      </c>
      <c r="E30" s="179" t="s">
        <v>177</v>
      </c>
      <c r="F30" s="179" t="s">
        <v>208</v>
      </c>
      <c r="G30" s="179" t="s">
        <v>239</v>
      </c>
      <c r="H30" s="179" t="s">
        <v>270</v>
      </c>
      <c r="I30" s="179" t="s">
        <v>301</v>
      </c>
      <c r="J30" s="179" t="s">
        <v>332</v>
      </c>
      <c r="K30" s="179" t="s">
        <v>363</v>
      </c>
      <c r="L30" s="179" t="s">
        <v>393</v>
      </c>
      <c r="M30" s="179" t="s">
        <v>423</v>
      </c>
      <c r="N30" s="179" t="s">
        <v>453</v>
      </c>
      <c r="O30" s="179" t="s">
        <v>483</v>
      </c>
      <c r="P30" s="180" t="s">
        <v>512</v>
      </c>
    </row>
    <row r="31" spans="4:16" ht="21">
      <c r="D31" s="178">
        <f t="shared" si="1"/>
        <v>26</v>
      </c>
      <c r="E31" s="179" t="s">
        <v>178</v>
      </c>
      <c r="F31" s="179" t="s">
        <v>209</v>
      </c>
      <c r="G31" s="179" t="s">
        <v>240</v>
      </c>
      <c r="H31" s="179" t="s">
        <v>271</v>
      </c>
      <c r="I31" s="179" t="s">
        <v>302</v>
      </c>
      <c r="J31" s="179" t="s">
        <v>333</v>
      </c>
      <c r="K31" s="179" t="s">
        <v>364</v>
      </c>
      <c r="L31" s="179" t="s">
        <v>394</v>
      </c>
      <c r="M31" s="179" t="s">
        <v>424</v>
      </c>
      <c r="N31" s="179" t="s">
        <v>454</v>
      </c>
      <c r="O31" s="179" t="s">
        <v>484</v>
      </c>
      <c r="P31" s="180" t="s">
        <v>513</v>
      </c>
    </row>
    <row r="32" spans="4:16" ht="21">
      <c r="D32" s="178">
        <f t="shared" si="1"/>
        <v>27</v>
      </c>
      <c r="E32" s="179" t="s">
        <v>179</v>
      </c>
      <c r="F32" s="179" t="s">
        <v>210</v>
      </c>
      <c r="G32" s="179" t="s">
        <v>241</v>
      </c>
      <c r="H32" s="179" t="s">
        <v>272</v>
      </c>
      <c r="I32" s="179" t="s">
        <v>303</v>
      </c>
      <c r="J32" s="179" t="s">
        <v>334</v>
      </c>
      <c r="K32" s="179" t="s">
        <v>365</v>
      </c>
      <c r="L32" s="179" t="s">
        <v>395</v>
      </c>
      <c r="M32" s="179" t="s">
        <v>425</v>
      </c>
      <c r="N32" s="179" t="s">
        <v>455</v>
      </c>
      <c r="O32" s="179" t="s">
        <v>485</v>
      </c>
      <c r="P32" s="180" t="s">
        <v>514</v>
      </c>
    </row>
    <row r="33" spans="4:16" ht="21">
      <c r="D33" s="178">
        <f t="shared" si="1"/>
        <v>28</v>
      </c>
      <c r="E33" s="179" t="s">
        <v>180</v>
      </c>
      <c r="F33" s="179" t="s">
        <v>211</v>
      </c>
      <c r="G33" s="179" t="s">
        <v>242</v>
      </c>
      <c r="H33" s="179" t="s">
        <v>273</v>
      </c>
      <c r="I33" s="179" t="s">
        <v>304</v>
      </c>
      <c r="J33" s="179" t="s">
        <v>335</v>
      </c>
      <c r="K33" s="179" t="s">
        <v>366</v>
      </c>
      <c r="L33" s="179" t="s">
        <v>396</v>
      </c>
      <c r="M33" s="179" t="s">
        <v>426</v>
      </c>
      <c r="N33" s="179" t="s">
        <v>456</v>
      </c>
      <c r="O33" s="179" t="s">
        <v>486</v>
      </c>
      <c r="P33" s="180" t="s">
        <v>515</v>
      </c>
    </row>
    <row r="34" spans="4:16" ht="21">
      <c r="D34" s="178">
        <f t="shared" si="1"/>
        <v>29</v>
      </c>
      <c r="E34" s="179" t="s">
        <v>181</v>
      </c>
      <c r="F34" s="179" t="s">
        <v>212</v>
      </c>
      <c r="G34" s="179" t="s">
        <v>243</v>
      </c>
      <c r="H34" s="179" t="s">
        <v>274</v>
      </c>
      <c r="I34" s="179" t="s">
        <v>305</v>
      </c>
      <c r="J34" s="179" t="s">
        <v>336</v>
      </c>
      <c r="K34" s="179" t="s">
        <v>367</v>
      </c>
      <c r="L34" s="179" t="s">
        <v>397</v>
      </c>
      <c r="M34" s="179" t="s">
        <v>427</v>
      </c>
      <c r="N34" s="179" t="s">
        <v>457</v>
      </c>
      <c r="O34" s="179" t="s">
        <v>487</v>
      </c>
      <c r="P34" s="180" t="s">
        <v>516</v>
      </c>
    </row>
    <row r="35" spans="4:16" ht="21">
      <c r="D35" s="178">
        <f>D34+1</f>
        <v>30</v>
      </c>
      <c r="E35" s="179" t="s">
        <v>182</v>
      </c>
      <c r="F35" s="179" t="s">
        <v>213</v>
      </c>
      <c r="G35" s="179" t="s">
        <v>244</v>
      </c>
      <c r="H35" s="179" t="s">
        <v>275</v>
      </c>
      <c r="I35" s="179" t="s">
        <v>306</v>
      </c>
      <c r="J35" s="179" t="s">
        <v>337</v>
      </c>
      <c r="K35" s="179" t="s">
        <v>368</v>
      </c>
      <c r="L35" s="179" t="s">
        <v>398</v>
      </c>
      <c r="M35" s="179" t="s">
        <v>428</v>
      </c>
      <c r="N35" s="179" t="s">
        <v>458</v>
      </c>
      <c r="O35" s="179" t="s">
        <v>488</v>
      </c>
      <c r="P35" s="180" t="s">
        <v>517</v>
      </c>
    </row>
    <row r="36" spans="4:16" ht="21.75" thickBot="1">
      <c r="D36" s="181">
        <f t="shared" si="1"/>
        <v>31</v>
      </c>
      <c r="E36" s="182" t="s">
        <v>183</v>
      </c>
      <c r="F36" s="182" t="s">
        <v>214</v>
      </c>
      <c r="G36" s="182" t="s">
        <v>245</v>
      </c>
      <c r="H36" s="182" t="s">
        <v>276</v>
      </c>
      <c r="I36" s="182" t="s">
        <v>307</v>
      </c>
      <c r="J36" s="182" t="s">
        <v>338</v>
      </c>
      <c r="K36" s="182" t="s">
        <v>41</v>
      </c>
      <c r="L36" s="182" t="s">
        <v>41</v>
      </c>
      <c r="M36" s="182" t="s">
        <v>41</v>
      </c>
      <c r="N36" s="182" t="s">
        <v>41</v>
      </c>
      <c r="O36" s="182" t="s">
        <v>41</v>
      </c>
      <c r="P36" s="183" t="s">
        <v>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Average_Click">
                <anchor moveWithCells="1">
                  <from>
                    <xdr:col>4</xdr:col>
                    <xdr:colOff>9525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93C6-26AF-4D87-BF29-465C9EFAFCD5}">
  <sheetPr codeName="Sheet3"/>
  <dimension ref="A2:Q174"/>
  <sheetViews>
    <sheetView zoomScaleNormal="100" workbookViewId="0">
      <selection activeCell="B12" sqref="B12"/>
    </sheetView>
  </sheetViews>
  <sheetFormatPr defaultRowHeight="15"/>
  <cols>
    <col min="1" max="1" width="5.85546875" customWidth="1"/>
    <col min="2" max="2" width="26.5703125" customWidth="1"/>
    <col min="3" max="3" width="13.7109375" style="2" customWidth="1"/>
    <col min="4" max="4" width="12" bestFit="1" customWidth="1"/>
    <col min="6" max="6" width="11.5703125" customWidth="1"/>
    <col min="8" max="8" width="12" bestFit="1" customWidth="1"/>
    <col min="9" max="9" width="10.28515625" customWidth="1"/>
    <col min="10" max="10" width="10.140625" customWidth="1"/>
    <col min="14" max="14" width="12" bestFit="1" customWidth="1"/>
  </cols>
  <sheetData>
    <row r="2" spans="2:15" ht="15.75">
      <c r="B2" s="155" t="s">
        <v>19</v>
      </c>
      <c r="C2" s="2" t="str" cm="1">
        <f t="array" ref="C2:C6">Enter!B2:B6</f>
        <v>تبریز</v>
      </c>
      <c r="E2" t="s">
        <v>62</v>
      </c>
      <c r="F2" t="s">
        <v>63</v>
      </c>
      <c r="G2" t="s">
        <v>64</v>
      </c>
    </row>
    <row r="3" spans="2:15" ht="15.75">
      <c r="B3" s="155" t="s">
        <v>76</v>
      </c>
      <c r="C3" s="2">
        <v>46.289150238037102</v>
      </c>
      <c r="D3" s="71" t="s">
        <v>36</v>
      </c>
      <c r="E3">
        <f>RADIANS(C3)</f>
        <v>0.80789807960406435</v>
      </c>
    </row>
    <row r="4" spans="2:15" ht="15.75">
      <c r="B4" s="155" t="s">
        <v>77</v>
      </c>
      <c r="C4" s="2">
        <v>38.079292297363203</v>
      </c>
      <c r="D4" s="2" t="s">
        <v>35</v>
      </c>
      <c r="E4">
        <f>RADIANS(C4)</f>
        <v>0.66460902741830352</v>
      </c>
      <c r="F4">
        <f>SIN(E4)</f>
        <v>0.61675142268716976</v>
      </c>
      <c r="G4">
        <f>COS(E4)</f>
        <v>0.78715797818058864</v>
      </c>
    </row>
    <row r="5" spans="2:15" ht="15.75">
      <c r="B5" s="155" t="s">
        <v>78</v>
      </c>
      <c r="C5" s="2">
        <v>1210</v>
      </c>
      <c r="D5" s="2"/>
    </row>
    <row r="6" spans="2:15" ht="15.75">
      <c r="B6" s="155" t="s">
        <v>79</v>
      </c>
      <c r="C6" s="2">
        <v>3.5</v>
      </c>
    </row>
    <row r="7" spans="2:15" ht="15.75">
      <c r="B7" s="156" t="s">
        <v>80</v>
      </c>
      <c r="C7" s="2">
        <f>D7*4</f>
        <v>-24.843399047851591</v>
      </c>
      <c r="D7" s="2">
        <f>C3-C6*15</f>
        <v>-6.2108497619628977</v>
      </c>
      <c r="E7">
        <f>RADIANS(C7)</f>
        <v>-0.43359911077183455</v>
      </c>
    </row>
    <row r="8" spans="2:15">
      <c r="B8" s="72" t="s">
        <v>32</v>
      </c>
      <c r="C8" s="2">
        <f>90-C4</f>
        <v>51.920707702636797</v>
      </c>
      <c r="E8">
        <f>RADIANS(C8)</f>
        <v>0.90618729937659304</v>
      </c>
    </row>
    <row r="10" spans="2:15">
      <c r="C10"/>
      <c r="H10" s="6" t="s">
        <v>83</v>
      </c>
    </row>
    <row r="11" spans="2:15" ht="21">
      <c r="C11" s="68"/>
      <c r="I11" s="31" t="s">
        <v>84</v>
      </c>
    </row>
    <row r="12" spans="2:15" s="127" customFormat="1" ht="20.25" thickBot="1">
      <c r="C12" s="96" t="s">
        <v>85</v>
      </c>
      <c r="D12" s="9">
        <v>90</v>
      </c>
      <c r="E12" s="6"/>
      <c r="F12" s="96" t="s">
        <v>86</v>
      </c>
      <c r="G12" s="9">
        <v>0</v>
      </c>
      <c r="H12" s="6"/>
      <c r="I12" s="96" t="s">
        <v>87</v>
      </c>
      <c r="J12" s="9" t="s">
        <v>35</v>
      </c>
      <c r="K12" s="6"/>
      <c r="L12" s="96" t="s">
        <v>88</v>
      </c>
      <c r="M12" s="6" t="s">
        <v>44</v>
      </c>
    </row>
    <row r="13" spans="2:15" ht="19.5">
      <c r="B13" s="157" t="s">
        <v>14</v>
      </c>
      <c r="C13" s="46">
        <v>6</v>
      </c>
      <c r="D13" s="46">
        <f t="shared" ref="D13:O13" si="0">C13+1</f>
        <v>7</v>
      </c>
      <c r="E13" s="46">
        <f t="shared" si="0"/>
        <v>8</v>
      </c>
      <c r="F13" s="46">
        <f t="shared" si="0"/>
        <v>9</v>
      </c>
      <c r="G13" s="46">
        <f t="shared" si="0"/>
        <v>10</v>
      </c>
      <c r="H13" s="46">
        <f t="shared" si="0"/>
        <v>11</v>
      </c>
      <c r="I13" s="46">
        <f t="shared" si="0"/>
        <v>12</v>
      </c>
      <c r="J13" s="46">
        <f t="shared" si="0"/>
        <v>13</v>
      </c>
      <c r="K13" s="46">
        <f t="shared" si="0"/>
        <v>14</v>
      </c>
      <c r="L13" s="46">
        <f t="shared" si="0"/>
        <v>15</v>
      </c>
      <c r="M13" s="46">
        <f t="shared" si="0"/>
        <v>16</v>
      </c>
      <c r="N13" s="46">
        <f t="shared" si="0"/>
        <v>17</v>
      </c>
      <c r="O13" s="100">
        <f t="shared" si="0"/>
        <v>18</v>
      </c>
    </row>
    <row r="14" spans="2:15" ht="19.5">
      <c r="B14" s="158" t="s">
        <v>89</v>
      </c>
      <c r="C14" s="32">
        <f>(C13-$I$13)*15</f>
        <v>-90</v>
      </c>
      <c r="D14" s="32">
        <f t="shared" ref="D14:N14" si="1">(D13-$I$13)*15</f>
        <v>-75</v>
      </c>
      <c r="E14" s="32">
        <f t="shared" si="1"/>
        <v>-60</v>
      </c>
      <c r="F14" s="32">
        <f t="shared" si="1"/>
        <v>-45</v>
      </c>
      <c r="G14" s="32">
        <f t="shared" si="1"/>
        <v>-30</v>
      </c>
      <c r="H14" s="32">
        <f t="shared" si="1"/>
        <v>-15</v>
      </c>
      <c r="I14" s="32">
        <f t="shared" si="1"/>
        <v>0</v>
      </c>
      <c r="J14" s="32">
        <f t="shared" si="1"/>
        <v>15</v>
      </c>
      <c r="K14" s="32">
        <f t="shared" si="1"/>
        <v>30</v>
      </c>
      <c r="L14" s="32">
        <f t="shared" si="1"/>
        <v>45</v>
      </c>
      <c r="M14" s="32">
        <f t="shared" si="1"/>
        <v>60</v>
      </c>
      <c r="N14" s="32">
        <f t="shared" si="1"/>
        <v>75</v>
      </c>
      <c r="O14" s="101">
        <f>(O13-I13)*15</f>
        <v>90</v>
      </c>
    </row>
    <row r="15" spans="2:15" ht="20.25" thickBot="1">
      <c r="B15" s="159" t="s">
        <v>90</v>
      </c>
      <c r="C15" s="34">
        <f>RADIANS(C14)</f>
        <v>-1.5707963267948966</v>
      </c>
      <c r="D15" s="34">
        <f t="shared" ref="D15:J15" si="2">RADIANS(D14)</f>
        <v>-1.3089969389957472</v>
      </c>
      <c r="E15" s="34">
        <f t="shared" si="2"/>
        <v>-1.0471975511965976</v>
      </c>
      <c r="F15" s="34">
        <f t="shared" si="2"/>
        <v>-0.78539816339744828</v>
      </c>
      <c r="G15" s="34">
        <f t="shared" si="2"/>
        <v>-0.52359877559829882</v>
      </c>
      <c r="H15" s="34">
        <f t="shared" si="2"/>
        <v>-0.26179938779914941</v>
      </c>
      <c r="I15" s="34">
        <f t="shared" si="2"/>
        <v>0</v>
      </c>
      <c r="J15" s="34">
        <f t="shared" si="2"/>
        <v>0.26179938779914941</v>
      </c>
      <c r="K15" s="34">
        <f>RADIANS(K14)</f>
        <v>0.52359877559829882</v>
      </c>
      <c r="L15" s="34">
        <f>RADIANS(L14)</f>
        <v>0.78539816339744828</v>
      </c>
      <c r="M15" s="34">
        <f>RADIANS(M14)</f>
        <v>1.0471975511965976</v>
      </c>
      <c r="N15" s="34">
        <f>RADIANS(N14)</f>
        <v>1.3089969389957472</v>
      </c>
      <c r="O15" s="102">
        <f>RADIANS(O14)</f>
        <v>1.5707963267948966</v>
      </c>
    </row>
    <row r="16" spans="2:15" ht="19.5">
      <c r="B16" s="160" t="s">
        <v>91</v>
      </c>
      <c r="C16" s="98">
        <f t="shared" ref="C16:H16" si="3">C14+$D$7</f>
        <v>-96.210849761962891</v>
      </c>
      <c r="D16">
        <f t="shared" si="3"/>
        <v>-81.210849761962891</v>
      </c>
      <c r="E16">
        <f t="shared" si="3"/>
        <v>-66.210849761962891</v>
      </c>
      <c r="F16">
        <f t="shared" si="3"/>
        <v>-51.210849761962898</v>
      </c>
      <c r="G16">
        <f t="shared" si="3"/>
        <v>-36.210849761962898</v>
      </c>
      <c r="H16">
        <f t="shared" si="3"/>
        <v>-21.210849761962898</v>
      </c>
      <c r="I16">
        <f>I14+$D$7</f>
        <v>-6.2108497619628977</v>
      </c>
      <c r="J16">
        <f t="shared" ref="J16:O16" si="4">J14+$D$7</f>
        <v>8.7891502380371023</v>
      </c>
      <c r="K16">
        <f t="shared" si="4"/>
        <v>23.789150238037102</v>
      </c>
      <c r="L16">
        <f t="shared" si="4"/>
        <v>38.789150238037102</v>
      </c>
      <c r="M16">
        <f t="shared" si="4"/>
        <v>53.789150238037102</v>
      </c>
      <c r="N16">
        <f t="shared" si="4"/>
        <v>68.789150238037109</v>
      </c>
      <c r="O16" s="103">
        <f t="shared" si="4"/>
        <v>83.789150238037109</v>
      </c>
    </row>
    <row r="17" spans="2:15" ht="20.25" thickBot="1">
      <c r="B17" s="159" t="s">
        <v>92</v>
      </c>
      <c r="C17">
        <f>RADIANS(C16)</f>
        <v>-1.6791961044878552</v>
      </c>
      <c r="D17">
        <f t="shared" ref="D17:O17" si="5">RADIANS(D16)</f>
        <v>-1.4173967166887056</v>
      </c>
      <c r="E17">
        <f t="shared" si="5"/>
        <v>-1.1555973288895562</v>
      </c>
      <c r="F17">
        <f t="shared" si="5"/>
        <v>-0.89379794109040689</v>
      </c>
      <c r="G17">
        <f t="shared" si="5"/>
        <v>-0.63199855329125754</v>
      </c>
      <c r="H17">
        <f t="shared" si="5"/>
        <v>-0.37019916549210807</v>
      </c>
      <c r="I17">
        <f t="shared" si="5"/>
        <v>-0.10839977769295864</v>
      </c>
      <c r="J17">
        <f t="shared" si="5"/>
        <v>0.1533996101061908</v>
      </c>
      <c r="K17">
        <f t="shared" si="5"/>
        <v>0.41519899790534021</v>
      </c>
      <c r="L17">
        <f t="shared" si="5"/>
        <v>0.67699838570448967</v>
      </c>
      <c r="M17">
        <f t="shared" si="5"/>
        <v>0.93879777350363913</v>
      </c>
      <c r="N17">
        <f t="shared" si="5"/>
        <v>1.2005971613027886</v>
      </c>
      <c r="O17" s="103">
        <f t="shared" si="5"/>
        <v>1.4623965491019382</v>
      </c>
    </row>
    <row r="18" spans="2:15" ht="20.25" thickBot="1">
      <c r="B18" s="161" t="s">
        <v>93</v>
      </c>
      <c r="C18" s="104" t="s">
        <v>37</v>
      </c>
      <c r="D18" s="105">
        <v>90</v>
      </c>
      <c r="E18" s="86">
        <f>RADIANS(D18)</f>
        <v>1.5707963267948966</v>
      </c>
      <c r="F18" s="86"/>
      <c r="G18" s="86"/>
      <c r="H18" s="86" t="s">
        <v>45</v>
      </c>
      <c r="I18" s="86"/>
      <c r="J18" s="86"/>
      <c r="K18" s="86"/>
      <c r="L18" s="86"/>
      <c r="M18" s="86"/>
      <c r="N18" s="86"/>
      <c r="O18" s="106"/>
    </row>
    <row r="19" spans="2:15" ht="19.5">
      <c r="B19" s="160" t="s">
        <v>94</v>
      </c>
      <c r="C19" s="108">
        <f>-DEGREES(ATAN(SIN($E$18)*TAN(C15)))</f>
        <v>90</v>
      </c>
      <c r="D19" s="108">
        <f t="shared" ref="D19:O19" si="6">DEGREES(ATAN(SIN($E$18)*TAN(D15)))</f>
        <v>-75</v>
      </c>
      <c r="E19" s="109">
        <f t="shared" si="6"/>
        <v>-59.999999999999993</v>
      </c>
      <c r="F19" s="109">
        <f t="shared" si="6"/>
        <v>-45</v>
      </c>
      <c r="G19" s="109">
        <f t="shared" si="6"/>
        <v>-29.999999999999996</v>
      </c>
      <c r="H19" s="109">
        <f t="shared" si="6"/>
        <v>-14.999999999999998</v>
      </c>
      <c r="I19" s="109">
        <f t="shared" si="6"/>
        <v>0</v>
      </c>
      <c r="J19" s="109">
        <f t="shared" si="6"/>
        <v>14.999999999999998</v>
      </c>
      <c r="K19" s="109">
        <f t="shared" si="6"/>
        <v>29.999999999999996</v>
      </c>
      <c r="L19" s="109">
        <f t="shared" si="6"/>
        <v>45</v>
      </c>
      <c r="M19" s="109">
        <f t="shared" si="6"/>
        <v>59.999999999999993</v>
      </c>
      <c r="N19" s="109">
        <f t="shared" si="6"/>
        <v>75</v>
      </c>
      <c r="O19" s="110">
        <f t="shared" si="6"/>
        <v>90</v>
      </c>
    </row>
    <row r="20" spans="2:15" ht="20.25" thickBot="1">
      <c r="B20" s="162" t="s">
        <v>95</v>
      </c>
      <c r="C20" s="111">
        <f>DEGREES(ATAN(SIN($E$18)*TAN(C17)))-180</f>
        <v>-96.210849761962891</v>
      </c>
      <c r="D20" s="112">
        <f t="shared" ref="D20:O20" si="7">DEGREES(ATAN(SIN($E$18)*TAN(D17)))</f>
        <v>-81.210849761962891</v>
      </c>
      <c r="E20" s="112">
        <f t="shared" si="7"/>
        <v>-66.210849761962891</v>
      </c>
      <c r="F20" s="112">
        <f t="shared" si="7"/>
        <v>-51.210849761962898</v>
      </c>
      <c r="G20" s="112">
        <f t="shared" si="7"/>
        <v>-36.210849761962898</v>
      </c>
      <c r="H20" s="112">
        <f t="shared" si="7"/>
        <v>-21.210849761962898</v>
      </c>
      <c r="I20" s="112">
        <f t="shared" si="7"/>
        <v>-6.2108497619628977</v>
      </c>
      <c r="J20" s="112">
        <f t="shared" si="7"/>
        <v>8.7891502380371023</v>
      </c>
      <c r="K20" s="112">
        <f t="shared" si="7"/>
        <v>23.789150238037102</v>
      </c>
      <c r="L20" s="112">
        <f t="shared" si="7"/>
        <v>38.789150238037102</v>
      </c>
      <c r="M20" s="112">
        <f t="shared" si="7"/>
        <v>53.789150238037102</v>
      </c>
      <c r="N20" s="112">
        <f t="shared" si="7"/>
        <v>68.789150238037109</v>
      </c>
      <c r="O20" s="113">
        <f t="shared" si="7"/>
        <v>83.789150238037109</v>
      </c>
    </row>
    <row r="22" spans="2:15" ht="20.25" thickBot="1">
      <c r="C22"/>
      <c r="H22" s="33" t="s">
        <v>96</v>
      </c>
    </row>
    <row r="23" spans="2:15">
      <c r="B23" s="90" t="s">
        <v>37</v>
      </c>
      <c r="C23" s="91">
        <f>$C$4</f>
        <v>38.079292297363203</v>
      </c>
      <c r="D23" s="3">
        <f>RADIANS(C23)</f>
        <v>0.66460902741830352</v>
      </c>
      <c r="E23" s="3"/>
      <c r="F23" s="3" t="s">
        <v>42</v>
      </c>
      <c r="G23" s="3"/>
      <c r="H23" s="3"/>
      <c r="I23" s="3"/>
      <c r="J23" s="3"/>
      <c r="K23" s="3"/>
      <c r="L23" s="3"/>
      <c r="M23" s="3"/>
      <c r="N23" s="3"/>
      <c r="O23" s="29"/>
    </row>
    <row r="24" spans="2:15">
      <c r="C24" s="114">
        <f t="shared" ref="C24:O24" si="8">DEGREES(ATAN(SIN($D$23)*TAN(C15)))</f>
        <v>-90</v>
      </c>
      <c r="D24" s="115">
        <f t="shared" si="8"/>
        <v>-66.517343503376182</v>
      </c>
      <c r="E24" s="115">
        <f t="shared" si="8"/>
        <v>-46.889873407431544</v>
      </c>
      <c r="F24" s="115">
        <f t="shared" si="8"/>
        <v>-31.664269213392934</v>
      </c>
      <c r="G24" s="115">
        <f t="shared" si="8"/>
        <v>-19.599878837299386</v>
      </c>
      <c r="H24" s="115">
        <f t="shared" si="8"/>
        <v>-9.3837775742539105</v>
      </c>
      <c r="I24" s="115">
        <f t="shared" si="8"/>
        <v>0</v>
      </c>
      <c r="J24" s="115">
        <f t="shared" si="8"/>
        <v>9.3837775742539105</v>
      </c>
      <c r="K24" s="115">
        <f t="shared" si="8"/>
        <v>19.599878837299386</v>
      </c>
      <c r="L24" s="115">
        <f t="shared" si="8"/>
        <v>31.664269213392934</v>
      </c>
      <c r="M24" s="115">
        <f t="shared" si="8"/>
        <v>46.889873407431544</v>
      </c>
      <c r="N24" s="115">
        <f t="shared" si="8"/>
        <v>66.517343503376182</v>
      </c>
      <c r="O24" s="116">
        <f t="shared" si="8"/>
        <v>90</v>
      </c>
    </row>
    <row r="25" spans="2:15" ht="15.75" thickBot="1">
      <c r="C25" s="117">
        <f t="shared" ref="C25:O25" si="9">DEGREES(ATAN(SIN($D$23)*TAN(C17)))</f>
        <v>79.993112065265578</v>
      </c>
      <c r="D25" s="112">
        <f t="shared" si="9"/>
        <v>-75.926478124063863</v>
      </c>
      <c r="E25" s="112">
        <f t="shared" si="9"/>
        <v>-54.444509151519767</v>
      </c>
      <c r="F25" s="112">
        <f t="shared" si="9"/>
        <v>-37.501969038543052</v>
      </c>
      <c r="G25" s="112">
        <f t="shared" si="9"/>
        <v>-24.302658853740986</v>
      </c>
      <c r="H25" s="112">
        <f t="shared" si="9"/>
        <v>-13.460865445050615</v>
      </c>
      <c r="I25" s="112">
        <f t="shared" si="9"/>
        <v>-3.8398657214041529</v>
      </c>
      <c r="J25" s="112">
        <f t="shared" si="9"/>
        <v>5.4471730962575222</v>
      </c>
      <c r="K25" s="112">
        <f t="shared" si="9"/>
        <v>15.209940182876649</v>
      </c>
      <c r="L25" s="112">
        <f t="shared" si="9"/>
        <v>26.367091227361556</v>
      </c>
      <c r="M25" s="112">
        <f t="shared" si="9"/>
        <v>40.10908482840189</v>
      </c>
      <c r="N25" s="112">
        <f t="shared" si="9"/>
        <v>57.819746863247914</v>
      </c>
      <c r="O25" s="113">
        <f t="shared" si="9"/>
        <v>79.993112065265578</v>
      </c>
    </row>
    <row r="26" spans="2:15" ht="20.25" thickBot="1">
      <c r="H26" s="33" t="s">
        <v>97</v>
      </c>
    </row>
    <row r="27" spans="2:15">
      <c r="B27" s="90" t="s">
        <v>37</v>
      </c>
      <c r="C27" s="91">
        <f>$C$4</f>
        <v>38.079292297363203</v>
      </c>
      <c r="D27" s="3">
        <f>RADIANS(C27)</f>
        <v>0.66460902741830352</v>
      </c>
      <c r="E27" s="3"/>
      <c r="F27" s="3" t="s">
        <v>43</v>
      </c>
      <c r="G27" s="3"/>
      <c r="H27" s="3"/>
      <c r="I27" s="3"/>
      <c r="J27" s="3"/>
      <c r="K27" s="3"/>
      <c r="L27" s="3"/>
      <c r="M27" s="3"/>
      <c r="N27" s="3"/>
      <c r="O27" s="29"/>
    </row>
    <row r="28" spans="2:15">
      <c r="C28" s="118">
        <f>DEGREES(ATAN(COS($D$27)*TAN(C15)))</f>
        <v>-90</v>
      </c>
      <c r="D28" s="109">
        <f t="shared" ref="D28:O28" si="10">DEGREES(ATAN(COS($D$27)*TAN(D15)))</f>
        <v>-71.201385573068322</v>
      </c>
      <c r="E28" s="109">
        <f t="shared" si="10"/>
        <v>-53.741377855877431</v>
      </c>
      <c r="F28" s="109">
        <f t="shared" si="10"/>
        <v>-38.208334663132206</v>
      </c>
      <c r="G28" s="109">
        <f t="shared" si="10"/>
        <v>-24.44017563461729</v>
      </c>
      <c r="H28" s="109">
        <f t="shared" si="10"/>
        <v>-11.910164656261861</v>
      </c>
      <c r="I28" s="109">
        <f t="shared" si="10"/>
        <v>0</v>
      </c>
      <c r="J28" s="109">
        <f t="shared" si="10"/>
        <v>11.910164656261861</v>
      </c>
      <c r="K28" s="109">
        <f t="shared" si="10"/>
        <v>24.44017563461729</v>
      </c>
      <c r="L28" s="109">
        <f t="shared" si="10"/>
        <v>38.208334663132206</v>
      </c>
      <c r="M28" s="109">
        <f t="shared" si="10"/>
        <v>53.741377855877431</v>
      </c>
      <c r="N28" s="109">
        <f t="shared" si="10"/>
        <v>71.201385573068322</v>
      </c>
      <c r="O28" s="119">
        <f t="shared" si="10"/>
        <v>90</v>
      </c>
    </row>
    <row r="29" spans="2:15" ht="15.75" thickBot="1">
      <c r="C29" s="117">
        <f>DEGREES(ATAN(COS($D$27)*TAN(C17)))</f>
        <v>82.128626397122616</v>
      </c>
      <c r="D29" s="112">
        <f t="shared" ref="D29:O29" si="11">DEGREES(ATAN(COS($D$27)*TAN(D17)))</f>
        <v>-78.887382395876912</v>
      </c>
      <c r="E29" s="112">
        <f t="shared" si="11"/>
        <v>-60.750181679286115</v>
      </c>
      <c r="F29" s="112">
        <f t="shared" si="11"/>
        <v>-44.403932262237767</v>
      </c>
      <c r="G29" s="112">
        <f t="shared" si="11"/>
        <v>-29.956631830539337</v>
      </c>
      <c r="H29" s="112">
        <f t="shared" si="11"/>
        <v>-16.987385583078542</v>
      </c>
      <c r="I29" s="112">
        <f t="shared" si="11"/>
        <v>-4.8962063102201396</v>
      </c>
      <c r="J29" s="112">
        <f t="shared" si="11"/>
        <v>6.9391053445392279</v>
      </c>
      <c r="K29" s="112">
        <f t="shared" si="11"/>
        <v>19.136773887530968</v>
      </c>
      <c r="L29" s="112">
        <f t="shared" si="11"/>
        <v>32.319322746220529</v>
      </c>
      <c r="M29" s="112">
        <f t="shared" si="11"/>
        <v>47.072363397262706</v>
      </c>
      <c r="N29" s="112">
        <f t="shared" si="11"/>
        <v>63.755331144768192</v>
      </c>
      <c r="O29" s="113">
        <f t="shared" si="11"/>
        <v>82.12862639712263</v>
      </c>
    </row>
    <row r="32" spans="2:15" ht="20.25" thickBot="1">
      <c r="C32" s="33"/>
      <c r="D32" s="33"/>
      <c r="E32" s="33"/>
      <c r="F32" s="33"/>
      <c r="G32" s="33"/>
      <c r="H32" s="33" t="s">
        <v>127</v>
      </c>
      <c r="I32" s="4" t="s">
        <v>48</v>
      </c>
      <c r="O32" s="2"/>
    </row>
    <row r="33" spans="2:15" ht="19.5">
      <c r="B33" s="157" t="s">
        <v>14</v>
      </c>
      <c r="C33" s="46">
        <v>6</v>
      </c>
      <c r="D33" s="46">
        <f t="shared" ref="D33:O33" si="12">C33+1</f>
        <v>7</v>
      </c>
      <c r="E33" s="46">
        <f t="shared" si="12"/>
        <v>8</v>
      </c>
      <c r="F33" s="46">
        <f t="shared" si="12"/>
        <v>9</v>
      </c>
      <c r="G33" s="46">
        <f t="shared" si="12"/>
        <v>10</v>
      </c>
      <c r="H33" s="46">
        <f t="shared" si="12"/>
        <v>11</v>
      </c>
      <c r="I33" s="46">
        <f t="shared" si="12"/>
        <v>12</v>
      </c>
      <c r="J33" s="46">
        <f t="shared" si="12"/>
        <v>13</v>
      </c>
      <c r="K33" s="46">
        <f t="shared" si="12"/>
        <v>14</v>
      </c>
      <c r="L33" s="46">
        <f t="shared" si="12"/>
        <v>15</v>
      </c>
      <c r="M33" s="46">
        <f t="shared" si="12"/>
        <v>16</v>
      </c>
      <c r="N33" s="46">
        <f t="shared" si="12"/>
        <v>17</v>
      </c>
      <c r="O33" s="36">
        <f t="shared" si="12"/>
        <v>18</v>
      </c>
    </row>
    <row r="34" spans="2:15" ht="19.5">
      <c r="B34" s="158" t="s">
        <v>89</v>
      </c>
      <c r="C34" s="37">
        <f>(C33-$I$33)*15</f>
        <v>-90</v>
      </c>
      <c r="D34" s="37">
        <f t="shared" ref="D34:N34" si="13">(D33-$I$33)*15</f>
        <v>-75</v>
      </c>
      <c r="E34" s="37">
        <f t="shared" si="13"/>
        <v>-60</v>
      </c>
      <c r="F34" s="37">
        <f t="shared" si="13"/>
        <v>-45</v>
      </c>
      <c r="G34" s="37">
        <f t="shared" si="13"/>
        <v>-30</v>
      </c>
      <c r="H34" s="37">
        <f t="shared" si="13"/>
        <v>-15</v>
      </c>
      <c r="I34" s="37">
        <f t="shared" si="13"/>
        <v>0</v>
      </c>
      <c r="J34" s="37">
        <f t="shared" si="13"/>
        <v>15</v>
      </c>
      <c r="K34" s="37">
        <f t="shared" si="13"/>
        <v>30</v>
      </c>
      <c r="L34" s="37">
        <f t="shared" si="13"/>
        <v>45</v>
      </c>
      <c r="M34" s="37">
        <f t="shared" si="13"/>
        <v>60</v>
      </c>
      <c r="N34" s="37">
        <f t="shared" si="13"/>
        <v>75</v>
      </c>
      <c r="O34" s="74">
        <f>(O33-I33)*15</f>
        <v>90</v>
      </c>
    </row>
    <row r="35" spans="2:15" ht="20.25" thickBot="1">
      <c r="B35" s="158" t="s">
        <v>90</v>
      </c>
      <c r="C35" s="34">
        <f>RADIANS(C34)</f>
        <v>-1.5707963267948966</v>
      </c>
      <c r="D35" s="34">
        <f t="shared" ref="D35:J35" si="14">RADIANS(D34)</f>
        <v>-1.3089969389957472</v>
      </c>
      <c r="E35" s="34">
        <f t="shared" si="14"/>
        <v>-1.0471975511965976</v>
      </c>
      <c r="F35" s="34">
        <f t="shared" si="14"/>
        <v>-0.78539816339744828</v>
      </c>
      <c r="G35" s="34">
        <f t="shared" si="14"/>
        <v>-0.52359877559829882</v>
      </c>
      <c r="H35" s="34">
        <f t="shared" si="14"/>
        <v>-0.26179938779914941</v>
      </c>
      <c r="I35" s="34">
        <f t="shared" si="14"/>
        <v>0</v>
      </c>
      <c r="J35" s="34">
        <f t="shared" si="14"/>
        <v>0.26179938779914941</v>
      </c>
      <c r="K35" s="34">
        <f>RADIANS(K34)</f>
        <v>0.52359877559829882</v>
      </c>
      <c r="L35" s="34">
        <f>RADIANS(L34)</f>
        <v>0.78539816339744828</v>
      </c>
      <c r="M35" s="34">
        <f>RADIANS(M34)</f>
        <v>1.0471975511965976</v>
      </c>
      <c r="N35" s="34">
        <f>RADIANS(N34)</f>
        <v>1.3089969389957472</v>
      </c>
      <c r="O35" s="35">
        <f>RADIANS(O34)</f>
        <v>1.5707963267948966</v>
      </c>
    </row>
    <row r="36" spans="2:15" ht="19.5">
      <c r="B36" s="158" t="s">
        <v>91</v>
      </c>
      <c r="C36">
        <f t="shared" ref="C36:H36" si="15">C34+$D$7</f>
        <v>-96.210849761962891</v>
      </c>
      <c r="D36">
        <f t="shared" si="15"/>
        <v>-81.210849761962891</v>
      </c>
      <c r="E36">
        <f t="shared" si="15"/>
        <v>-66.210849761962891</v>
      </c>
      <c r="F36">
        <f t="shared" si="15"/>
        <v>-51.210849761962898</v>
      </c>
      <c r="G36">
        <f t="shared" si="15"/>
        <v>-36.210849761962898</v>
      </c>
      <c r="H36">
        <f t="shared" si="15"/>
        <v>-21.210849761962898</v>
      </c>
      <c r="I36">
        <f>I34+$D$7</f>
        <v>-6.2108497619628977</v>
      </c>
      <c r="J36">
        <f t="shared" ref="J36:O36" si="16">J34+$D$7</f>
        <v>8.7891502380371023</v>
      </c>
      <c r="K36">
        <f t="shared" si="16"/>
        <v>23.789150238037102</v>
      </c>
      <c r="L36">
        <f t="shared" si="16"/>
        <v>38.789150238037102</v>
      </c>
      <c r="M36">
        <f t="shared" si="16"/>
        <v>53.789150238037102</v>
      </c>
      <c r="N36">
        <f t="shared" si="16"/>
        <v>68.789150238037109</v>
      </c>
      <c r="O36" s="53">
        <f t="shared" si="16"/>
        <v>83.789150238037109</v>
      </c>
    </row>
    <row r="37" spans="2:15" ht="20.25" thickBot="1">
      <c r="B37" s="158" t="s">
        <v>92</v>
      </c>
      <c r="C37" s="58">
        <f>RADIANS(C36)</f>
        <v>-1.6791961044878552</v>
      </c>
      <c r="D37" s="4">
        <f t="shared" ref="D37:O37" si="17">RADIANS(D36)</f>
        <v>-1.4173967166887056</v>
      </c>
      <c r="E37" s="4">
        <f t="shared" si="17"/>
        <v>-1.1555973288895562</v>
      </c>
      <c r="F37" s="4">
        <f t="shared" si="17"/>
        <v>-0.89379794109040689</v>
      </c>
      <c r="G37" s="4">
        <f t="shared" si="17"/>
        <v>-0.63199855329125754</v>
      </c>
      <c r="H37" s="4">
        <f t="shared" si="17"/>
        <v>-0.37019916549210807</v>
      </c>
      <c r="I37" s="4">
        <f t="shared" si="17"/>
        <v>-0.10839977769295864</v>
      </c>
      <c r="J37" s="4">
        <f t="shared" si="17"/>
        <v>0.1533996101061908</v>
      </c>
      <c r="K37" s="4">
        <f t="shared" si="17"/>
        <v>0.41519899790534021</v>
      </c>
      <c r="L37" s="4">
        <f t="shared" si="17"/>
        <v>0.67699838570448967</v>
      </c>
      <c r="M37" s="4">
        <f t="shared" si="17"/>
        <v>0.93879777350363913</v>
      </c>
      <c r="N37" s="4">
        <f t="shared" si="17"/>
        <v>1.2005971613027886</v>
      </c>
      <c r="O37" s="30">
        <f t="shared" si="17"/>
        <v>1.4623965491019382</v>
      </c>
    </row>
    <row r="38" spans="2:15" ht="19.5">
      <c r="B38" s="158" t="s">
        <v>93</v>
      </c>
      <c r="C38" s="97" t="s">
        <v>37</v>
      </c>
      <c r="D38" s="2">
        <f>$C$4</f>
        <v>38.079292297363203</v>
      </c>
      <c r="E38">
        <f>RADIANS(D38)</f>
        <v>0.66460902741830352</v>
      </c>
      <c r="H38" s="48" t="s">
        <v>128</v>
      </c>
      <c r="I38" s="95">
        <v>45</v>
      </c>
      <c r="J38" s="2">
        <f>RADIANS(I38)</f>
        <v>0.78539816339744828</v>
      </c>
      <c r="O38" s="53"/>
    </row>
    <row r="39" spans="2:15" ht="19.5">
      <c r="B39" s="158" t="s">
        <v>123</v>
      </c>
      <c r="C39" t="s">
        <v>46</v>
      </c>
      <c r="E39">
        <f>DEGREES(ATAN(TAN(E38)*SIN(J38)))</f>
        <v>28.987766828557771</v>
      </c>
      <c r="I39" s="107" t="s">
        <v>47</v>
      </c>
      <c r="J39" s="2">
        <f>DEGREES(ASIN(SIN(E38)*COS(J38)))</f>
        <v>25.855889497405201</v>
      </c>
      <c r="O39" s="53"/>
    </row>
    <row r="40" spans="2:15" ht="19.5">
      <c r="B40" s="158" t="s">
        <v>94</v>
      </c>
      <c r="C40" s="109">
        <f>DEGREES(ATAN((SIN($E$38))/(COS($J$38)*_xlfn.COT(C35)+COS($E$38)*SIN($J$38))))</f>
        <v>47.934434807725459</v>
      </c>
      <c r="D40" s="109">
        <f t="shared" ref="D40:N40" si="18">DEGREES(ATAN((SIN($E$38))/(COS($J$38)*_xlfn.COT(D35)+COS($E$38)*SIN($J$38))))</f>
        <v>59.235763764778248</v>
      </c>
      <c r="E40" s="109">
        <f t="shared" si="18"/>
        <v>76.474746353882821</v>
      </c>
      <c r="F40" s="109">
        <f t="shared" si="18"/>
        <v>-76.286475156844219</v>
      </c>
      <c r="G40" s="109">
        <f t="shared" si="18"/>
        <v>-42.709699711249492</v>
      </c>
      <c r="H40" s="109">
        <f t="shared" si="18"/>
        <v>-16.498233314739792</v>
      </c>
      <c r="I40" s="109" t="e">
        <f t="shared" si="18"/>
        <v>#DIV/0!</v>
      </c>
      <c r="J40" s="109">
        <f t="shared" si="18"/>
        <v>10.923907422938694</v>
      </c>
      <c r="K40" s="109">
        <f t="shared" si="18"/>
        <v>19.097237401741847</v>
      </c>
      <c r="L40" s="109">
        <f t="shared" si="18"/>
        <v>26.014580256599547</v>
      </c>
      <c r="M40" s="109">
        <f t="shared" si="18"/>
        <v>32.587445771874108</v>
      </c>
      <c r="N40" s="109">
        <f t="shared" si="18"/>
        <v>39.57928532309333</v>
      </c>
      <c r="O40" s="119">
        <f>DEGREES(ATAN2((COS($J$38)*COS(O35)+SIN(O35)*COS($E$38)*SIN($J$38)),(SIN($E$38)*SIN(O35))))</f>
        <v>47.934434807725459</v>
      </c>
    </row>
    <row r="41" spans="2:15" ht="19.5">
      <c r="B41" s="158" t="s">
        <v>95</v>
      </c>
      <c r="C41" s="7">
        <f t="shared" ref="C41:O41" si="19">DEGREES(ATAN2((COS($J$38)*COS(C37)+SIN(C37)*COS($E$38)*SIN($J$38)),(SIN($E$38)*SIN(C37))))</f>
        <v>-135.77005674063918</v>
      </c>
      <c r="D41" s="7">
        <f t="shared" si="19"/>
        <v>-125.95009744568871</v>
      </c>
      <c r="E41" s="7">
        <f t="shared" si="19"/>
        <v>-111.65653746979399</v>
      </c>
      <c r="F41" s="7">
        <f t="shared" si="19"/>
        <v>-88.912904115711044</v>
      </c>
      <c r="G41" s="7">
        <f t="shared" si="19"/>
        <v>-56.439866666271172</v>
      </c>
      <c r="H41" s="7">
        <f t="shared" si="19"/>
        <v>-25.984403239505404</v>
      </c>
      <c r="I41" s="7">
        <f t="shared" si="19"/>
        <v>-5.9268367121356516</v>
      </c>
      <c r="J41" s="7">
        <f t="shared" si="19"/>
        <v>6.8554971072269062</v>
      </c>
      <c r="K41" s="7">
        <f t="shared" si="19"/>
        <v>15.931224065209408</v>
      </c>
      <c r="L41" s="7">
        <f t="shared" si="19"/>
        <v>23.237246060733746</v>
      </c>
      <c r="M41" s="7">
        <f t="shared" si="19"/>
        <v>29.859174096585516</v>
      </c>
      <c r="N41" s="7">
        <f t="shared" si="19"/>
        <v>36.581153136472423</v>
      </c>
      <c r="O41" s="120">
        <f t="shared" si="19"/>
        <v>44.229943259360816</v>
      </c>
    </row>
    <row r="42" spans="2:15" ht="20.25" thickBot="1">
      <c r="B42" s="159" t="s">
        <v>124</v>
      </c>
      <c r="C42" s="99">
        <f t="shared" ref="C42:O42" si="20">IF(ABS($I$38) = 90,_xlfn.COT(C35),0)</f>
        <v>0</v>
      </c>
      <c r="D42" s="34">
        <f t="shared" si="20"/>
        <v>0</v>
      </c>
      <c r="E42" s="34">
        <f t="shared" si="20"/>
        <v>0</v>
      </c>
      <c r="F42" s="34">
        <f t="shared" si="20"/>
        <v>0</v>
      </c>
      <c r="G42" s="34">
        <f t="shared" si="20"/>
        <v>0</v>
      </c>
      <c r="H42" s="34">
        <f t="shared" si="20"/>
        <v>0</v>
      </c>
      <c r="I42" s="34">
        <f t="shared" si="20"/>
        <v>0</v>
      </c>
      <c r="J42" s="34">
        <f t="shared" si="20"/>
        <v>0</v>
      </c>
      <c r="K42" s="34">
        <f t="shared" si="20"/>
        <v>0</v>
      </c>
      <c r="L42" s="34">
        <f t="shared" si="20"/>
        <v>0</v>
      </c>
      <c r="M42" s="34">
        <f t="shared" si="20"/>
        <v>0</v>
      </c>
      <c r="N42" s="34">
        <f t="shared" si="20"/>
        <v>0</v>
      </c>
      <c r="O42" s="35">
        <f t="shared" si="20"/>
        <v>0</v>
      </c>
    </row>
    <row r="43" spans="2:15" ht="15.75" thickBot="1">
      <c r="H43" s="6" t="s">
        <v>129</v>
      </c>
    </row>
    <row r="44" spans="2:15">
      <c r="B44" t="s">
        <v>133</v>
      </c>
      <c r="C44" s="91" t="s">
        <v>30</v>
      </c>
      <c r="D44" s="73">
        <v>-90</v>
      </c>
      <c r="E44" s="73">
        <f>RADIANS(D44)</f>
        <v>-1.5707963267948966</v>
      </c>
      <c r="F44" s="73"/>
      <c r="G44" s="3"/>
      <c r="H44" s="94" t="s">
        <v>33</v>
      </c>
      <c r="I44" s="73">
        <v>35.755000000000003</v>
      </c>
      <c r="J44" s="3"/>
      <c r="K44" s="73"/>
      <c r="L44" s="94" t="s">
        <v>34</v>
      </c>
      <c r="M44" s="73">
        <f>DEGREES(ASIN(SIN($E$4)*COS(E44)))</f>
        <v>2.1646690780678389E-15</v>
      </c>
      <c r="N44" s="3"/>
      <c r="O44" s="29"/>
    </row>
    <row r="45" spans="2:15">
      <c r="C45" s="14">
        <f t="shared" ref="C45:O45" si="21">DEGREES(ATAN2((COS($E$44)*COS(C35)+SIN(C35)*COS($E$4)*SIN($E$44)),(SIN($E$4)*SIN(C35))))</f>
        <v>-38.079292297363203</v>
      </c>
      <c r="D45" s="2">
        <f t="shared" si="21"/>
        <v>-38.079292297363203</v>
      </c>
      <c r="E45" s="2">
        <f t="shared" si="21"/>
        <v>-38.079292297363203</v>
      </c>
      <c r="F45" s="2">
        <f t="shared" si="21"/>
        <v>-38.079292297363203</v>
      </c>
      <c r="G45" s="2">
        <f t="shared" si="21"/>
        <v>-38.079292297363196</v>
      </c>
      <c r="H45" s="2">
        <f t="shared" si="21"/>
        <v>-38.079292297363196</v>
      </c>
      <c r="I45" s="2">
        <f t="shared" si="21"/>
        <v>0</v>
      </c>
      <c r="J45" s="2">
        <f t="shared" si="21"/>
        <v>141.9207077026368</v>
      </c>
      <c r="K45" s="2">
        <f t="shared" si="21"/>
        <v>141.9207077026368</v>
      </c>
      <c r="L45" s="2">
        <f t="shared" si="21"/>
        <v>141.9207077026368</v>
      </c>
      <c r="M45" s="2">
        <f t="shared" si="21"/>
        <v>141.9207077026368</v>
      </c>
      <c r="N45" s="2">
        <f t="shared" si="21"/>
        <v>141.9207077026368</v>
      </c>
      <c r="O45" s="20">
        <f t="shared" si="21"/>
        <v>141.9207077026368</v>
      </c>
    </row>
    <row r="46" spans="2:15">
      <c r="C46" s="14">
        <f t="shared" ref="C46:O46" si="22">DEGREES(ATAN2((COS($E$44)*COS(C37)+SIN(C37)*COS($E$4)*SIN($E$44)),(SIN($E$4)*SIN(C37))))</f>
        <v>-38.079292297363203</v>
      </c>
      <c r="D46" s="2">
        <f t="shared" si="22"/>
        <v>-38.079292297363203</v>
      </c>
      <c r="E46" s="2">
        <f t="shared" si="22"/>
        <v>-38.079292297363203</v>
      </c>
      <c r="F46" s="2">
        <f t="shared" si="22"/>
        <v>-38.079292297363203</v>
      </c>
      <c r="G46" s="2">
        <f t="shared" si="22"/>
        <v>-38.079292297363196</v>
      </c>
      <c r="H46" s="2">
        <f t="shared" si="22"/>
        <v>-38.079292297363196</v>
      </c>
      <c r="I46" s="2">
        <f t="shared" si="22"/>
        <v>-38.079292297363182</v>
      </c>
      <c r="J46" s="2">
        <f t="shared" si="22"/>
        <v>141.9207077026368</v>
      </c>
      <c r="K46" s="2">
        <f t="shared" si="22"/>
        <v>141.9207077026368</v>
      </c>
      <c r="L46" s="2">
        <f t="shared" si="22"/>
        <v>141.9207077026368</v>
      </c>
      <c r="M46" s="2">
        <f t="shared" si="22"/>
        <v>141.9207077026368</v>
      </c>
      <c r="N46" s="2">
        <f t="shared" si="22"/>
        <v>141.9207077026368</v>
      </c>
      <c r="O46" s="20">
        <f t="shared" si="22"/>
        <v>141.9207077026368</v>
      </c>
    </row>
    <row r="47" spans="2:15" ht="15.75" thickBot="1">
      <c r="C47" s="92">
        <f t="shared" ref="C47:O47" si="23">IF(ABS($D$44) = 90,_xlfn.COT(C35),0)</f>
        <v>-6.1257422745431001E-17</v>
      </c>
      <c r="D47" s="34">
        <f t="shared" si="23"/>
        <v>-0.2679491924311227</v>
      </c>
      <c r="E47" s="34">
        <f t="shared" si="23"/>
        <v>-0.57735026918962595</v>
      </c>
      <c r="F47" s="34">
        <f t="shared" si="23"/>
        <v>-1</v>
      </c>
      <c r="G47" s="34">
        <f t="shared" si="23"/>
        <v>-1.7320508075688774</v>
      </c>
      <c r="H47" s="34">
        <f t="shared" si="23"/>
        <v>-3.7320508075688776</v>
      </c>
      <c r="I47" s="34" t="e">
        <f t="shared" si="23"/>
        <v>#DIV/0!</v>
      </c>
      <c r="J47" s="34">
        <f t="shared" si="23"/>
        <v>3.7320508075688776</v>
      </c>
      <c r="K47" s="34">
        <f t="shared" si="23"/>
        <v>1.7320508075688774</v>
      </c>
      <c r="L47" s="34">
        <f t="shared" si="23"/>
        <v>1</v>
      </c>
      <c r="M47" s="34">
        <f t="shared" si="23"/>
        <v>0.57735026918962595</v>
      </c>
      <c r="N47" s="34">
        <f t="shared" si="23"/>
        <v>0.2679491924311227</v>
      </c>
      <c r="O47" s="35">
        <f t="shared" si="23"/>
        <v>6.1257422745431001E-17</v>
      </c>
    </row>
    <row r="50" spans="2:15" ht="20.25" thickBot="1">
      <c r="H50" s="33" t="s">
        <v>130</v>
      </c>
      <c r="I50" t="s">
        <v>49</v>
      </c>
    </row>
    <row r="51" spans="2:15" ht="19.5">
      <c r="B51" s="157" t="s">
        <v>14</v>
      </c>
      <c r="C51" s="46">
        <v>6</v>
      </c>
      <c r="D51" s="46">
        <f t="shared" ref="D51:O51" si="24">C51+1</f>
        <v>7</v>
      </c>
      <c r="E51" s="46">
        <f t="shared" si="24"/>
        <v>8</v>
      </c>
      <c r="F51" s="46">
        <f t="shared" si="24"/>
        <v>9</v>
      </c>
      <c r="G51" s="46">
        <f t="shared" si="24"/>
        <v>10</v>
      </c>
      <c r="H51" s="46">
        <f t="shared" si="24"/>
        <v>11</v>
      </c>
      <c r="I51" s="46">
        <f t="shared" si="24"/>
        <v>12</v>
      </c>
      <c r="J51" s="46">
        <f t="shared" si="24"/>
        <v>13</v>
      </c>
      <c r="K51" s="46">
        <f t="shared" si="24"/>
        <v>14</v>
      </c>
      <c r="L51" s="46">
        <f t="shared" si="24"/>
        <v>15</v>
      </c>
      <c r="M51" s="46">
        <f t="shared" si="24"/>
        <v>16</v>
      </c>
      <c r="N51" s="46">
        <f t="shared" si="24"/>
        <v>17</v>
      </c>
      <c r="O51" s="36">
        <f t="shared" si="24"/>
        <v>18</v>
      </c>
    </row>
    <row r="52" spans="2:15" ht="19.5">
      <c r="B52" s="158" t="s">
        <v>89</v>
      </c>
      <c r="C52" s="37">
        <f>(C51-$I$51)*15</f>
        <v>-90</v>
      </c>
      <c r="D52" s="37">
        <f t="shared" ref="D52:N52" si="25">(D51-$I$51)*15</f>
        <v>-75</v>
      </c>
      <c r="E52" s="37">
        <f t="shared" si="25"/>
        <v>-60</v>
      </c>
      <c r="F52" s="37">
        <f t="shared" si="25"/>
        <v>-45</v>
      </c>
      <c r="G52" s="37">
        <f t="shared" si="25"/>
        <v>-30</v>
      </c>
      <c r="H52" s="37">
        <f t="shared" si="25"/>
        <v>-15</v>
      </c>
      <c r="I52" s="37">
        <f t="shared" si="25"/>
        <v>0</v>
      </c>
      <c r="J52" s="37">
        <f t="shared" si="25"/>
        <v>15</v>
      </c>
      <c r="K52" s="37">
        <f t="shared" si="25"/>
        <v>30</v>
      </c>
      <c r="L52" s="37">
        <f t="shared" si="25"/>
        <v>45</v>
      </c>
      <c r="M52" s="37">
        <f t="shared" si="25"/>
        <v>60</v>
      </c>
      <c r="N52" s="37">
        <f t="shared" si="25"/>
        <v>75</v>
      </c>
      <c r="O52" s="74">
        <f>(O51-I51)*15</f>
        <v>90</v>
      </c>
    </row>
    <row r="53" spans="2:15" ht="20.25" customHeight="1" thickBot="1">
      <c r="B53" s="158" t="s">
        <v>90</v>
      </c>
      <c r="C53" s="34">
        <f>RADIANS(C52)</f>
        <v>-1.5707963267948966</v>
      </c>
      <c r="D53" s="34">
        <f t="shared" ref="D53:J53" si="26">RADIANS(D52)</f>
        <v>-1.3089969389957472</v>
      </c>
      <c r="E53" s="34">
        <f t="shared" si="26"/>
        <v>-1.0471975511965976</v>
      </c>
      <c r="F53" s="34">
        <f t="shared" si="26"/>
        <v>-0.78539816339744828</v>
      </c>
      <c r="G53" s="34">
        <f t="shared" si="26"/>
        <v>-0.52359877559829882</v>
      </c>
      <c r="H53" s="34">
        <f t="shared" si="26"/>
        <v>-0.26179938779914941</v>
      </c>
      <c r="I53" s="34">
        <f t="shared" si="26"/>
        <v>0</v>
      </c>
      <c r="J53" s="34">
        <f t="shared" si="26"/>
        <v>0.26179938779914941</v>
      </c>
      <c r="K53" s="34">
        <f>RADIANS(K52)</f>
        <v>0.52359877559829882</v>
      </c>
      <c r="L53" s="34">
        <f>RADIANS(L52)</f>
        <v>0.78539816339744828</v>
      </c>
      <c r="M53" s="34">
        <f>RADIANS(M52)</f>
        <v>1.0471975511965976</v>
      </c>
      <c r="N53" s="34">
        <f>RADIANS(N52)</f>
        <v>1.3089969389957472</v>
      </c>
      <c r="O53" s="35">
        <f>RADIANS(O52)</f>
        <v>1.5707963267948966</v>
      </c>
    </row>
    <row r="54" spans="2:15" ht="19.5">
      <c r="B54" s="158" t="s">
        <v>91</v>
      </c>
      <c r="C54">
        <f t="shared" ref="C54:H54" si="27">C52+$D$7</f>
        <v>-96.210849761962891</v>
      </c>
      <c r="D54">
        <f t="shared" si="27"/>
        <v>-81.210849761962891</v>
      </c>
      <c r="E54">
        <f t="shared" si="27"/>
        <v>-66.210849761962891</v>
      </c>
      <c r="F54">
        <f t="shared" si="27"/>
        <v>-51.210849761962898</v>
      </c>
      <c r="G54">
        <f t="shared" si="27"/>
        <v>-36.210849761962898</v>
      </c>
      <c r="H54">
        <f t="shared" si="27"/>
        <v>-21.210849761962898</v>
      </c>
      <c r="I54">
        <f>I52+$D$7</f>
        <v>-6.2108497619628977</v>
      </c>
      <c r="J54">
        <f t="shared" ref="J54:O54" si="28">J52+$D$7</f>
        <v>8.7891502380371023</v>
      </c>
      <c r="K54">
        <f t="shared" si="28"/>
        <v>23.789150238037102</v>
      </c>
      <c r="L54">
        <f t="shared" si="28"/>
        <v>38.789150238037102</v>
      </c>
      <c r="M54">
        <f t="shared" si="28"/>
        <v>53.789150238037102</v>
      </c>
      <c r="N54">
        <f t="shared" si="28"/>
        <v>68.789150238037109</v>
      </c>
      <c r="O54" s="53">
        <f t="shared" si="28"/>
        <v>83.789150238037109</v>
      </c>
    </row>
    <row r="55" spans="2:15" ht="20.25" thickBot="1">
      <c r="B55" s="158" t="s">
        <v>92</v>
      </c>
      <c r="C55" s="58">
        <f>RADIANS(C54)</f>
        <v>-1.6791961044878552</v>
      </c>
      <c r="D55" s="4">
        <f t="shared" ref="D55:O55" si="29">RADIANS(D54)</f>
        <v>-1.4173967166887056</v>
      </c>
      <c r="E55" s="4">
        <f t="shared" si="29"/>
        <v>-1.1555973288895562</v>
      </c>
      <c r="F55" s="4">
        <f t="shared" si="29"/>
        <v>-0.89379794109040689</v>
      </c>
      <c r="G55" s="4">
        <f t="shared" si="29"/>
        <v>-0.63199855329125754</v>
      </c>
      <c r="H55" s="4">
        <f t="shared" si="29"/>
        <v>-0.37019916549210807</v>
      </c>
      <c r="I55" s="4">
        <f t="shared" si="29"/>
        <v>-0.10839977769295864</v>
      </c>
      <c r="J55" s="4">
        <f t="shared" si="29"/>
        <v>0.1533996101061908</v>
      </c>
      <c r="K55" s="4">
        <f t="shared" si="29"/>
        <v>0.41519899790534021</v>
      </c>
      <c r="L55" s="4">
        <f t="shared" si="29"/>
        <v>0.67699838570448967</v>
      </c>
      <c r="M55" s="4">
        <f t="shared" si="29"/>
        <v>0.93879777350363913</v>
      </c>
      <c r="N55" s="4">
        <f t="shared" si="29"/>
        <v>1.2005971613027886</v>
      </c>
      <c r="O55" s="30">
        <f t="shared" si="29"/>
        <v>1.4623965491019382</v>
      </c>
    </row>
    <row r="56" spans="2:15" ht="19.5">
      <c r="B56" s="158" t="s">
        <v>93</v>
      </c>
      <c r="C56" s="97" t="s">
        <v>37</v>
      </c>
      <c r="D56" s="2">
        <f>$C$4</f>
        <v>38.079292297363203</v>
      </c>
      <c r="E56">
        <f>RADIANS(D56)</f>
        <v>0.66460902741830352</v>
      </c>
      <c r="H56" s="48" t="s">
        <v>131</v>
      </c>
      <c r="I56" s="95">
        <v>45</v>
      </c>
      <c r="J56" s="2">
        <f>RADIANS(I56)</f>
        <v>0.78539816339744828</v>
      </c>
      <c r="O56" s="53"/>
    </row>
    <row r="57" spans="2:15" ht="19.5">
      <c r="B57" s="158" t="s">
        <v>123</v>
      </c>
      <c r="C57" t="s">
        <v>50</v>
      </c>
      <c r="E57">
        <f>DEGREES(ATAN(SIN(J56)/TAN(E56)))</f>
        <v>42.065565192274548</v>
      </c>
      <c r="I57" s="107" t="s">
        <v>51</v>
      </c>
      <c r="J57" s="2">
        <f>DEGREES(ASIN(COS(E56)*COS(J56)))</f>
        <v>33.821316858434557</v>
      </c>
      <c r="O57" s="53"/>
    </row>
    <row r="58" spans="2:15" ht="19.5">
      <c r="B58" s="158" t="s">
        <v>94</v>
      </c>
      <c r="C58" s="121">
        <f t="shared" ref="C58:O58" si="30">DEGREES(ATAN2((COS($J$56)*COS(C53)+SIN(C53)*SIN($E$56)*SIN($J$56)),(COS($E$56)*SIN(C53))))</f>
        <v>-118.98776682855775</v>
      </c>
      <c r="D58" s="109">
        <f t="shared" si="30"/>
        <v>-107.39735309186288</v>
      </c>
      <c r="E58" s="109">
        <f t="shared" si="30"/>
        <v>-92.027091785291546</v>
      </c>
      <c r="F58" s="109">
        <f t="shared" si="30"/>
        <v>-71.002769553886679</v>
      </c>
      <c r="G58" s="109">
        <f t="shared" si="30"/>
        <v>-44.946268013487817</v>
      </c>
      <c r="H58" s="109">
        <f t="shared" si="30"/>
        <v>-19.663652035461631</v>
      </c>
      <c r="I58" s="109">
        <f t="shared" si="30"/>
        <v>0</v>
      </c>
      <c r="J58" s="109">
        <f t="shared" si="30"/>
        <v>14.358299354814225</v>
      </c>
      <c r="K58" s="109">
        <f t="shared" si="30"/>
        <v>25.358506373049021</v>
      </c>
      <c r="L58" s="109">
        <f t="shared" si="30"/>
        <v>34.549241624717759</v>
      </c>
      <c r="M58" s="109">
        <f t="shared" si="30"/>
        <v>42.992085177386123</v>
      </c>
      <c r="N58" s="109">
        <f t="shared" si="30"/>
        <v>51.52479214255272</v>
      </c>
      <c r="O58" s="119">
        <f t="shared" si="30"/>
        <v>61.012233171442226</v>
      </c>
    </row>
    <row r="59" spans="2:15" ht="19.5">
      <c r="B59" s="158" t="s">
        <v>95</v>
      </c>
      <c r="C59" s="122">
        <f t="shared" ref="C59:O59" si="31">DEGREES(ATAN2((COS($J$56)*COS(C55)+SIN(C55)*SIN($E$56)*SIN($J$56)),(COS($E$56)*SIN(C55))))</f>
        <v>-123.09586968231901</v>
      </c>
      <c r="D59" s="7">
        <f t="shared" si="31"/>
        <v>-112.54526419435474</v>
      </c>
      <c r="E59" s="7">
        <f t="shared" si="31"/>
        <v>-98.980416782996912</v>
      </c>
      <c r="F59" s="7">
        <f t="shared" si="31"/>
        <v>-80.466452988918732</v>
      </c>
      <c r="G59" s="7">
        <f t="shared" si="31"/>
        <v>-56.065022936622093</v>
      </c>
      <c r="H59" s="7">
        <f t="shared" si="31"/>
        <v>-29.595579539779223</v>
      </c>
      <c r="I59" s="7">
        <f t="shared" si="31"/>
        <v>-7.3991805667940049</v>
      </c>
      <c r="J59" s="7">
        <f t="shared" si="31"/>
        <v>8.9300954363504044</v>
      </c>
      <c r="K59" s="7">
        <f t="shared" si="31"/>
        <v>21.098209615203011</v>
      </c>
      <c r="L59" s="7">
        <f t="shared" si="31"/>
        <v>30.887171255382412</v>
      </c>
      <c r="M59" s="7">
        <f t="shared" si="31"/>
        <v>39.531245841121219</v>
      </c>
      <c r="N59" s="7">
        <f t="shared" si="31"/>
        <v>47.92886482146784</v>
      </c>
      <c r="O59" s="120">
        <f t="shared" si="31"/>
        <v>56.904130317681002</v>
      </c>
    </row>
    <row r="60" spans="2:15" ht="20.25" thickBot="1">
      <c r="B60" s="159" t="s">
        <v>124</v>
      </c>
      <c r="C60" s="99">
        <f t="shared" ref="C60:O60" si="32">IF(ABS($I$56) = 90,_xlfn.COT(C53),0)</f>
        <v>0</v>
      </c>
      <c r="D60" s="34">
        <f t="shared" si="32"/>
        <v>0</v>
      </c>
      <c r="E60" s="34">
        <f t="shared" si="32"/>
        <v>0</v>
      </c>
      <c r="F60" s="34">
        <f t="shared" si="32"/>
        <v>0</v>
      </c>
      <c r="G60" s="34">
        <f t="shared" si="32"/>
        <v>0</v>
      </c>
      <c r="H60" s="34">
        <f t="shared" si="32"/>
        <v>0</v>
      </c>
      <c r="I60" s="34">
        <f t="shared" si="32"/>
        <v>0</v>
      </c>
      <c r="J60" s="34">
        <f t="shared" si="32"/>
        <v>0</v>
      </c>
      <c r="K60" s="34">
        <f t="shared" si="32"/>
        <v>0</v>
      </c>
      <c r="L60" s="34">
        <f t="shared" si="32"/>
        <v>0</v>
      </c>
      <c r="M60" s="34">
        <f t="shared" si="32"/>
        <v>0</v>
      </c>
      <c r="N60" s="34">
        <f t="shared" si="32"/>
        <v>0</v>
      </c>
      <c r="O60" s="35">
        <f t="shared" si="32"/>
        <v>0</v>
      </c>
    </row>
    <row r="61" spans="2:15" ht="15.75" thickBot="1">
      <c r="H61" s="6" t="s">
        <v>132</v>
      </c>
    </row>
    <row r="62" spans="2:15">
      <c r="B62" t="s">
        <v>134</v>
      </c>
      <c r="C62" s="91" t="s">
        <v>30</v>
      </c>
      <c r="D62" s="73">
        <v>90</v>
      </c>
      <c r="E62" s="73">
        <f>RADIANS(D62)</f>
        <v>1.5707963267948966</v>
      </c>
      <c r="F62" s="73"/>
      <c r="G62" s="73"/>
      <c r="H62" s="94" t="s">
        <v>33</v>
      </c>
      <c r="I62" s="73">
        <f>DEGREES(ATAN(SIN(E62)/TAN($E$4)))</f>
        <v>51.920707702636804</v>
      </c>
      <c r="J62" s="3"/>
      <c r="K62" s="73"/>
      <c r="L62" s="94" t="s">
        <v>34</v>
      </c>
      <c r="M62" s="73">
        <f>DEGREES(ASIN(COS($E$4)*COS(E62)))</f>
        <v>2.762760607017187E-15</v>
      </c>
      <c r="N62" s="3"/>
      <c r="O62" s="29"/>
    </row>
    <row r="63" spans="2:15">
      <c r="C63" s="14">
        <f t="shared" ref="C63:O63" si="33">DEGREES(ATAN2((COS(C53)*COS($E$62)+SIN(C53)*SIN($E$4)*SIN($E$62)),COS($E$4)*SIN(C53)))</f>
        <v>-128.0792922973632</v>
      </c>
      <c r="D63" s="2">
        <f t="shared" si="33"/>
        <v>-128.0792922973632</v>
      </c>
      <c r="E63" s="2">
        <f t="shared" si="33"/>
        <v>-128.0792922973632</v>
      </c>
      <c r="F63" s="2">
        <f t="shared" si="33"/>
        <v>-128.0792922973632</v>
      </c>
      <c r="G63" s="2">
        <f t="shared" si="33"/>
        <v>-128.0792922973632</v>
      </c>
      <c r="H63" s="2">
        <f t="shared" si="33"/>
        <v>-128.0792922973632</v>
      </c>
      <c r="I63" s="2">
        <f t="shared" si="33"/>
        <v>0</v>
      </c>
      <c r="J63" s="2">
        <f t="shared" si="33"/>
        <v>51.92070770263679</v>
      </c>
      <c r="K63" s="2">
        <f t="shared" si="33"/>
        <v>51.920707702636797</v>
      </c>
      <c r="L63" s="2">
        <f t="shared" si="33"/>
        <v>51.920707702636797</v>
      </c>
      <c r="M63" s="2">
        <f t="shared" si="33"/>
        <v>51.920707702636797</v>
      </c>
      <c r="N63" s="2">
        <f t="shared" si="33"/>
        <v>51.920707702636804</v>
      </c>
      <c r="O63" s="20">
        <f t="shared" si="33"/>
        <v>51.920707702636804</v>
      </c>
    </row>
    <row r="64" spans="2:15">
      <c r="C64" s="14">
        <f t="shared" ref="C64:O64" si="34">DEGREES(ATAN2((COS(C55)*COS($E$62)+SIN(C55)*SIN($E$4)*SIN($E$62)),COS($E$4)*SIN(C55)))</f>
        <v>-128.0792922973632</v>
      </c>
      <c r="D64" s="2">
        <f t="shared" si="34"/>
        <v>-128.0792922973632</v>
      </c>
      <c r="E64" s="2">
        <f t="shared" si="34"/>
        <v>-128.0792922973632</v>
      </c>
      <c r="F64" s="2">
        <f t="shared" si="34"/>
        <v>-128.0792922973632</v>
      </c>
      <c r="G64" s="2">
        <f t="shared" si="34"/>
        <v>-128.0792922973632</v>
      </c>
      <c r="H64" s="2">
        <f t="shared" si="34"/>
        <v>-128.0792922973632</v>
      </c>
      <c r="I64" s="2">
        <f t="shared" si="34"/>
        <v>-128.07929229736317</v>
      </c>
      <c r="J64" s="2">
        <f t="shared" si="34"/>
        <v>51.92070770263679</v>
      </c>
      <c r="K64" s="2">
        <f t="shared" si="34"/>
        <v>51.920707702636797</v>
      </c>
      <c r="L64" s="2">
        <f t="shared" si="34"/>
        <v>51.920707702636804</v>
      </c>
      <c r="M64" s="2">
        <f t="shared" si="34"/>
        <v>51.920707702636804</v>
      </c>
      <c r="N64" s="2">
        <f t="shared" si="34"/>
        <v>51.920707702636804</v>
      </c>
      <c r="O64" s="20">
        <f t="shared" si="34"/>
        <v>51.920707702636797</v>
      </c>
    </row>
    <row r="65" spans="2:15" ht="15.75" thickBot="1">
      <c r="C65" s="92">
        <f t="shared" ref="C65:O65" si="35">IF(ABS($D$62) = 90,_xlfn.COT(C53),0)</f>
        <v>-6.1257422745431001E-17</v>
      </c>
      <c r="D65" s="34">
        <f t="shared" si="35"/>
        <v>-0.2679491924311227</v>
      </c>
      <c r="E65" s="34">
        <f t="shared" si="35"/>
        <v>-0.57735026918962595</v>
      </c>
      <c r="F65" s="34">
        <f t="shared" si="35"/>
        <v>-1</v>
      </c>
      <c r="G65" s="34">
        <f t="shared" si="35"/>
        <v>-1.7320508075688774</v>
      </c>
      <c r="H65" s="34">
        <f t="shared" si="35"/>
        <v>-3.7320508075688776</v>
      </c>
      <c r="I65" s="34" t="e">
        <f t="shared" si="35"/>
        <v>#DIV/0!</v>
      </c>
      <c r="J65" s="34">
        <f t="shared" si="35"/>
        <v>3.7320508075688776</v>
      </c>
      <c r="K65" s="34">
        <f t="shared" si="35"/>
        <v>1.7320508075688774</v>
      </c>
      <c r="L65" s="34">
        <f t="shared" si="35"/>
        <v>1</v>
      </c>
      <c r="M65" s="34">
        <f t="shared" si="35"/>
        <v>0.57735026918962595</v>
      </c>
      <c r="N65" s="34">
        <f t="shared" si="35"/>
        <v>0.2679491924311227</v>
      </c>
      <c r="O65" s="35">
        <f t="shared" si="35"/>
        <v>6.1257422745431001E-17</v>
      </c>
    </row>
    <row r="66" spans="2:15">
      <c r="C66"/>
    </row>
    <row r="67" spans="2:15">
      <c r="C67"/>
    </row>
    <row r="68" spans="2:15">
      <c r="C68" s="12" t="s">
        <v>67</v>
      </c>
      <c r="G68" s="2"/>
    </row>
    <row r="69" spans="2:15">
      <c r="C69" s="75" t="s">
        <v>65</v>
      </c>
      <c r="F69" s="2"/>
      <c r="I69" s="12" t="s">
        <v>66</v>
      </c>
    </row>
    <row r="70" spans="2:15" ht="20.25" thickBot="1">
      <c r="J70" s="33" t="s">
        <v>135</v>
      </c>
    </row>
    <row r="71" spans="2:15" ht="19.5">
      <c r="B71" s="157" t="s">
        <v>14</v>
      </c>
      <c r="C71" s="46">
        <v>6</v>
      </c>
      <c r="D71" s="46">
        <f>C71+1</f>
        <v>7</v>
      </c>
      <c r="E71" s="46">
        <v>8</v>
      </c>
      <c r="F71" s="46">
        <f t="shared" ref="F71:O71" si="36">E71+1</f>
        <v>9</v>
      </c>
      <c r="G71" s="46">
        <f t="shared" si="36"/>
        <v>10</v>
      </c>
      <c r="H71" s="46">
        <f t="shared" si="36"/>
        <v>11</v>
      </c>
      <c r="I71" s="46">
        <f t="shared" si="36"/>
        <v>12</v>
      </c>
      <c r="J71" s="46">
        <f t="shared" si="36"/>
        <v>13</v>
      </c>
      <c r="K71" s="46">
        <f t="shared" si="36"/>
        <v>14</v>
      </c>
      <c r="L71" s="46">
        <f t="shared" si="36"/>
        <v>15</v>
      </c>
      <c r="M71" s="46">
        <f t="shared" si="36"/>
        <v>16</v>
      </c>
      <c r="N71" s="46">
        <f t="shared" si="36"/>
        <v>17</v>
      </c>
      <c r="O71" s="36">
        <f t="shared" si="36"/>
        <v>18</v>
      </c>
    </row>
    <row r="72" spans="2:15" ht="19.5">
      <c r="B72" s="160" t="s">
        <v>89</v>
      </c>
      <c r="C72" s="32">
        <f t="shared" ref="C72:N72" si="37">(C71-$I$71)*15</f>
        <v>-90</v>
      </c>
      <c r="D72" s="32">
        <f t="shared" si="37"/>
        <v>-75</v>
      </c>
      <c r="E72" s="32">
        <f t="shared" si="37"/>
        <v>-60</v>
      </c>
      <c r="F72" s="32">
        <f t="shared" si="37"/>
        <v>-45</v>
      </c>
      <c r="G72" s="32">
        <f t="shared" si="37"/>
        <v>-30</v>
      </c>
      <c r="H72" s="32">
        <f t="shared" si="37"/>
        <v>-15</v>
      </c>
      <c r="I72" s="32">
        <f t="shared" si="37"/>
        <v>0</v>
      </c>
      <c r="J72" s="32">
        <f t="shared" si="37"/>
        <v>15</v>
      </c>
      <c r="K72" s="32">
        <f t="shared" si="37"/>
        <v>30</v>
      </c>
      <c r="L72" s="32">
        <f t="shared" si="37"/>
        <v>45</v>
      </c>
      <c r="M72" s="32">
        <f t="shared" si="37"/>
        <v>60</v>
      </c>
      <c r="N72" s="32">
        <f t="shared" si="37"/>
        <v>75</v>
      </c>
      <c r="O72" s="74">
        <f>(O71-I71)*15</f>
        <v>90</v>
      </c>
    </row>
    <row r="73" spans="2:15" ht="19.5">
      <c r="B73" s="158" t="s">
        <v>90</v>
      </c>
      <c r="C73" s="2">
        <f>RADIANS(C72)</f>
        <v>-1.5707963267948966</v>
      </c>
      <c r="D73" s="2">
        <f t="shared" ref="D73:J73" si="38">RADIANS(D72)</f>
        <v>-1.3089969389957472</v>
      </c>
      <c r="E73" s="2">
        <f t="shared" si="38"/>
        <v>-1.0471975511965976</v>
      </c>
      <c r="F73" s="2">
        <f t="shared" si="38"/>
        <v>-0.78539816339744828</v>
      </c>
      <c r="G73" s="2">
        <f t="shared" si="38"/>
        <v>-0.52359877559829882</v>
      </c>
      <c r="H73" s="2">
        <f t="shared" si="38"/>
        <v>-0.26179938779914941</v>
      </c>
      <c r="I73" s="2">
        <f t="shared" si="38"/>
        <v>0</v>
      </c>
      <c r="J73" s="2">
        <f t="shared" si="38"/>
        <v>0.26179938779914941</v>
      </c>
      <c r="K73" s="2">
        <f>RADIANS(K72)</f>
        <v>0.52359877559829882</v>
      </c>
      <c r="L73" s="2">
        <f>RADIANS(L72)</f>
        <v>0.78539816339744828</v>
      </c>
      <c r="M73" s="2">
        <f>RADIANS(M72)</f>
        <v>1.0471975511965976</v>
      </c>
      <c r="N73" s="2">
        <f>RADIANS(N72)</f>
        <v>1.3089969389957472</v>
      </c>
      <c r="O73" s="20">
        <f>RADIANS(O72)</f>
        <v>1.5707963267948966</v>
      </c>
    </row>
    <row r="74" spans="2:15" ht="19.5">
      <c r="B74" s="160" t="s">
        <v>125</v>
      </c>
      <c r="C74" s="80">
        <f t="shared" ref="C74:H74" si="39">C72+$D$7</f>
        <v>-96.210849761962891</v>
      </c>
      <c r="D74" s="81">
        <f t="shared" si="39"/>
        <v>-81.210849761962891</v>
      </c>
      <c r="E74" s="81">
        <f t="shared" si="39"/>
        <v>-66.210849761962891</v>
      </c>
      <c r="F74" s="81">
        <f t="shared" si="39"/>
        <v>-51.210849761962898</v>
      </c>
      <c r="G74" s="81">
        <f t="shared" si="39"/>
        <v>-36.210849761962898</v>
      </c>
      <c r="H74" s="81">
        <f t="shared" si="39"/>
        <v>-21.210849761962898</v>
      </c>
      <c r="I74" s="81">
        <f>I72+$D$7</f>
        <v>-6.2108497619628977</v>
      </c>
      <c r="J74" s="81">
        <f t="shared" ref="J74:O74" si="40">J72+$D$7</f>
        <v>8.7891502380371023</v>
      </c>
      <c r="K74" s="81">
        <f t="shared" si="40"/>
        <v>23.789150238037102</v>
      </c>
      <c r="L74" s="81">
        <f t="shared" si="40"/>
        <v>38.789150238037102</v>
      </c>
      <c r="M74" s="81">
        <f t="shared" si="40"/>
        <v>53.789150238037102</v>
      </c>
      <c r="N74" s="81">
        <f t="shared" si="40"/>
        <v>68.789150238037109</v>
      </c>
      <c r="O74" s="82">
        <f t="shared" si="40"/>
        <v>83.789150238037109</v>
      </c>
    </row>
    <row r="75" spans="2:15" ht="20.25" thickBot="1">
      <c r="B75" s="162" t="s">
        <v>126</v>
      </c>
      <c r="C75" s="58">
        <f>RADIANS(C74)</f>
        <v>-1.6791961044878552</v>
      </c>
      <c r="D75">
        <f t="shared" ref="D75:O75" si="41">RADIANS(D74)</f>
        <v>-1.4173967166887056</v>
      </c>
      <c r="E75">
        <f t="shared" si="41"/>
        <v>-1.1555973288895562</v>
      </c>
      <c r="F75" s="86">
        <f t="shared" si="41"/>
        <v>-0.89379794109040689</v>
      </c>
      <c r="G75">
        <f t="shared" si="41"/>
        <v>-0.63199855329125754</v>
      </c>
      <c r="H75">
        <f t="shared" si="41"/>
        <v>-0.37019916549210807</v>
      </c>
      <c r="I75">
        <f t="shared" si="41"/>
        <v>-0.10839977769295864</v>
      </c>
      <c r="J75">
        <f t="shared" si="41"/>
        <v>0.1533996101061908</v>
      </c>
      <c r="K75">
        <f t="shared" si="41"/>
        <v>0.41519899790534021</v>
      </c>
      <c r="L75">
        <f t="shared" si="41"/>
        <v>0.67699838570448967</v>
      </c>
      <c r="M75">
        <f t="shared" si="41"/>
        <v>0.93879777350363913</v>
      </c>
      <c r="N75">
        <f t="shared" si="41"/>
        <v>1.2005971613027886</v>
      </c>
      <c r="O75" s="30">
        <f t="shared" si="41"/>
        <v>1.4623965491019382</v>
      </c>
    </row>
    <row r="76" spans="2:15" ht="19.5">
      <c r="B76" s="169" t="s">
        <v>93</v>
      </c>
      <c r="C76" s="73" t="s">
        <v>30</v>
      </c>
      <c r="D76" s="93">
        <v>90</v>
      </c>
      <c r="E76" s="73">
        <f>RADIANS(D76)</f>
        <v>1.5707963267948966</v>
      </c>
      <c r="G76" s="73"/>
      <c r="H76" s="46" t="s">
        <v>136</v>
      </c>
      <c r="I76" s="73" t="s">
        <v>31</v>
      </c>
      <c r="J76" s="93">
        <v>45</v>
      </c>
      <c r="K76" s="73">
        <f>RADIANS(J76)</f>
        <v>0.78539816339744828</v>
      </c>
      <c r="L76" s="3"/>
      <c r="M76" s="3"/>
      <c r="N76" s="3"/>
      <c r="O76" s="29"/>
    </row>
    <row r="77" spans="2:15" ht="19.5">
      <c r="B77" s="170" t="s">
        <v>123</v>
      </c>
      <c r="C77" s="71" t="s">
        <v>33</v>
      </c>
      <c r="D77" s="2">
        <f>DEGREES(ATAN(COS($E$4)*SIN($E$76)/ABS(COS($K$76)*SIN($E$4)-SIN($K$76)*COS($E$76)*COS($E$4))))</f>
        <v>61.01223317144224</v>
      </c>
      <c r="E77" s="2"/>
      <c r="F77" s="2"/>
      <c r="H77" s="9" t="s">
        <v>136</v>
      </c>
      <c r="I77" s="71" t="s">
        <v>34</v>
      </c>
      <c r="J77" s="2">
        <f>DEGREES(ASIN(SIN($E$4)* SIN(K76) + COS(K76)* COS($E$4) *COS(E76)))</f>
        <v>25.855889497405201</v>
      </c>
      <c r="K77" s="2"/>
      <c r="O77" s="53"/>
    </row>
    <row r="78" spans="2:15" ht="20.25" thickBot="1">
      <c r="B78" s="171" t="s">
        <v>94</v>
      </c>
      <c r="C78" s="83">
        <f t="shared" ref="C78:O78" si="42">DEGREES(ATAN((SIN($K$76) *COS($E$76)* SIN($E$4) + COS($K$76) *COS($E$4) - _xlfn.COT(C73)* SIN($K$76)* SIN($E$76))/(_xlfn.COT(C73)* COS($E$76) + SIN($E$4)* SIN($E$76))))</f>
        <v>42.065565192274555</v>
      </c>
      <c r="D78" s="83">
        <f t="shared" si="42"/>
        <v>50.420714676906677</v>
      </c>
      <c r="E78" s="83">
        <f t="shared" si="42"/>
        <v>57.412554228125899</v>
      </c>
      <c r="F78" s="83">
        <f t="shared" si="42"/>
        <v>63.985419743400463</v>
      </c>
      <c r="G78" s="83">
        <f t="shared" si="42"/>
        <v>70.902762598258164</v>
      </c>
      <c r="H78" s="83">
        <f t="shared" si="42"/>
        <v>79.076092577061317</v>
      </c>
      <c r="I78" s="83" t="e">
        <f t="shared" si="42"/>
        <v>#DIV/0!</v>
      </c>
      <c r="J78" s="83">
        <f t="shared" si="42"/>
        <v>-73.501766685260208</v>
      </c>
      <c r="K78" s="83">
        <f t="shared" si="42"/>
        <v>-47.290300288750494</v>
      </c>
      <c r="L78" s="83">
        <f t="shared" si="42"/>
        <v>-13.713524843155758</v>
      </c>
      <c r="M78" s="83">
        <f t="shared" si="42"/>
        <v>13.525253646117191</v>
      </c>
      <c r="N78" s="83">
        <f t="shared" si="42"/>
        <v>30.764236235221759</v>
      </c>
      <c r="O78" s="87">
        <f t="shared" si="42"/>
        <v>42.065565192274555</v>
      </c>
    </row>
    <row r="79" spans="2:15" ht="20.25" thickBot="1">
      <c r="B79" s="171" t="s">
        <v>95</v>
      </c>
      <c r="C79" s="84">
        <f t="shared" ref="C79:O79" si="43">DEGREES(ATAN((SIN($K$76) *COS($E$76)* SIN($E$4) + COS($K$76) *COS($E$4) - _xlfn.COT(C75)* SIN($K$76)* SIN($E$76))/(_xlfn.COT(C75)* COS($E$76) + SIN($E$4)* SIN($E$76))))</f>
        <v>37.872513745091652</v>
      </c>
      <c r="D79" s="84">
        <f t="shared" si="43"/>
        <v>47.195822618350306</v>
      </c>
      <c r="E79" s="84">
        <f t="shared" si="43"/>
        <v>54.614412826297496</v>
      </c>
      <c r="F79" s="84">
        <f t="shared" si="43"/>
        <v>61.265539163292132</v>
      </c>
      <c r="G79" s="84">
        <f t="shared" si="43"/>
        <v>67.945726075561709</v>
      </c>
      <c r="H79" s="84">
        <f t="shared" si="43"/>
        <v>75.463866047233509</v>
      </c>
      <c r="I79" s="84">
        <f t="shared" si="43"/>
        <v>85.003294942344013</v>
      </c>
      <c r="J79" s="84">
        <f t="shared" si="43"/>
        <v>-81.270712074545372</v>
      </c>
      <c r="K79" s="84">
        <f t="shared" si="43"/>
        <v>-59.509746253179479</v>
      </c>
      <c r="L79" s="84">
        <f t="shared" si="43"/>
        <v>-27.656148501721425</v>
      </c>
      <c r="M79" s="84">
        <f t="shared" si="43"/>
        <v>3.6067038300944634</v>
      </c>
      <c r="N79" s="84">
        <f t="shared" si="43"/>
        <v>24.585497913537857</v>
      </c>
      <c r="O79" s="85">
        <f t="shared" si="43"/>
        <v>37.872513745091652</v>
      </c>
    </row>
    <row r="82" spans="2:17" ht="15.75" thickBot="1">
      <c r="C82"/>
      <c r="I82" s="135">
        <v>1.7</v>
      </c>
      <c r="J82" s="8" t="s">
        <v>137</v>
      </c>
    </row>
    <row r="83" spans="2:17" ht="19.5">
      <c r="B83" s="157" t="s">
        <v>14</v>
      </c>
      <c r="C83" s="133">
        <v>5</v>
      </c>
      <c r="D83" s="46">
        <v>6</v>
      </c>
      <c r="E83" s="46">
        <f>D83+1</f>
        <v>7</v>
      </c>
      <c r="F83" s="46">
        <v>8</v>
      </c>
      <c r="G83" s="46">
        <f t="shared" ref="G83:Q83" si="44">F83+1</f>
        <v>9</v>
      </c>
      <c r="H83" s="46">
        <f t="shared" si="44"/>
        <v>10</v>
      </c>
      <c r="I83" s="46">
        <f t="shared" si="44"/>
        <v>11</v>
      </c>
      <c r="J83" s="46">
        <f t="shared" si="44"/>
        <v>12</v>
      </c>
      <c r="K83" s="46">
        <f t="shared" si="44"/>
        <v>13</v>
      </c>
      <c r="L83" s="46">
        <f t="shared" si="44"/>
        <v>14</v>
      </c>
      <c r="M83" s="46">
        <f t="shared" si="44"/>
        <v>15</v>
      </c>
      <c r="N83" s="46">
        <f t="shared" si="44"/>
        <v>16</v>
      </c>
      <c r="O83" s="46">
        <f t="shared" si="44"/>
        <v>17</v>
      </c>
      <c r="P83" s="46">
        <f t="shared" si="44"/>
        <v>18</v>
      </c>
      <c r="Q83" s="36">
        <f t="shared" si="44"/>
        <v>19</v>
      </c>
    </row>
    <row r="84" spans="2:17" ht="19.5">
      <c r="B84" s="158" t="s">
        <v>89</v>
      </c>
      <c r="C84" s="2">
        <f>(C83-$J$83)*15</f>
        <v>-105</v>
      </c>
      <c r="D84" s="2">
        <f t="shared" ref="D84:Q84" si="45">(D83-$J$83)*15</f>
        <v>-90</v>
      </c>
      <c r="E84" s="2">
        <f t="shared" si="45"/>
        <v>-75</v>
      </c>
      <c r="F84" s="2">
        <f t="shared" si="45"/>
        <v>-60</v>
      </c>
      <c r="G84" s="2">
        <f t="shared" si="45"/>
        <v>-45</v>
      </c>
      <c r="H84" s="2">
        <f t="shared" si="45"/>
        <v>-30</v>
      </c>
      <c r="I84" s="2">
        <f t="shared" si="45"/>
        <v>-15</v>
      </c>
      <c r="J84" s="2">
        <f t="shared" si="45"/>
        <v>0</v>
      </c>
      <c r="K84" s="2">
        <f t="shared" si="45"/>
        <v>15</v>
      </c>
      <c r="L84" s="2">
        <f t="shared" si="45"/>
        <v>30</v>
      </c>
      <c r="M84" s="2">
        <f t="shared" si="45"/>
        <v>45</v>
      </c>
      <c r="N84" s="2">
        <f t="shared" si="45"/>
        <v>60</v>
      </c>
      <c r="O84" s="2">
        <f t="shared" si="45"/>
        <v>75</v>
      </c>
      <c r="P84" s="2">
        <f t="shared" si="45"/>
        <v>90</v>
      </c>
      <c r="Q84" s="20">
        <f t="shared" si="45"/>
        <v>105</v>
      </c>
    </row>
    <row r="85" spans="2:17" ht="20.25" thickBot="1">
      <c r="B85" s="158" t="s">
        <v>90</v>
      </c>
      <c r="C85" s="34">
        <f>RADIANS(C84)</f>
        <v>-1.8325957145940461</v>
      </c>
      <c r="D85" s="34">
        <f>RADIANS(D84)</f>
        <v>-1.5707963267948966</v>
      </c>
      <c r="E85" s="34">
        <f t="shared" ref="E85:K85" si="46">RADIANS(E84)</f>
        <v>-1.3089969389957472</v>
      </c>
      <c r="F85" s="34">
        <f t="shared" si="46"/>
        <v>-1.0471975511965976</v>
      </c>
      <c r="G85" s="34">
        <f t="shared" si="46"/>
        <v>-0.78539816339744828</v>
      </c>
      <c r="H85" s="34">
        <f t="shared" si="46"/>
        <v>-0.52359877559829882</v>
      </c>
      <c r="I85" s="34">
        <f t="shared" si="46"/>
        <v>-0.26179938779914941</v>
      </c>
      <c r="J85" s="34">
        <f t="shared" si="46"/>
        <v>0</v>
      </c>
      <c r="K85" s="34">
        <f t="shared" si="46"/>
        <v>0.26179938779914941</v>
      </c>
      <c r="L85" s="34">
        <f t="shared" ref="L85:Q85" si="47">RADIANS(L84)</f>
        <v>0.52359877559829882</v>
      </c>
      <c r="M85" s="34">
        <f t="shared" si="47"/>
        <v>0.78539816339744828</v>
      </c>
      <c r="N85" s="34">
        <f t="shared" si="47"/>
        <v>1.0471975511965976</v>
      </c>
      <c r="O85" s="34">
        <f t="shared" si="47"/>
        <v>1.3089969389957472</v>
      </c>
      <c r="P85" s="34">
        <f t="shared" si="47"/>
        <v>1.5707963267948966</v>
      </c>
      <c r="Q85" s="35">
        <f t="shared" si="47"/>
        <v>1.8325957145940461</v>
      </c>
    </row>
    <row r="86" spans="2:17">
      <c r="B86" s="136" t="s">
        <v>70</v>
      </c>
      <c r="C86" s="73">
        <f>TAN(RADIANS(0))</f>
        <v>0</v>
      </c>
      <c r="E86" s="134" t="s">
        <v>68</v>
      </c>
      <c r="F86" s="3">
        <f>I82/(F4*TAN(E8))</f>
        <v>2.1596681315856379</v>
      </c>
      <c r="G86" s="3"/>
      <c r="H86" s="3"/>
      <c r="I86" s="3"/>
      <c r="J86" s="3"/>
      <c r="K86" s="3"/>
      <c r="L86" s="3"/>
      <c r="M86" s="3"/>
      <c r="N86" s="3"/>
      <c r="O86" s="3"/>
      <c r="P86" s="3"/>
      <c r="Q86" s="29"/>
    </row>
    <row r="87" spans="2:17">
      <c r="B87" s="137" t="s">
        <v>39</v>
      </c>
      <c r="C87">
        <f t="shared" ref="C87:Q87" si="48">$F$86*SIN(C85)</f>
        <v>-2.0860792245120257</v>
      </c>
      <c r="D87">
        <f t="shared" si="48"/>
        <v>-2.1596681315856379</v>
      </c>
      <c r="E87">
        <f t="shared" si="48"/>
        <v>-2.0860792245120257</v>
      </c>
      <c r="F87">
        <f t="shared" si="48"/>
        <v>-1.8703274656968361</v>
      </c>
      <c r="G87">
        <f t="shared" si="48"/>
        <v>-1.5271159809566854</v>
      </c>
      <c r="H87">
        <f t="shared" si="48"/>
        <v>-1.0798340657928187</v>
      </c>
      <c r="I87">
        <f t="shared" si="48"/>
        <v>-0.55896324355533988</v>
      </c>
      <c r="J87">
        <f t="shared" si="48"/>
        <v>0</v>
      </c>
      <c r="K87">
        <f t="shared" si="48"/>
        <v>0.55896324355533988</v>
      </c>
      <c r="L87">
        <f t="shared" si="48"/>
        <v>1.0798340657928187</v>
      </c>
      <c r="M87">
        <f t="shared" si="48"/>
        <v>1.5271159809566854</v>
      </c>
      <c r="N87">
        <f t="shared" si="48"/>
        <v>1.8703274656968361</v>
      </c>
      <c r="O87">
        <f t="shared" si="48"/>
        <v>2.0860792245120257</v>
      </c>
      <c r="P87">
        <f t="shared" si="48"/>
        <v>2.1596681315856379</v>
      </c>
      <c r="Q87" s="53">
        <f t="shared" si="48"/>
        <v>2.0860792245120257</v>
      </c>
    </row>
    <row r="88" spans="2:17" ht="15.75" thickBot="1">
      <c r="B88" s="138" t="s">
        <v>38</v>
      </c>
      <c r="C88" s="4">
        <f>$F$86*COS(C85)*$F$4</f>
        <v>-0.344741375692591</v>
      </c>
      <c r="D88" s="4">
        <f t="shared" ref="D88:Q88" si="49">$F$86*COS(D85)*$F$4</f>
        <v>8.1593563488643033E-17</v>
      </c>
      <c r="E88" s="4">
        <f t="shared" si="49"/>
        <v>0.34474137569259083</v>
      </c>
      <c r="F88" s="4">
        <f t="shared" si="49"/>
        <v>0.66598919634379206</v>
      </c>
      <c r="G88" s="4">
        <f t="shared" si="49"/>
        <v>0.94185095386334872</v>
      </c>
      <c r="H88" s="4">
        <f t="shared" si="49"/>
        <v>1.1535271253594124</v>
      </c>
      <c r="I88" s="4">
        <f t="shared" si="49"/>
        <v>1.2865923295559396</v>
      </c>
      <c r="J88" s="4">
        <f t="shared" si="49"/>
        <v>1.3319783926875839</v>
      </c>
      <c r="K88" s="4">
        <f t="shared" si="49"/>
        <v>1.2865923295559396</v>
      </c>
      <c r="L88" s="4">
        <f t="shared" si="49"/>
        <v>1.1535271253594124</v>
      </c>
      <c r="M88" s="4">
        <f t="shared" si="49"/>
        <v>0.94185095386334872</v>
      </c>
      <c r="N88" s="4">
        <f t="shared" si="49"/>
        <v>0.66598919634379206</v>
      </c>
      <c r="O88" s="4">
        <f t="shared" si="49"/>
        <v>0.34474137569259083</v>
      </c>
      <c r="P88" s="4">
        <f t="shared" si="49"/>
        <v>8.1593563488643033E-17</v>
      </c>
      <c r="Q88" s="30">
        <f t="shared" si="49"/>
        <v>-0.344741375692591</v>
      </c>
    </row>
    <row r="89" spans="2:17">
      <c r="B89" s="136" t="s">
        <v>69</v>
      </c>
      <c r="C89" s="73">
        <v>23.44</v>
      </c>
      <c r="E89" s="134" t="s">
        <v>68</v>
      </c>
      <c r="F89" s="3">
        <f>I82/(F4*TAN(RADIANS(C8+23.44)))</f>
        <v>0.72000155239633112</v>
      </c>
      <c r="G89" s="3"/>
      <c r="H89" s="3"/>
      <c r="I89" s="3"/>
      <c r="J89" s="3"/>
      <c r="K89" s="3"/>
      <c r="L89" s="3"/>
      <c r="M89" s="3"/>
      <c r="N89" s="3"/>
      <c r="O89" s="3"/>
      <c r="P89" s="3"/>
      <c r="Q89" s="29"/>
    </row>
    <row r="90" spans="2:17">
      <c r="B90" s="137" t="s">
        <v>39</v>
      </c>
      <c r="C90">
        <f>$F$89*SIN(C85)</f>
        <v>-0.69546809442783808</v>
      </c>
      <c r="D90">
        <f>$F$89*SIN(D85)</f>
        <v>-0.72000155239633112</v>
      </c>
      <c r="E90">
        <f t="shared" ref="E90:Q90" si="50">$F$89*SIN(E85)</f>
        <v>-0.69546809442783808</v>
      </c>
      <c r="F90">
        <f t="shared" si="50"/>
        <v>-0.62353963513945532</v>
      </c>
      <c r="G90">
        <f t="shared" si="50"/>
        <v>-0.509117980164287</v>
      </c>
      <c r="H90">
        <f t="shared" si="50"/>
        <v>-0.36000077619816551</v>
      </c>
      <c r="I90">
        <f t="shared" si="50"/>
        <v>-0.18635011426355097</v>
      </c>
      <c r="J90">
        <f t="shared" si="50"/>
        <v>0</v>
      </c>
      <c r="K90">
        <f t="shared" si="50"/>
        <v>0.18635011426355097</v>
      </c>
      <c r="L90">
        <f t="shared" si="50"/>
        <v>0.36000077619816551</v>
      </c>
      <c r="M90">
        <f t="shared" si="50"/>
        <v>0.509117980164287</v>
      </c>
      <c r="N90">
        <f t="shared" si="50"/>
        <v>0.62353963513945532</v>
      </c>
      <c r="O90">
        <f t="shared" si="50"/>
        <v>0.69546809442783808</v>
      </c>
      <c r="P90">
        <f t="shared" si="50"/>
        <v>0.72000155239633112</v>
      </c>
      <c r="Q90" s="53">
        <f t="shared" si="50"/>
        <v>0.69546809442783808</v>
      </c>
    </row>
    <row r="91" spans="2:17" ht="15.75" thickBot="1">
      <c r="B91" s="138" t="s">
        <v>38</v>
      </c>
      <c r="C91" s="4">
        <f>$F$89*COS(C85)*$F$4</f>
        <v>-0.11493169808996176</v>
      </c>
      <c r="D91" s="4">
        <f>$F$89*COS(D85)*$F$4</f>
        <v>2.720209254291256E-17</v>
      </c>
      <c r="E91" s="4">
        <f t="shared" ref="E91:Q91" si="51">$F$89*COS(E85)*$F$4</f>
        <v>0.1149316980899617</v>
      </c>
      <c r="F91" s="4">
        <f t="shared" si="51"/>
        <v>0.22203099088870404</v>
      </c>
      <c r="G91" s="4">
        <f t="shared" si="51"/>
        <v>0.31399923858194234</v>
      </c>
      <c r="H91" s="4">
        <f t="shared" si="51"/>
        <v>0.38456895707409783</v>
      </c>
      <c r="I91" s="4">
        <f t="shared" si="51"/>
        <v>0.42893093667190407</v>
      </c>
      <c r="J91" s="4">
        <f t="shared" si="51"/>
        <v>0.44406198177740802</v>
      </c>
      <c r="K91" s="4">
        <f t="shared" si="51"/>
        <v>0.42893093667190407</v>
      </c>
      <c r="L91" s="4">
        <f t="shared" si="51"/>
        <v>0.38456895707409783</v>
      </c>
      <c r="M91" s="4">
        <f t="shared" si="51"/>
        <v>0.31399923858194234</v>
      </c>
      <c r="N91" s="4">
        <f t="shared" si="51"/>
        <v>0.22203099088870404</v>
      </c>
      <c r="O91" s="4">
        <f t="shared" si="51"/>
        <v>0.1149316980899617</v>
      </c>
      <c r="P91" s="4">
        <f t="shared" si="51"/>
        <v>2.720209254291256E-17</v>
      </c>
      <c r="Q91" s="30">
        <f t="shared" si="51"/>
        <v>-0.11493169808996176</v>
      </c>
    </row>
    <row r="92" spans="2:17">
      <c r="B92" s="136" t="s">
        <v>69</v>
      </c>
      <c r="C92" s="73">
        <v>-23.44</v>
      </c>
      <c r="E92" s="134" t="s">
        <v>68</v>
      </c>
      <c r="F92" s="3">
        <f>I82/(F4*TAN(RADIANS(C8-23.44)))</f>
        <v>5.0806954991793178</v>
      </c>
      <c r="G92" s="3"/>
      <c r="H92" s="3"/>
      <c r="I92" s="3"/>
      <c r="J92" s="3"/>
      <c r="K92" s="3"/>
      <c r="L92" s="3"/>
      <c r="M92" s="3"/>
      <c r="N92" s="3"/>
      <c r="O92" s="3"/>
      <c r="P92" s="3"/>
      <c r="Q92" s="29"/>
    </row>
    <row r="93" spans="2:17">
      <c r="B93" s="137" t="s">
        <v>39</v>
      </c>
      <c r="C93">
        <f>$F$92*SIN(C85)</f>
        <v>-4.9075749981679326</v>
      </c>
      <c r="D93">
        <f t="shared" ref="D93:Q93" si="52">$F$92*SIN(D85)</f>
        <v>-5.0806954991793178</v>
      </c>
      <c r="E93">
        <f t="shared" si="52"/>
        <v>-4.9075749981679326</v>
      </c>
      <c r="F93">
        <f t="shared" si="52"/>
        <v>-4.4000113711825488</v>
      </c>
      <c r="G93">
        <f t="shared" si="52"/>
        <v>-3.5925942406136664</v>
      </c>
      <c r="H93">
        <f t="shared" si="52"/>
        <v>-2.5403477495896585</v>
      </c>
      <c r="I93">
        <f t="shared" si="52"/>
        <v>-1.314980757554266</v>
      </c>
      <c r="J93">
        <f t="shared" si="52"/>
        <v>0</v>
      </c>
      <c r="K93">
        <f t="shared" si="52"/>
        <v>1.314980757554266</v>
      </c>
      <c r="L93">
        <f t="shared" si="52"/>
        <v>2.5403477495896585</v>
      </c>
      <c r="M93">
        <f t="shared" si="52"/>
        <v>3.5925942406136664</v>
      </c>
      <c r="N93">
        <f t="shared" si="52"/>
        <v>4.4000113711825488</v>
      </c>
      <c r="O93">
        <f t="shared" si="52"/>
        <v>4.9075749981679326</v>
      </c>
      <c r="P93">
        <f t="shared" si="52"/>
        <v>5.0806954991793178</v>
      </c>
      <c r="Q93">
        <f t="shared" si="52"/>
        <v>4.9075749981679326</v>
      </c>
    </row>
    <row r="94" spans="2:17" ht="15.75" thickBot="1">
      <c r="B94" s="138" t="s">
        <v>38</v>
      </c>
      <c r="C94" s="4">
        <f>$F$92*COS(C85)*$F$4</f>
        <v>-0.81101625302784608</v>
      </c>
      <c r="D94" s="4">
        <f t="shared" ref="D94:Q94" si="53">$F$92*COS(D85)*$F$4</f>
        <v>1.9195173773036351E-16</v>
      </c>
      <c r="E94" s="4">
        <f t="shared" si="53"/>
        <v>0.81101625302784586</v>
      </c>
      <c r="F94" s="4">
        <f t="shared" si="53"/>
        <v>1.5667630886795725</v>
      </c>
      <c r="G94" s="4">
        <f t="shared" si="53"/>
        <v>2.2157376090362111</v>
      </c>
      <c r="H94" s="4">
        <f t="shared" si="53"/>
        <v>2.7137132730165616</v>
      </c>
      <c r="I94" s="4">
        <f t="shared" si="53"/>
        <v>3.0267538620640568</v>
      </c>
      <c r="J94" s="4">
        <f t="shared" si="53"/>
        <v>3.1335261773591445</v>
      </c>
      <c r="K94" s="4">
        <f t="shared" si="53"/>
        <v>3.0267538620640568</v>
      </c>
      <c r="L94" s="4">
        <f t="shared" si="53"/>
        <v>2.7137132730165616</v>
      </c>
      <c r="M94" s="4">
        <f t="shared" si="53"/>
        <v>2.2157376090362111</v>
      </c>
      <c r="N94" s="4">
        <f t="shared" si="53"/>
        <v>1.5667630886795725</v>
      </c>
      <c r="O94" s="4">
        <f t="shared" si="53"/>
        <v>0.81101625302784586</v>
      </c>
      <c r="P94" s="4">
        <f t="shared" si="53"/>
        <v>1.9195173773036351E-16</v>
      </c>
      <c r="Q94" s="4">
        <f t="shared" si="53"/>
        <v>-0.81101625302784608</v>
      </c>
    </row>
    <row r="96" spans="2:17" ht="15.75" thickBot="1"/>
    <row r="97" spans="2:14">
      <c r="B97" s="78" t="s">
        <v>0</v>
      </c>
      <c r="C97" s="146">
        <v>44641</v>
      </c>
      <c r="D97" s="146">
        <v>44672</v>
      </c>
      <c r="E97" s="146">
        <v>44703</v>
      </c>
      <c r="F97" s="146">
        <v>44734</v>
      </c>
      <c r="G97" s="146">
        <v>44765</v>
      </c>
      <c r="H97" s="146">
        <v>44795</v>
      </c>
      <c r="I97" s="46" t="s">
        <v>75</v>
      </c>
      <c r="J97" s="146">
        <v>44857</v>
      </c>
      <c r="K97" s="146">
        <v>44887</v>
      </c>
      <c r="L97" s="146">
        <v>44917</v>
      </c>
      <c r="M97" s="146">
        <v>44582</v>
      </c>
      <c r="N97" s="147">
        <v>44612</v>
      </c>
    </row>
    <row r="98" spans="2:14">
      <c r="B98" s="79" t="s">
        <v>73</v>
      </c>
      <c r="C98" s="76">
        <v>0.28170150180276854</v>
      </c>
      <c r="D98" s="76">
        <v>11.898965640373532</v>
      </c>
      <c r="E98" s="76">
        <v>20.407698698501797</v>
      </c>
      <c r="F98" s="76">
        <v>23.434056865079317</v>
      </c>
      <c r="G98" s="76">
        <v>20.042443791636288</v>
      </c>
      <c r="H98" s="76">
        <v>11.39552312772271</v>
      </c>
      <c r="I98" s="76">
        <v>-0.12089899723055911</v>
      </c>
      <c r="J98" s="76">
        <v>-11.440359231639574</v>
      </c>
      <c r="K98" s="76">
        <v>-20.152225831388552</v>
      </c>
      <c r="L98" s="76">
        <v>-23.439518779389406</v>
      </c>
      <c r="M98" s="76">
        <v>-19.928763823687323</v>
      </c>
      <c r="N98" s="77">
        <v>-10.962198698613246</v>
      </c>
    </row>
    <row r="99" spans="2:14" ht="15.75" thickBot="1">
      <c r="B99" s="139" t="s">
        <v>71</v>
      </c>
      <c r="C99" s="17">
        <f t="shared" ref="C99:N99" si="54">$F$86*$G$4*TAN(RADIANS(C98))</f>
        <v>8.3583191633079274E-3</v>
      </c>
      <c r="D99" s="17">
        <f t="shared" si="54"/>
        <v>0.35821413652379613</v>
      </c>
      <c r="E99" s="17">
        <f t="shared" si="54"/>
        <v>0.63248436357707982</v>
      </c>
      <c r="F99" s="17">
        <f t="shared" si="54"/>
        <v>0.73685571481825007</v>
      </c>
      <c r="G99" s="17">
        <f t="shared" si="54"/>
        <v>0.62017594504328055</v>
      </c>
      <c r="H99" s="17">
        <f t="shared" si="54"/>
        <v>0.34264189812908541</v>
      </c>
      <c r="I99" s="17">
        <f t="shared" si="54"/>
        <v>-3.5871507827403685E-3</v>
      </c>
      <c r="J99" s="17">
        <f t="shared" si="54"/>
        <v>-0.34402647350111282</v>
      </c>
      <c r="K99" s="17">
        <f t="shared" si="54"/>
        <v>-0.6238693303884667</v>
      </c>
      <c r="L99" s="17">
        <f t="shared" si="54"/>
        <v>-0.73704822759395772</v>
      </c>
      <c r="M99" s="17">
        <f t="shared" si="54"/>
        <v>-0.61635685942401774</v>
      </c>
      <c r="N99" s="18">
        <f t="shared" si="54"/>
        <v>-0.32928270970811535</v>
      </c>
    </row>
    <row r="100" spans="2:14" ht="15.75" thickBot="1">
      <c r="B100" s="141" t="s">
        <v>72</v>
      </c>
      <c r="C100" s="140">
        <f>$F$89*$G$4*TAN(RADIANS(C98))</f>
        <v>2.7865405267555004E-3</v>
      </c>
      <c r="D100" s="140">
        <f t="shared" ref="D100:N100" si="55">$F$89*$G$4*TAN(RADIANS(D98))</f>
        <v>0.11942331815494374</v>
      </c>
      <c r="E100" s="140">
        <f t="shared" si="55"/>
        <v>0.21086097302716311</v>
      </c>
      <c r="F100" s="140">
        <f t="shared" si="55"/>
        <v>0.24565684458737905</v>
      </c>
      <c r="G100" s="140">
        <f t="shared" si="55"/>
        <v>0.2067575275383543</v>
      </c>
      <c r="H100" s="140">
        <f t="shared" si="55"/>
        <v>0.1142317631866137</v>
      </c>
      <c r="I100" s="140">
        <f t="shared" si="55"/>
        <v>-1.1959032475774463E-3</v>
      </c>
      <c r="J100" s="140">
        <f t="shared" si="55"/>
        <v>-0.11469336022677445</v>
      </c>
      <c r="K100" s="140">
        <f t="shared" si="55"/>
        <v>-0.20798884782467048</v>
      </c>
      <c r="L100" s="140">
        <f t="shared" si="55"/>
        <v>-0.24572102551191019</v>
      </c>
      <c r="M100" s="140">
        <f t="shared" si="55"/>
        <v>-0.20548430063168838</v>
      </c>
      <c r="N100" s="142">
        <f t="shared" si="55"/>
        <v>-0.10977800649076826</v>
      </c>
    </row>
    <row r="101" spans="2:14" ht="15.75" thickBot="1">
      <c r="B101" s="141" t="s">
        <v>74</v>
      </c>
      <c r="C101" s="143">
        <f>$F$92*$G$4*TAN(RADIANS(C98))</f>
        <v>1.966324081586741E-2</v>
      </c>
      <c r="D101" s="144">
        <f t="shared" ref="D101:M101" si="56">$F$92*$G$4*TAN(RADIANS(D98))</f>
        <v>0.84271139836777686</v>
      </c>
      <c r="E101" s="144">
        <f t="shared" si="56"/>
        <v>1.487941787133761</v>
      </c>
      <c r="F101" s="144">
        <f t="shared" si="56"/>
        <v>1.7334790744321313</v>
      </c>
      <c r="G101" s="144">
        <f t="shared" si="56"/>
        <v>1.4589857981407783</v>
      </c>
      <c r="H101" s="144">
        <f t="shared" si="56"/>
        <v>0.80607715796433788</v>
      </c>
      <c r="I101" s="144">
        <f t="shared" si="56"/>
        <v>-8.4388988151459735E-3</v>
      </c>
      <c r="J101" s="144">
        <f t="shared" si="56"/>
        <v>-0.80933442039186154</v>
      </c>
      <c r="K101" s="144">
        <f t="shared" si="56"/>
        <v>-1.4676746175133386</v>
      </c>
      <c r="L101" s="144">
        <f t="shared" si="56"/>
        <v>-1.7339319675311995</v>
      </c>
      <c r="M101" s="144">
        <f t="shared" si="56"/>
        <v>-1.4500012644372029</v>
      </c>
      <c r="N101" s="145">
        <f>$F$92*$G$4*TAN(RADIANS(N98))</f>
        <v>-0.77464919572771518</v>
      </c>
    </row>
    <row r="128" spans="3:3">
      <c r="C128"/>
    </row>
    <row r="129" spans="1:17">
      <c r="C129"/>
    </row>
    <row r="130" spans="1:17">
      <c r="C130"/>
    </row>
    <row r="134" spans="1:17">
      <c r="C134"/>
    </row>
    <row r="135" spans="1:17">
      <c r="C135"/>
    </row>
    <row r="136" spans="1:17">
      <c r="C136"/>
      <c r="Q136" s="2"/>
    </row>
    <row r="137" spans="1:17">
      <c r="C137"/>
      <c r="Q137" s="2"/>
    </row>
    <row r="138" spans="1:17">
      <c r="C138"/>
      <c r="Q138">
        <f>$D137*SIN(Q85)</f>
        <v>0</v>
      </c>
    </row>
    <row r="139" spans="1:17">
      <c r="C139"/>
      <c r="Q139">
        <f>$D$137*COS(Q85)</f>
        <v>0</v>
      </c>
    </row>
    <row r="140" spans="1:17">
      <c r="C140"/>
      <c r="Q140">
        <f>Q139*$F$4</f>
        <v>0</v>
      </c>
    </row>
    <row r="143" spans="1:17" s="2" customFormat="1">
      <c r="A143"/>
      <c r="O143"/>
      <c r="P143"/>
      <c r="Q143"/>
    </row>
    <row r="144" spans="1:17" s="2" customFormat="1">
      <c r="A144"/>
      <c r="B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63" spans="3:17">
      <c r="O163" s="9"/>
      <c r="P163" s="9"/>
      <c r="Q163" s="9"/>
    </row>
    <row r="164" spans="3:17">
      <c r="C164"/>
    </row>
    <row r="165" spans="3:17">
      <c r="C165"/>
    </row>
    <row r="166" spans="3:17">
      <c r="C166"/>
    </row>
    <row r="167" spans="3:17">
      <c r="C167"/>
    </row>
    <row r="168" spans="3:17">
      <c r="C168"/>
    </row>
    <row r="169" spans="3:17">
      <c r="C169"/>
    </row>
    <row r="170" spans="3:17">
      <c r="C170"/>
    </row>
    <row r="171" spans="3:17"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</row>
    <row r="172" spans="3:17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</row>
    <row r="173" spans="3:17">
      <c r="O173" s="2"/>
      <c r="P173" s="2"/>
      <c r="Q173" s="2"/>
    </row>
    <row r="174" spans="3:17">
      <c r="O174" s="2"/>
      <c r="P174" s="2"/>
      <c r="Q174" s="2"/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85E36-57DF-41D1-AF55-92A923B87373}">
  <sheetPr codeName="Sheet6"/>
  <dimension ref="A1:Z22"/>
  <sheetViews>
    <sheetView zoomScaleNormal="100" workbookViewId="0"/>
  </sheetViews>
  <sheetFormatPr defaultRowHeight="15"/>
  <cols>
    <col min="1" max="1" width="14" bestFit="1" customWidth="1"/>
    <col min="2" max="2" width="12.28515625" bestFit="1" customWidth="1"/>
    <col min="3" max="3" width="12.28515625" customWidth="1"/>
    <col min="4" max="4" width="11.28515625" bestFit="1" customWidth="1"/>
    <col min="5" max="5" width="12.28515625" bestFit="1" customWidth="1"/>
    <col min="6" max="6" width="11.5703125" bestFit="1" customWidth="1"/>
    <col min="7" max="9" width="11.28515625" bestFit="1" customWidth="1"/>
    <col min="10" max="10" width="12.28515625" bestFit="1" customWidth="1"/>
    <col min="11" max="11" width="11.28515625" bestFit="1" customWidth="1"/>
    <col min="12" max="12" width="12.28515625" customWidth="1"/>
    <col min="13" max="13" width="11.28515625" customWidth="1"/>
    <col min="14" max="14" width="12.28515625" bestFit="1" customWidth="1"/>
    <col min="15" max="15" width="11.28515625" bestFit="1" customWidth="1"/>
    <col min="16" max="16" width="12.28515625" bestFit="1" customWidth="1"/>
    <col min="17" max="17" width="11.28515625" bestFit="1" customWidth="1"/>
    <col min="18" max="18" width="12.28515625" bestFit="1" customWidth="1"/>
    <col min="19" max="20" width="11.28515625" bestFit="1" customWidth="1"/>
    <col min="21" max="21" width="12.28515625" bestFit="1" customWidth="1"/>
    <col min="22" max="22" width="11.28515625" bestFit="1" customWidth="1"/>
    <col min="23" max="23" width="12.28515625" bestFit="1" customWidth="1"/>
    <col min="24" max="24" width="11.28515625" bestFit="1" customWidth="1"/>
    <col min="25" max="25" width="12.28515625" bestFit="1" customWidth="1"/>
    <col min="26" max="26" width="11.42578125" customWidth="1"/>
  </cols>
  <sheetData>
    <row r="1" spans="1:18" s="9" customFormat="1" ht="21">
      <c r="A1" s="129" t="s">
        <v>19</v>
      </c>
      <c r="B1" s="129" t="s">
        <v>26</v>
      </c>
      <c r="C1" s="129" t="s">
        <v>13</v>
      </c>
      <c r="D1" s="129" t="s">
        <v>2</v>
      </c>
      <c r="E1" s="129" t="s">
        <v>27</v>
      </c>
      <c r="G1" s="173" t="s">
        <v>147</v>
      </c>
      <c r="K1" s="33" t="s">
        <v>25</v>
      </c>
      <c r="L1" s="33" t="s">
        <v>21</v>
      </c>
      <c r="M1" s="33" t="s">
        <v>20</v>
      </c>
      <c r="N1" s="33" t="s">
        <v>23</v>
      </c>
      <c r="O1" s="33" t="s">
        <v>24</v>
      </c>
      <c r="P1" s="33" t="s">
        <v>52</v>
      </c>
      <c r="Q1" s="33" t="s">
        <v>28</v>
      </c>
      <c r="R1" s="33" t="s">
        <v>29</v>
      </c>
    </row>
    <row r="2" spans="1:18" s="2" customFormat="1">
      <c r="A2" s="2" t="str">
        <f>Enter!B2</f>
        <v>تبریز</v>
      </c>
      <c r="B2" s="2">
        <v>51.3797</v>
      </c>
      <c r="C2" s="2">
        <v>35.7029</v>
      </c>
      <c r="D2" s="2">
        <v>1210</v>
      </c>
      <c r="E2" s="2">
        <v>3.5</v>
      </c>
      <c r="K2" s="2">
        <v>125.7029</v>
      </c>
      <c r="L2" s="2">
        <v>0</v>
      </c>
      <c r="M2" s="2">
        <v>10</v>
      </c>
      <c r="O2" s="2">
        <v>90</v>
      </c>
      <c r="P2" s="2">
        <v>0</v>
      </c>
      <c r="Q2" s="2">
        <v>0</v>
      </c>
    </row>
    <row r="3" spans="1:18">
      <c r="K3">
        <v>54.2971</v>
      </c>
      <c r="L3">
        <v>180</v>
      </c>
    </row>
    <row r="5" spans="1:18">
      <c r="A5" s="1">
        <v>-49.274220590023887</v>
      </c>
      <c r="B5" s="1">
        <v>0.96357788172681613</v>
      </c>
      <c r="C5" s="1">
        <v>-23.060036796920489</v>
      </c>
      <c r="D5" s="1">
        <v>0.45094861254523416</v>
      </c>
      <c r="E5" s="1">
        <v>49.274220590023887</v>
      </c>
      <c r="F5" s="1">
        <v>-0.96357788172681613</v>
      </c>
      <c r="G5" s="1">
        <v>23.060036796920489</v>
      </c>
      <c r="H5" s="1">
        <v>-0.45094861254523416</v>
      </c>
    </row>
    <row r="6" spans="1:18">
      <c r="A6" s="1">
        <v>-47.844634543024561</v>
      </c>
      <c r="B6" s="1">
        <v>-11.822361969289727</v>
      </c>
      <c r="C6" s="1">
        <v>-22.390999185499744</v>
      </c>
      <c r="D6" s="1">
        <v>-5.5327937971185337</v>
      </c>
      <c r="E6" s="1">
        <v>47.844634543024561</v>
      </c>
      <c r="F6" s="1">
        <v>11.822361969289727</v>
      </c>
      <c r="G6" s="1">
        <v>22.390999185499744</v>
      </c>
      <c r="H6" s="1">
        <v>5.5327937971185337</v>
      </c>
    </row>
    <row r="7" spans="1:18">
      <c r="A7" s="1">
        <v>-43.154515713940803</v>
      </c>
      <c r="B7" s="1">
        <v>-23.802627388246943</v>
      </c>
      <c r="C7" s="1">
        <v>-20.196051980134953</v>
      </c>
      <c r="D7" s="1">
        <v>-11.139485452307504</v>
      </c>
      <c r="E7" s="1">
        <v>43.154515713940803</v>
      </c>
      <c r="F7" s="1">
        <v>23.802627388246943</v>
      </c>
      <c r="G7" s="1">
        <v>20.196051980134953</v>
      </c>
      <c r="H7" s="1">
        <v>11.139485452307504</v>
      </c>
    </row>
    <row r="8" spans="1:18">
      <c r="A8" s="1">
        <v>-35.523487950674458</v>
      </c>
      <c r="B8" s="1">
        <v>-34.160783083922034</v>
      </c>
      <c r="C8" s="1">
        <v>-16.624777205778173</v>
      </c>
      <c r="D8" s="1">
        <v>-15.987039581633681</v>
      </c>
      <c r="E8" s="1">
        <v>35.523487950674458</v>
      </c>
      <c r="F8" s="1">
        <v>34.160783083922034</v>
      </c>
      <c r="G8" s="1">
        <v>16.624777205778173</v>
      </c>
      <c r="H8" s="1">
        <v>15.987039581633681</v>
      </c>
    </row>
    <row r="9" spans="1:18">
      <c r="A9" s="1">
        <v>-25.471593227406807</v>
      </c>
      <c r="B9" s="1">
        <v>-42.190937836767873</v>
      </c>
      <c r="C9" s="1">
        <v>-11.920551356607607</v>
      </c>
      <c r="D9" s="1">
        <v>-19.745103369720912</v>
      </c>
      <c r="E9" s="1">
        <v>25.471593227406807</v>
      </c>
      <c r="F9" s="1">
        <v>42.190937836767873</v>
      </c>
      <c r="G9" s="1">
        <v>11.920551356607607</v>
      </c>
      <c r="H9" s="1">
        <v>19.745103369720912</v>
      </c>
    </row>
    <row r="10" spans="1:18">
      <c r="A10" s="1">
        <v>-13.683851482680442</v>
      </c>
      <c r="B10" s="1">
        <v>-47.345849930996394</v>
      </c>
      <c r="C10" s="1">
        <v>-6.4039596149003852</v>
      </c>
      <c r="D10" s="1">
        <v>-22.157571008059715</v>
      </c>
      <c r="E10" s="1">
        <v>13.683851482680442</v>
      </c>
      <c r="F10" s="1">
        <v>47.345849930996394</v>
      </c>
      <c r="G10" s="1">
        <v>6.4039596149003852</v>
      </c>
      <c r="H10" s="1">
        <v>22.157571008059715</v>
      </c>
    </row>
    <row r="11" spans="1:18">
      <c r="A11" s="1">
        <v>-0.96357787162050645</v>
      </c>
      <c r="B11" s="1">
        <v>-49.274220590221518</v>
      </c>
      <c r="C11" s="1">
        <v>-0.45094860781554241</v>
      </c>
      <c r="D11" s="1">
        <v>-23.06003679701298</v>
      </c>
      <c r="E11" s="1">
        <v>0.96357787162050645</v>
      </c>
      <c r="F11" s="1">
        <v>49.274220590221518</v>
      </c>
      <c r="G11" s="1">
        <v>0.45094860781554241</v>
      </c>
      <c r="H11" s="1">
        <v>23.06003679701298</v>
      </c>
    </row>
    <row r="12" spans="1:18">
      <c r="A12" s="1">
        <v>11.822361979102824</v>
      </c>
      <c r="B12" s="1">
        <v>-47.844634540599749</v>
      </c>
      <c r="C12" s="1">
        <v>5.5327938017110041</v>
      </c>
      <c r="D12" s="1">
        <v>-22.390999184364947</v>
      </c>
      <c r="E12" s="1">
        <v>-11.822361979102824</v>
      </c>
      <c r="F12" s="1">
        <v>47.844634540599749</v>
      </c>
      <c r="G12" s="1">
        <v>-5.5327938017110041</v>
      </c>
      <c r="H12" s="1">
        <v>22.390999184364947</v>
      </c>
    </row>
    <row r="13" spans="1:18">
      <c r="A13" s="1">
        <v>23.802627397098082</v>
      </c>
      <c r="B13" s="1">
        <v>-43.154515709058799</v>
      </c>
      <c r="C13" s="1">
        <v>11.139485456449783</v>
      </c>
      <c r="D13" s="1">
        <v>-20.196051977850207</v>
      </c>
      <c r="E13" s="1">
        <v>-23.802627397098082</v>
      </c>
      <c r="F13" s="1">
        <v>43.154515709058799</v>
      </c>
      <c r="G13" s="1">
        <v>-11.139485456449783</v>
      </c>
      <c r="H13" s="1">
        <v>20.196051977850207</v>
      </c>
    </row>
    <row r="14" spans="1:18">
      <c r="A14" s="1">
        <v>34.160783055684533</v>
      </c>
      <c r="B14" s="1">
        <v>-35.523487977828751</v>
      </c>
      <c r="C14" s="1">
        <v>15.987039568418702</v>
      </c>
      <c r="D14" s="1">
        <v>-16.624777218486216</v>
      </c>
      <c r="E14" s="1">
        <v>-34.160783055684533</v>
      </c>
      <c r="F14" s="1">
        <v>35.523487977828751</v>
      </c>
      <c r="G14" s="1">
        <v>-15.987039568418702</v>
      </c>
      <c r="H14" s="1">
        <v>16.624777218486216</v>
      </c>
    </row>
    <row r="15" spans="1:18">
      <c r="A15" s="1">
        <v>42.190937841992181</v>
      </c>
      <c r="B15" s="1">
        <v>-25.471593218753302</v>
      </c>
      <c r="C15" s="1">
        <v>19.745103372165858</v>
      </c>
      <c r="D15" s="1">
        <v>-11.920551352557819</v>
      </c>
      <c r="E15" s="1">
        <v>-42.190937841992181</v>
      </c>
      <c r="F15" s="1">
        <v>25.471593218753302</v>
      </c>
      <c r="G15" s="1">
        <v>-19.745103372165858</v>
      </c>
      <c r="H15" s="1">
        <v>11.920551352557819</v>
      </c>
    </row>
    <row r="16" spans="1:18">
      <c r="A16" s="1">
        <v>47.345849933803002</v>
      </c>
      <c r="B16" s="1">
        <v>-13.683851472969645</v>
      </c>
      <c r="C16" s="1">
        <v>22.157571009373189</v>
      </c>
      <c r="D16" s="1">
        <v>-6.4039596103557912</v>
      </c>
      <c r="E16" s="1">
        <v>-47.345849933803002</v>
      </c>
      <c r="F16" s="1">
        <v>13.683851472969645</v>
      </c>
      <c r="G16" s="1">
        <v>-22.157571009373189</v>
      </c>
      <c r="H16" s="1">
        <v>6.4039596103557912</v>
      </c>
    </row>
    <row r="17" spans="1:26">
      <c r="A17" s="1">
        <v>49.274220590419155</v>
      </c>
      <c r="B17" s="1">
        <v>-0.963577861514193</v>
      </c>
      <c r="C17" s="1">
        <v>23.060036797105472</v>
      </c>
      <c r="D17" s="1">
        <v>-0.45094860308584894</v>
      </c>
      <c r="E17" s="1">
        <v>-49.274220590419155</v>
      </c>
      <c r="F17" s="1">
        <v>0.963577861514193</v>
      </c>
      <c r="G17" s="1">
        <v>-23.060036797105472</v>
      </c>
      <c r="H17" s="1">
        <v>0.45094860308584894</v>
      </c>
    </row>
    <row r="19" spans="1:26">
      <c r="A19" s="1">
        <v>-49.274220590023887</v>
      </c>
      <c r="B19" s="1">
        <v>0.96357788172681613</v>
      </c>
      <c r="C19" s="1">
        <v>-47.844634543024561</v>
      </c>
      <c r="D19" s="1">
        <v>-11.822361969289727</v>
      </c>
      <c r="E19" s="1">
        <v>-43.154515713940803</v>
      </c>
      <c r="F19" s="1">
        <v>-23.802627388246943</v>
      </c>
      <c r="G19" s="1">
        <v>-35.523487950674458</v>
      </c>
      <c r="H19" s="1">
        <v>-34.160783083922034</v>
      </c>
      <c r="I19" s="1">
        <v>-25.471593227406807</v>
      </c>
      <c r="J19" s="1">
        <v>-42.190937836767873</v>
      </c>
      <c r="K19" s="1">
        <v>-13.683851482680442</v>
      </c>
      <c r="L19" s="1">
        <v>-47.345849930996394</v>
      </c>
      <c r="M19" s="1">
        <v>-0.96357787162050645</v>
      </c>
      <c r="N19" s="1">
        <v>-49.274220590221518</v>
      </c>
      <c r="O19" s="1">
        <v>11.822361979102824</v>
      </c>
      <c r="P19" s="1">
        <v>-47.844634540599749</v>
      </c>
      <c r="Q19" s="1">
        <v>23.802627397098082</v>
      </c>
      <c r="R19" s="1">
        <v>-43.154515709058799</v>
      </c>
      <c r="S19" s="1">
        <v>34.160783055684533</v>
      </c>
      <c r="T19" s="1">
        <v>-35.523487977828751</v>
      </c>
      <c r="U19" s="1">
        <v>42.190937841992181</v>
      </c>
      <c r="V19" s="1">
        <v>-25.471593218753302</v>
      </c>
      <c r="W19" s="1">
        <v>47.345849933803002</v>
      </c>
      <c r="X19" s="1">
        <v>-13.683851472969645</v>
      </c>
      <c r="Y19" s="1">
        <v>49.274220590419155</v>
      </c>
      <c r="Z19" s="1">
        <v>-0.963577861514193</v>
      </c>
    </row>
    <row r="20" spans="1:26">
      <c r="A20" s="1">
        <v>-23.060036796920489</v>
      </c>
      <c r="B20" s="1">
        <v>0.45094861254523416</v>
      </c>
      <c r="C20" s="1">
        <v>-22.390999185499744</v>
      </c>
      <c r="D20" s="1">
        <v>-5.5327937971185337</v>
      </c>
      <c r="E20" s="1">
        <v>-20.196051980134953</v>
      </c>
      <c r="F20" s="1">
        <v>-11.139485452307504</v>
      </c>
      <c r="G20" s="1">
        <v>-16.624777205778173</v>
      </c>
      <c r="H20" s="1">
        <v>-15.987039581633681</v>
      </c>
      <c r="I20" s="1">
        <v>-11.920551356607607</v>
      </c>
      <c r="J20" s="1">
        <v>-19.745103369720912</v>
      </c>
      <c r="K20" s="1">
        <v>-6.4039596149003852</v>
      </c>
      <c r="L20" s="1">
        <v>-22.157571008059715</v>
      </c>
      <c r="M20" s="1">
        <v>-0.45094860781554241</v>
      </c>
      <c r="N20" s="1">
        <v>-23.06003679701298</v>
      </c>
      <c r="O20" s="1">
        <v>5.5327938017110041</v>
      </c>
      <c r="P20" s="1">
        <v>-22.390999184364947</v>
      </c>
      <c r="Q20" s="1">
        <v>11.139485456449783</v>
      </c>
      <c r="R20" s="1">
        <v>-20.196051977850207</v>
      </c>
      <c r="S20" s="1">
        <v>15.987039568418702</v>
      </c>
      <c r="T20" s="1">
        <v>-16.624777218486216</v>
      </c>
      <c r="U20" s="1">
        <v>19.745103372165858</v>
      </c>
      <c r="V20" s="1">
        <v>-11.920551352557819</v>
      </c>
      <c r="W20" s="1">
        <v>22.157571009373189</v>
      </c>
      <c r="X20" s="1">
        <v>-6.4039596103557912</v>
      </c>
      <c r="Y20" s="1">
        <v>23.060036797105472</v>
      </c>
      <c r="Z20" s="1">
        <v>-0.45094860308584894</v>
      </c>
    </row>
    <row r="21" spans="1:26">
      <c r="A21" s="1">
        <v>49.274220590023887</v>
      </c>
      <c r="B21" s="1">
        <v>-0.96357788172681613</v>
      </c>
      <c r="C21" s="1">
        <v>47.844634543024561</v>
      </c>
      <c r="D21" s="1">
        <v>11.822361969289727</v>
      </c>
      <c r="E21" s="1">
        <v>43.154515713940803</v>
      </c>
      <c r="F21" s="1">
        <v>23.802627388246943</v>
      </c>
      <c r="G21" s="1">
        <v>35.523487950674458</v>
      </c>
      <c r="H21" s="1">
        <v>34.160783083922034</v>
      </c>
      <c r="I21" s="1">
        <v>25.471593227406807</v>
      </c>
      <c r="J21" s="1">
        <v>42.190937836767873</v>
      </c>
      <c r="K21" s="1">
        <v>13.683851482680442</v>
      </c>
      <c r="L21" s="1">
        <v>47.345849930996394</v>
      </c>
      <c r="M21" s="1">
        <v>0.96357787162050645</v>
      </c>
      <c r="N21" s="1">
        <v>49.274220590221518</v>
      </c>
      <c r="O21" s="1">
        <v>-11.822361979102824</v>
      </c>
      <c r="P21" s="1">
        <v>47.844634540599749</v>
      </c>
      <c r="Q21" s="1">
        <v>-23.802627397098082</v>
      </c>
      <c r="R21" s="1">
        <v>43.154515709058799</v>
      </c>
      <c r="S21" s="1">
        <v>-34.160783055684533</v>
      </c>
      <c r="T21" s="1">
        <v>35.523487977828751</v>
      </c>
      <c r="U21" s="1">
        <v>-42.190937841992181</v>
      </c>
      <c r="V21" s="1">
        <v>25.471593218753302</v>
      </c>
      <c r="W21" s="1">
        <v>-47.345849933803002</v>
      </c>
      <c r="X21" s="1">
        <v>13.683851472969645</v>
      </c>
      <c r="Y21" s="1">
        <v>-49.274220590419155</v>
      </c>
      <c r="Z21" s="1">
        <v>0.963577861514193</v>
      </c>
    </row>
    <row r="22" spans="1:26">
      <c r="A22" s="1">
        <v>23.060036796920489</v>
      </c>
      <c r="B22" s="1">
        <v>-0.45094861254523416</v>
      </c>
      <c r="C22" s="1">
        <v>22.390999185499744</v>
      </c>
      <c r="D22" s="1">
        <v>5.5327937971185337</v>
      </c>
      <c r="E22" s="1">
        <v>20.196051980134953</v>
      </c>
      <c r="F22" s="1">
        <v>11.139485452307504</v>
      </c>
      <c r="G22" s="1">
        <v>16.624777205778173</v>
      </c>
      <c r="H22" s="1">
        <v>15.987039581633681</v>
      </c>
      <c r="I22" s="1">
        <v>11.920551356607607</v>
      </c>
      <c r="J22" s="1">
        <v>19.745103369720912</v>
      </c>
      <c r="K22" s="1">
        <v>6.4039596149003852</v>
      </c>
      <c r="L22" s="1">
        <v>22.157571008059715</v>
      </c>
      <c r="M22" s="1">
        <v>0.45094860781554241</v>
      </c>
      <c r="N22" s="1">
        <v>23.06003679701298</v>
      </c>
      <c r="O22" s="1">
        <v>-5.5327938017110041</v>
      </c>
      <c r="P22" s="1">
        <v>22.390999184364947</v>
      </c>
      <c r="Q22" s="1">
        <v>-11.139485456449783</v>
      </c>
      <c r="R22" s="1">
        <v>20.196051977850207</v>
      </c>
      <c r="S22" s="1">
        <v>-15.987039568418702</v>
      </c>
      <c r="T22" s="1">
        <v>16.624777218486216</v>
      </c>
      <c r="U22" s="1">
        <v>-19.745103372165858</v>
      </c>
      <c r="V22" s="1">
        <v>11.920551352557819</v>
      </c>
      <c r="W22" s="1">
        <v>-22.157571009373189</v>
      </c>
      <c r="X22" s="1">
        <v>6.4039596103557912</v>
      </c>
      <c r="Y22" s="1">
        <v>-23.060036797105472</v>
      </c>
      <c r="Z22" s="1">
        <v>0.45094860308584894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D6B84-38A6-4D8A-9526-A26937F053BE}">
  <sheetPr codeName="Sheet18"/>
  <dimension ref="A1:Z30"/>
  <sheetViews>
    <sheetView workbookViewId="0"/>
  </sheetViews>
  <sheetFormatPr defaultRowHeight="15"/>
  <cols>
    <col min="1" max="1" width="10.5703125" customWidth="1"/>
    <col min="2" max="2" width="10" customWidth="1"/>
    <col min="5" max="5" width="9.85546875" customWidth="1"/>
    <col min="6" max="6" width="10.28515625" customWidth="1"/>
    <col min="10" max="10" width="9.85546875" customWidth="1"/>
    <col min="12" max="12" width="10.5703125" customWidth="1"/>
    <col min="14" max="14" width="10.42578125" customWidth="1"/>
    <col min="16" max="16" width="11.140625" customWidth="1"/>
    <col min="18" max="18" width="9.85546875" customWidth="1"/>
    <col min="20" max="20" width="10.7109375" customWidth="1"/>
    <col min="22" max="22" width="10.85546875" customWidth="1"/>
  </cols>
  <sheetData>
    <row r="1" spans="1:22" ht="19.5">
      <c r="A1" s="129" t="s">
        <v>19</v>
      </c>
      <c r="B1" s="129" t="s">
        <v>26</v>
      </c>
      <c r="C1" s="129" t="s">
        <v>13</v>
      </c>
      <c r="D1" s="129" t="s">
        <v>2</v>
      </c>
      <c r="E1" s="129" t="s">
        <v>27</v>
      </c>
      <c r="G1" s="174" t="s">
        <v>148</v>
      </c>
      <c r="H1" s="152"/>
      <c r="K1" s="172" t="s">
        <v>25</v>
      </c>
      <c r="L1" s="172" t="s">
        <v>21</v>
      </c>
      <c r="M1" s="172" t="s">
        <v>20</v>
      </c>
      <c r="N1" s="172" t="s">
        <v>23</v>
      </c>
      <c r="O1" s="172" t="s">
        <v>24</v>
      </c>
      <c r="P1" s="172" t="s">
        <v>52</v>
      </c>
      <c r="Q1" s="172" t="s">
        <v>28</v>
      </c>
      <c r="R1" s="172" t="s">
        <v>29</v>
      </c>
    </row>
    <row r="2" spans="1:22">
      <c r="A2" s="127" t="str">
        <f>Enter!B2</f>
        <v>تبریز</v>
      </c>
      <c r="B2" s="127">
        <v>51.3797</v>
      </c>
      <c r="C2" s="127">
        <v>35.7029</v>
      </c>
      <c r="D2" s="127">
        <v>1210</v>
      </c>
      <c r="E2" s="127">
        <v>3.5</v>
      </c>
      <c r="K2">
        <v>0</v>
      </c>
      <c r="L2">
        <v>0</v>
      </c>
      <c r="M2">
        <v>10</v>
      </c>
      <c r="N2">
        <v>10</v>
      </c>
      <c r="O2">
        <v>90</v>
      </c>
      <c r="P2">
        <v>0</v>
      </c>
      <c r="Q2">
        <v>0</v>
      </c>
      <c r="R2">
        <v>0</v>
      </c>
    </row>
    <row r="5" spans="1:22">
      <c r="B5" s="123" t="s">
        <v>53</v>
      </c>
      <c r="D5" s="123" t="s">
        <v>54</v>
      </c>
      <c r="F5" s="123" t="s">
        <v>55</v>
      </c>
      <c r="H5" s="123" t="s">
        <v>56</v>
      </c>
      <c r="J5" s="123" t="s">
        <v>57</v>
      </c>
      <c r="L5" s="123" t="s">
        <v>58</v>
      </c>
      <c r="N5" s="123" t="s">
        <v>59</v>
      </c>
      <c r="P5" s="123" t="s">
        <v>60</v>
      </c>
      <c r="R5" s="123" t="s">
        <v>16</v>
      </c>
      <c r="T5" s="123" t="s">
        <v>17</v>
      </c>
      <c r="V5" s="123" t="s">
        <v>18</v>
      </c>
    </row>
    <row r="6" spans="1:22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  <c r="K6">
        <v>99999</v>
      </c>
      <c r="L6">
        <v>99999</v>
      </c>
      <c r="M6">
        <v>99999</v>
      </c>
      <c r="N6">
        <v>99999</v>
      </c>
      <c r="O6">
        <v>99999</v>
      </c>
      <c r="P6">
        <v>99999</v>
      </c>
      <c r="Q6">
        <v>99999</v>
      </c>
      <c r="R6">
        <v>99999</v>
      </c>
      <c r="S6">
        <v>99999</v>
      </c>
      <c r="T6">
        <v>99999</v>
      </c>
      <c r="U6">
        <v>99999</v>
      </c>
      <c r="V6">
        <v>99999</v>
      </c>
    </row>
    <row r="7" spans="1:22">
      <c r="A7">
        <v>-40.469607230186178</v>
      </c>
      <c r="B7">
        <v>-18.071702375931391</v>
      </c>
      <c r="C7">
        <v>-40.469607230186178</v>
      </c>
      <c r="D7">
        <v>-4.1882333682271131</v>
      </c>
      <c r="E7">
        <v>-40.469607230186178</v>
      </c>
      <c r="F7">
        <v>-8.5253510020094776</v>
      </c>
      <c r="G7">
        <v>-40.469607230186178</v>
      </c>
      <c r="H7">
        <v>-12.179765307023183</v>
      </c>
      <c r="I7">
        <v>-40.469607230186178</v>
      </c>
      <c r="J7">
        <v>-15.344714883378145</v>
      </c>
      <c r="K7">
        <v>-40.469607230186178</v>
      </c>
      <c r="L7">
        <v>8.7957835981724977E-2</v>
      </c>
      <c r="M7">
        <v>-40.469607230186178</v>
      </c>
      <c r="N7">
        <v>4.0465018946513727</v>
      </c>
      <c r="O7">
        <v>-40.469607230186178</v>
      </c>
      <c r="P7">
        <v>8.4360906962682023</v>
      </c>
      <c r="Q7">
        <v>-40.469607230186178</v>
      </c>
      <c r="R7">
        <v>12.196054179295206</v>
      </c>
      <c r="S7">
        <v>-40.469607230186178</v>
      </c>
      <c r="T7">
        <v>15.298299361132798</v>
      </c>
      <c r="U7">
        <v>-40.469607230186178</v>
      </c>
      <c r="V7">
        <v>18.073297175610278</v>
      </c>
    </row>
    <row r="8" spans="1:22">
      <c r="A8">
        <v>-18.130147991666362</v>
      </c>
      <c r="B8">
        <v>-8.9759085585244431</v>
      </c>
      <c r="C8">
        <v>-18.130147991666362</v>
      </c>
      <c r="D8">
        <v>-2.0802245938398984</v>
      </c>
      <c r="E8">
        <v>-18.130147991666362</v>
      </c>
      <c r="F8">
        <v>-4.2343974812952805</v>
      </c>
      <c r="G8">
        <v>-18.130147991666362</v>
      </c>
      <c r="H8">
        <v>-6.0494831856976106</v>
      </c>
      <c r="I8">
        <v>-18.130147991666362</v>
      </c>
      <c r="J8">
        <v>-7.6214600475752228</v>
      </c>
      <c r="K8">
        <v>-18.130147991666362</v>
      </c>
      <c r="L8">
        <v>4.3687167725224602E-2</v>
      </c>
      <c r="M8">
        <v>-18.130147991666362</v>
      </c>
      <c r="N8">
        <v>2.0098289708810402</v>
      </c>
      <c r="O8">
        <v>-18.130147991666362</v>
      </c>
      <c r="P8">
        <v>4.1900633988954574</v>
      </c>
      <c r="Q8">
        <v>-18.130147991666362</v>
      </c>
      <c r="R8">
        <v>6.0575735927325276</v>
      </c>
      <c r="S8">
        <v>-18.130147991666362</v>
      </c>
      <c r="T8">
        <v>7.5984062436388946</v>
      </c>
      <c r="U8">
        <v>-18.130147991666362</v>
      </c>
      <c r="V8">
        <v>8.9767006685199</v>
      </c>
    </row>
    <row r="9" spans="1:22">
      <c r="A9">
        <v>-10.398909141925902</v>
      </c>
      <c r="B9">
        <v>-6.2542537846589861</v>
      </c>
      <c r="C9">
        <v>-10.398909141925902</v>
      </c>
      <c r="D9">
        <v>-1.4494635784371954</v>
      </c>
      <c r="E9">
        <v>-10.398909141925902</v>
      </c>
      <c r="F9">
        <v>-2.9504530154766915</v>
      </c>
      <c r="G9">
        <v>-10.398909141925902</v>
      </c>
      <c r="H9">
        <v>-4.2151725212762088</v>
      </c>
      <c r="I9">
        <v>-10.398909141925902</v>
      </c>
      <c r="J9">
        <v>-5.3104981001511593</v>
      </c>
      <c r="K9">
        <v>-10.398909141925902</v>
      </c>
      <c r="L9">
        <v>3.0440443137873772E-2</v>
      </c>
      <c r="M9">
        <v>-10.398909141925902</v>
      </c>
      <c r="N9">
        <v>1.4004131576978107</v>
      </c>
      <c r="O9">
        <v>-10.398909141925902</v>
      </c>
      <c r="P9">
        <v>2.9195618136746018</v>
      </c>
      <c r="Q9">
        <v>-10.398909141925902</v>
      </c>
      <c r="R9">
        <v>4.2208097733145555</v>
      </c>
      <c r="S9">
        <v>-10.398909141925902</v>
      </c>
      <c r="T9">
        <v>5.2944346187131011</v>
      </c>
      <c r="U9">
        <v>-10.398909141925902</v>
      </c>
      <c r="V9">
        <v>6.2548057128459371</v>
      </c>
    </row>
    <row r="10" spans="1:22">
      <c r="A10">
        <v>-6.0372190174946141</v>
      </c>
      <c r="B10">
        <v>-5.0638885467804338</v>
      </c>
      <c r="C10">
        <v>-6.0372190174946141</v>
      </c>
      <c r="D10">
        <v>-1.1735887711860267</v>
      </c>
      <c r="E10">
        <v>-6.0372190174946141</v>
      </c>
      <c r="F10">
        <v>-2.3888965410284926</v>
      </c>
      <c r="G10">
        <v>-6.0372190174946141</v>
      </c>
      <c r="H10">
        <v>-3.4129033755476303</v>
      </c>
      <c r="I10">
        <v>-6.0372190174946141</v>
      </c>
      <c r="J10">
        <v>-4.2997568427775246</v>
      </c>
      <c r="K10">
        <v>-6.0372190174946141</v>
      </c>
      <c r="L10">
        <v>2.4646747105610923E-2</v>
      </c>
      <c r="M10">
        <v>-6.0372190174946141</v>
      </c>
      <c r="N10">
        <v>1.1338740630291246</v>
      </c>
      <c r="O10">
        <v>-6.0372190174946141</v>
      </c>
      <c r="P10">
        <v>2.3638848276590112</v>
      </c>
      <c r="Q10">
        <v>-6.0372190174946141</v>
      </c>
      <c r="R10">
        <v>3.417467695611252</v>
      </c>
      <c r="S10">
        <v>-6.0372190174946141</v>
      </c>
      <c r="T10">
        <v>4.2867507060781902</v>
      </c>
      <c r="U10">
        <v>-6.0372190174946141</v>
      </c>
      <c r="V10">
        <v>5.0643354270831491</v>
      </c>
    </row>
    <row r="11" spans="1:22">
      <c r="A11">
        <v>-2.8901902706623277</v>
      </c>
      <c r="B11">
        <v>-4.5125434901034795</v>
      </c>
      <c r="C11">
        <v>-2.8901902706623277</v>
      </c>
      <c r="D11">
        <v>-1.045811004833648</v>
      </c>
      <c r="E11">
        <v>-2.8901902706623277</v>
      </c>
      <c r="F11">
        <v>-2.1287987354308289</v>
      </c>
      <c r="G11">
        <v>-2.8901902706623277</v>
      </c>
      <c r="H11">
        <v>-3.0413139561437155</v>
      </c>
      <c r="I11">
        <v>-2.8901902706623277</v>
      </c>
      <c r="J11">
        <v>-3.8316087667924146</v>
      </c>
      <c r="K11">
        <v>-2.8901902706623277</v>
      </c>
      <c r="L11">
        <v>2.1963263443932537E-2</v>
      </c>
      <c r="M11">
        <v>-2.8901902706623277</v>
      </c>
      <c r="N11">
        <v>1.0104203468246502</v>
      </c>
      <c r="O11">
        <v>-2.8901902706623277</v>
      </c>
      <c r="P11">
        <v>2.1065102424477939</v>
      </c>
      <c r="Q11">
        <v>-2.8901902706623277</v>
      </c>
      <c r="R11">
        <v>3.0453813230692655</v>
      </c>
      <c r="S11">
        <v>-2.8901902706623277</v>
      </c>
      <c r="T11">
        <v>3.8200187096748874</v>
      </c>
      <c r="U11">
        <v>-2.8901902706623277</v>
      </c>
      <c r="V11">
        <v>4.5129417150608901</v>
      </c>
    </row>
    <row r="12" spans="1:22">
      <c r="A12">
        <v>-0.19555415795084716</v>
      </c>
      <c r="B12">
        <v>-4.3359428993572555</v>
      </c>
      <c r="C12">
        <v>-0.19555415795084716</v>
      </c>
      <c r="D12">
        <v>-1.0048826810030693</v>
      </c>
      <c r="E12">
        <v>-0.19555415795084716</v>
      </c>
      <c r="F12">
        <v>-2.0454871584717602</v>
      </c>
      <c r="G12">
        <v>-0.19555415795084716</v>
      </c>
      <c r="H12">
        <v>-2.9222906508885678</v>
      </c>
      <c r="I12">
        <v>-0.19555415795084716</v>
      </c>
      <c r="J12">
        <v>-3.6816568886093117</v>
      </c>
      <c r="K12">
        <v>-0.19555415795084716</v>
      </c>
      <c r="L12">
        <v>2.1103720415168399E-2</v>
      </c>
      <c r="M12">
        <v>-0.19555415795084716</v>
      </c>
      <c r="N12">
        <v>0.97087705365914845</v>
      </c>
      <c r="O12">
        <v>-0.19555415795084716</v>
      </c>
      <c r="P12">
        <v>2.0240709365341525</v>
      </c>
      <c r="Q12">
        <v>-0.19555415795084716</v>
      </c>
      <c r="R12">
        <v>2.9261988394253864</v>
      </c>
      <c r="S12">
        <v>-0.19555415795084716</v>
      </c>
      <c r="T12">
        <v>3.6705204140308174</v>
      </c>
      <c r="U12">
        <v>-0.19555415795084716</v>
      </c>
      <c r="V12">
        <v>4.3363255395867002</v>
      </c>
    </row>
    <row r="13" spans="1:22">
      <c r="A13">
        <v>2.4709901314160243</v>
      </c>
      <c r="B13">
        <v>-4.4654998191748305</v>
      </c>
      <c r="C13">
        <v>2.4709901314160243</v>
      </c>
      <c r="D13">
        <v>-1.0349083312366285</v>
      </c>
      <c r="E13">
        <v>2.4709901314160243</v>
      </c>
      <c r="F13">
        <v>-2.106605817533735</v>
      </c>
      <c r="G13">
        <v>2.4709901314160243</v>
      </c>
      <c r="H13">
        <v>-3.0096079851636439</v>
      </c>
      <c r="I13">
        <v>2.4709901314160243</v>
      </c>
      <c r="J13">
        <v>-3.7916639014747457</v>
      </c>
      <c r="K13">
        <v>2.4709901314160243</v>
      </c>
      <c r="L13">
        <v>2.1734294451114723E-2</v>
      </c>
      <c r="M13">
        <v>2.4709901314160243</v>
      </c>
      <c r="N13">
        <v>0.9998866240140275</v>
      </c>
      <c r="O13">
        <v>2.4709901314160243</v>
      </c>
      <c r="P13">
        <v>2.0845496840906557</v>
      </c>
      <c r="Q13">
        <v>2.4709901314160243</v>
      </c>
      <c r="R13">
        <v>3.0136329494239096</v>
      </c>
      <c r="S13">
        <v>2.4709901314160243</v>
      </c>
      <c r="T13">
        <v>3.7801946717429882</v>
      </c>
      <c r="U13">
        <v>2.4709901314160243</v>
      </c>
      <c r="V13">
        <v>4.4658938926013159</v>
      </c>
    </row>
    <row r="14" spans="1:22">
      <c r="A14">
        <v>5.5156747807278812</v>
      </c>
      <c r="B14">
        <v>-4.9508192451962936</v>
      </c>
      <c r="C14">
        <v>5.5156747807278812</v>
      </c>
      <c r="D14">
        <v>-1.1473842326226018</v>
      </c>
      <c r="E14">
        <v>5.5156747807278812</v>
      </c>
      <c r="F14">
        <v>-2.3355559390473148</v>
      </c>
      <c r="G14">
        <v>5.5156747807278812</v>
      </c>
      <c r="H14">
        <v>-3.3366981831381977</v>
      </c>
      <c r="I14">
        <v>5.5156747807278812</v>
      </c>
      <c r="J14">
        <v>-4.2037494961103894</v>
      </c>
      <c r="K14">
        <v>5.5156747807278812</v>
      </c>
      <c r="L14">
        <v>2.4096420917384651E-2</v>
      </c>
      <c r="M14">
        <v>5.5156747807278812</v>
      </c>
      <c r="N14">
        <v>1.1085562964142597</v>
      </c>
      <c r="O14">
        <v>5.5156747807278812</v>
      </c>
      <c r="P14">
        <v>2.311102701034466</v>
      </c>
      <c r="Q14">
        <v>5.5156747807278812</v>
      </c>
      <c r="R14">
        <v>3.3411605885413698</v>
      </c>
      <c r="S14">
        <v>5.5156747807278812</v>
      </c>
      <c r="T14">
        <v>4.1910337676179736</v>
      </c>
      <c r="U14">
        <v>5.5156747807278812</v>
      </c>
      <c r="V14">
        <v>4.9512561473086807</v>
      </c>
    </row>
    <row r="15" spans="1:22">
      <c r="A15">
        <v>9.6163932654938851</v>
      </c>
      <c r="B15">
        <v>-6.0143364025199171</v>
      </c>
      <c r="C15">
        <v>9.6163932654938851</v>
      </c>
      <c r="D15">
        <v>-1.3938611805783849</v>
      </c>
      <c r="E15">
        <v>9.6163932654938851</v>
      </c>
      <c r="F15">
        <v>-2.8372716531639233</v>
      </c>
      <c r="G15">
        <v>9.6163932654938851</v>
      </c>
      <c r="H15">
        <v>-4.0534756680001678</v>
      </c>
      <c r="I15">
        <v>9.6163932654938851</v>
      </c>
      <c r="J15">
        <v>-5.1067838208924652</v>
      </c>
      <c r="K15">
        <v>9.6163932654938851</v>
      </c>
      <c r="L15">
        <v>2.9272727263166893E-2</v>
      </c>
      <c r="M15">
        <v>9.6163932654938851</v>
      </c>
      <c r="N15">
        <v>1.346692366972609</v>
      </c>
      <c r="O15">
        <v>9.6163932654938851</v>
      </c>
      <c r="P15">
        <v>2.8075654586421055</v>
      </c>
      <c r="Q15">
        <v>9.6163932654938851</v>
      </c>
      <c r="R15">
        <v>4.0588966712583945</v>
      </c>
      <c r="S15">
        <v>9.6163932654938851</v>
      </c>
      <c r="T15">
        <v>5.0913365454075628</v>
      </c>
      <c r="U15">
        <v>9.6163932654938851</v>
      </c>
      <c r="V15">
        <v>6.0148671583703592</v>
      </c>
    </row>
    <row r="16" spans="1:22">
      <c r="A16">
        <v>16.563917882815971</v>
      </c>
      <c r="B16">
        <v>-8.3877834046217199</v>
      </c>
      <c r="C16">
        <v>16.563917882815971</v>
      </c>
      <c r="D16">
        <v>-1.9439228031713176</v>
      </c>
      <c r="E16">
        <v>16.563917882815971</v>
      </c>
      <c r="F16">
        <v>-3.9569486131239358</v>
      </c>
      <c r="G16">
        <v>16.563917882815971</v>
      </c>
      <c r="H16">
        <v>-5.6531051247556405</v>
      </c>
      <c r="I16">
        <v>16.563917882815971</v>
      </c>
      <c r="J16">
        <v>-7.1220819251024032</v>
      </c>
      <c r="K16">
        <v>16.563917882815971</v>
      </c>
      <c r="L16">
        <v>4.0824669508532023E-2</v>
      </c>
      <c r="M16">
        <v>16.563917882815971</v>
      </c>
      <c r="N16">
        <v>1.8781396867143707</v>
      </c>
      <c r="O16">
        <v>16.563917882815971</v>
      </c>
      <c r="P16">
        <v>3.9155194164930038</v>
      </c>
      <c r="Q16">
        <v>16.563917882815971</v>
      </c>
      <c r="R16">
        <v>5.6606654270271761</v>
      </c>
      <c r="S16">
        <v>16.563917882815971</v>
      </c>
      <c r="T16">
        <v>7.100538667079026</v>
      </c>
      <c r="U16">
        <v>16.563917882815971</v>
      </c>
      <c r="V16">
        <v>8.3885236134853898</v>
      </c>
    </row>
    <row r="17" spans="1:26">
      <c r="A17">
        <v>34.599798183521273</v>
      </c>
      <c r="B17">
        <v>-15.613309404268774</v>
      </c>
      <c r="C17">
        <v>34.599798183521273</v>
      </c>
      <c r="D17">
        <v>-3.6184849703204818</v>
      </c>
      <c r="E17">
        <v>34.599798183521273</v>
      </c>
      <c r="F17">
        <v>-7.3656006614875738</v>
      </c>
      <c r="G17">
        <v>34.599798183521273</v>
      </c>
      <c r="H17">
        <v>-10.522884908906137</v>
      </c>
      <c r="I17">
        <v>34.599798183521273</v>
      </c>
      <c r="J17">
        <v>-13.257289004136961</v>
      </c>
      <c r="K17">
        <v>34.599798183521273</v>
      </c>
      <c r="L17">
        <v>7.599244825665287E-2</v>
      </c>
      <c r="M17">
        <v>34.599798183521273</v>
      </c>
      <c r="N17">
        <v>3.4960340078584058</v>
      </c>
      <c r="O17">
        <v>34.599798183521273</v>
      </c>
      <c r="P17">
        <v>7.2884829255893608</v>
      </c>
      <c r="Q17">
        <v>34.599798183521273</v>
      </c>
      <c r="R17">
        <v>10.536957916381539</v>
      </c>
      <c r="S17">
        <v>34.599798183521273</v>
      </c>
      <c r="T17">
        <v>13.217187640419146</v>
      </c>
      <c r="U17">
        <v>34.599798183521273</v>
      </c>
      <c r="V17">
        <v>15.614687254584497</v>
      </c>
    </row>
    <row r="18" spans="1:26">
      <c r="A18">
        <v>511.36729639043671</v>
      </c>
      <c r="B18">
        <v>-221.72593977387379</v>
      </c>
      <c r="C18">
        <v>511.36729639043671</v>
      </c>
      <c r="D18">
        <v>-51.386413977205223</v>
      </c>
      <c r="E18">
        <v>511.36729639043671</v>
      </c>
      <c r="F18">
        <v>-104.59952380248656</v>
      </c>
      <c r="G18">
        <v>511.36729639043671</v>
      </c>
      <c r="H18">
        <v>-149.43638694059428</v>
      </c>
      <c r="I18">
        <v>511.36729639043671</v>
      </c>
      <c r="J18">
        <v>-188.26789293578196</v>
      </c>
      <c r="K18">
        <v>511.36729639043671</v>
      </c>
      <c r="L18">
        <v>1.0791752452441046</v>
      </c>
      <c r="M18">
        <v>511.36729639043671</v>
      </c>
      <c r="N18">
        <v>49.647477405520043</v>
      </c>
      <c r="O18">
        <v>511.36729639043671</v>
      </c>
      <c r="P18">
        <v>103.50436825137773</v>
      </c>
      <c r="Q18">
        <v>511.36729639043671</v>
      </c>
      <c r="R18">
        <v>149.63623892117917</v>
      </c>
      <c r="S18">
        <v>511.36729639043671</v>
      </c>
      <c r="T18">
        <v>187.69841004613173</v>
      </c>
      <c r="U18">
        <v>511.36729639043671</v>
      </c>
      <c r="V18">
        <v>221.74550674383585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99999</v>
      </c>
      <c r="B20">
        <v>99999</v>
      </c>
      <c r="C20">
        <v>-40.469607230186178</v>
      </c>
      <c r="D20">
        <v>-18.071702375931391</v>
      </c>
      <c r="E20">
        <v>-18.130147991666362</v>
      </c>
      <c r="F20">
        <v>-8.9759085585244431</v>
      </c>
      <c r="G20">
        <v>-10.398909141925902</v>
      </c>
      <c r="H20">
        <v>-6.2542537846589861</v>
      </c>
      <c r="I20">
        <v>-6.0372190174946141</v>
      </c>
      <c r="J20">
        <v>-5.0638885467804338</v>
      </c>
      <c r="K20">
        <v>-2.8901902706623277</v>
      </c>
      <c r="L20">
        <v>-4.5125434901034795</v>
      </c>
      <c r="M20">
        <v>-0.19555415795084716</v>
      </c>
      <c r="N20">
        <v>-4.3359428993572555</v>
      </c>
      <c r="O20">
        <v>2.4709901314160243</v>
      </c>
      <c r="P20">
        <v>-4.4654998191748305</v>
      </c>
      <c r="Q20">
        <v>5.5156747807278812</v>
      </c>
      <c r="R20">
        <v>-4.9508192451962936</v>
      </c>
      <c r="S20">
        <v>9.6163932654938851</v>
      </c>
      <c r="T20">
        <v>-6.0143364025199171</v>
      </c>
      <c r="U20">
        <v>16.563917882815971</v>
      </c>
      <c r="V20">
        <v>-8.3877834046217199</v>
      </c>
      <c r="W20">
        <v>34.599798183521273</v>
      </c>
      <c r="X20">
        <v>-15.613309404268774</v>
      </c>
      <c r="Y20">
        <v>511.36729639043671</v>
      </c>
      <c r="Z20">
        <v>-221.72593977387379</v>
      </c>
    </row>
    <row r="21" spans="1:26">
      <c r="A21">
        <v>99999</v>
      </c>
      <c r="B21">
        <v>99999</v>
      </c>
      <c r="C21">
        <v>-40.469607230186178</v>
      </c>
      <c r="D21">
        <v>-4.1882333682271131</v>
      </c>
      <c r="E21">
        <v>-18.130147991666362</v>
      </c>
      <c r="F21">
        <v>-2.0802245938398984</v>
      </c>
      <c r="G21">
        <v>-10.398909141925902</v>
      </c>
      <c r="H21">
        <v>-1.4494635784371954</v>
      </c>
      <c r="I21">
        <v>-6.0372190174946141</v>
      </c>
      <c r="J21">
        <v>-1.1735887711860267</v>
      </c>
      <c r="K21">
        <v>-2.8901902706623277</v>
      </c>
      <c r="L21">
        <v>-1.045811004833648</v>
      </c>
      <c r="M21">
        <v>-0.19555415795084716</v>
      </c>
      <c r="N21">
        <v>-1.0048826810030693</v>
      </c>
      <c r="O21">
        <v>2.4709901314160243</v>
      </c>
      <c r="P21">
        <v>-1.0349083312366285</v>
      </c>
      <c r="Q21">
        <v>5.5156747807278812</v>
      </c>
      <c r="R21">
        <v>-1.1473842326226018</v>
      </c>
      <c r="S21">
        <v>9.6163932654938851</v>
      </c>
      <c r="T21">
        <v>-1.3938611805783849</v>
      </c>
      <c r="U21">
        <v>16.563917882815971</v>
      </c>
      <c r="V21">
        <v>-1.9439228031713176</v>
      </c>
      <c r="W21">
        <v>34.599798183521273</v>
      </c>
      <c r="X21">
        <v>-3.6184849703204818</v>
      </c>
      <c r="Y21">
        <v>511.36729639043671</v>
      </c>
      <c r="Z21">
        <v>-51.386413977205223</v>
      </c>
    </row>
    <row r="22" spans="1:26">
      <c r="A22">
        <v>99999</v>
      </c>
      <c r="B22">
        <v>99999</v>
      </c>
      <c r="C22">
        <v>-40.469607230186178</v>
      </c>
      <c r="D22">
        <v>-8.5253510020094776</v>
      </c>
      <c r="E22">
        <v>-18.130147991666362</v>
      </c>
      <c r="F22">
        <v>-4.2343974812952805</v>
      </c>
      <c r="G22">
        <v>-10.398909141925902</v>
      </c>
      <c r="H22">
        <v>-2.9504530154766915</v>
      </c>
      <c r="I22">
        <v>-6.0372190174946141</v>
      </c>
      <c r="J22">
        <v>-2.3888965410284926</v>
      </c>
      <c r="K22">
        <v>-2.8901902706623277</v>
      </c>
      <c r="L22">
        <v>-2.1287987354308289</v>
      </c>
      <c r="M22">
        <v>-0.19555415795084716</v>
      </c>
      <c r="N22">
        <v>-2.0454871584717602</v>
      </c>
      <c r="O22">
        <v>2.4709901314160243</v>
      </c>
      <c r="P22">
        <v>-2.106605817533735</v>
      </c>
      <c r="Q22">
        <v>5.5156747807278812</v>
      </c>
      <c r="R22">
        <v>-2.3355559390473148</v>
      </c>
      <c r="S22">
        <v>9.6163932654938851</v>
      </c>
      <c r="T22">
        <v>-2.8372716531639233</v>
      </c>
      <c r="U22">
        <v>16.563917882815971</v>
      </c>
      <c r="V22">
        <v>-3.9569486131239358</v>
      </c>
      <c r="W22">
        <v>34.599798183521273</v>
      </c>
      <c r="X22">
        <v>-7.3656006614875738</v>
      </c>
      <c r="Y22">
        <v>511.36729639043671</v>
      </c>
      <c r="Z22">
        <v>-104.59952380248656</v>
      </c>
    </row>
    <row r="23" spans="1:26">
      <c r="A23">
        <v>99999</v>
      </c>
      <c r="B23">
        <v>99999</v>
      </c>
      <c r="C23">
        <v>-40.469607230186178</v>
      </c>
      <c r="D23">
        <v>-12.179765307023183</v>
      </c>
      <c r="E23">
        <v>-18.130147991666362</v>
      </c>
      <c r="F23">
        <v>-6.0494831856976106</v>
      </c>
      <c r="G23">
        <v>-10.398909141925902</v>
      </c>
      <c r="H23">
        <v>-4.2151725212762088</v>
      </c>
      <c r="I23">
        <v>-6.0372190174946141</v>
      </c>
      <c r="J23">
        <v>-3.4129033755476303</v>
      </c>
      <c r="K23">
        <v>-2.8901902706623277</v>
      </c>
      <c r="L23">
        <v>-3.0413139561437155</v>
      </c>
      <c r="M23">
        <v>-0.19555415795084716</v>
      </c>
      <c r="N23">
        <v>-2.9222906508885678</v>
      </c>
      <c r="O23">
        <v>2.4709901314160243</v>
      </c>
      <c r="P23">
        <v>-3.0096079851636439</v>
      </c>
      <c r="Q23">
        <v>5.5156747807278812</v>
      </c>
      <c r="R23">
        <v>-3.3366981831381977</v>
      </c>
      <c r="S23">
        <v>9.6163932654938851</v>
      </c>
      <c r="T23">
        <v>-4.0534756680001678</v>
      </c>
      <c r="U23">
        <v>16.563917882815971</v>
      </c>
      <c r="V23">
        <v>-5.6531051247556405</v>
      </c>
      <c r="W23">
        <v>34.599798183521273</v>
      </c>
      <c r="X23">
        <v>-10.522884908906137</v>
      </c>
      <c r="Y23">
        <v>511.36729639043671</v>
      </c>
      <c r="Z23">
        <v>-149.43638694059428</v>
      </c>
    </row>
    <row r="24" spans="1:26">
      <c r="A24">
        <v>99999</v>
      </c>
      <c r="B24">
        <v>99999</v>
      </c>
      <c r="C24">
        <v>-40.469607230186178</v>
      </c>
      <c r="D24">
        <v>-15.344714883378145</v>
      </c>
      <c r="E24">
        <v>-18.130147991666362</v>
      </c>
      <c r="F24">
        <v>-7.6214600475752228</v>
      </c>
      <c r="G24">
        <v>-10.398909141925902</v>
      </c>
      <c r="H24">
        <v>-5.3104981001511593</v>
      </c>
      <c r="I24">
        <v>-6.0372190174946141</v>
      </c>
      <c r="J24">
        <v>-4.2997568427775246</v>
      </c>
      <c r="K24">
        <v>-2.8901902706623277</v>
      </c>
      <c r="L24">
        <v>-3.8316087667924146</v>
      </c>
      <c r="M24">
        <v>-0.19555415795084716</v>
      </c>
      <c r="N24">
        <v>-3.6816568886093117</v>
      </c>
      <c r="O24">
        <v>2.4709901314160243</v>
      </c>
      <c r="P24">
        <v>-3.7916639014747457</v>
      </c>
      <c r="Q24">
        <v>5.5156747807278812</v>
      </c>
      <c r="R24">
        <v>-4.2037494961103894</v>
      </c>
      <c r="S24">
        <v>9.6163932654938851</v>
      </c>
      <c r="T24">
        <v>-5.1067838208924652</v>
      </c>
      <c r="U24">
        <v>16.563917882815971</v>
      </c>
      <c r="V24">
        <v>-7.1220819251024032</v>
      </c>
      <c r="W24">
        <v>34.599798183521273</v>
      </c>
      <c r="X24">
        <v>-13.257289004136961</v>
      </c>
      <c r="Y24">
        <v>511.36729639043671</v>
      </c>
      <c r="Z24">
        <v>-188.26789293578196</v>
      </c>
    </row>
    <row r="25" spans="1:26">
      <c r="A25">
        <v>99999</v>
      </c>
      <c r="B25">
        <v>99999</v>
      </c>
      <c r="C25">
        <v>-40.469607230186178</v>
      </c>
      <c r="D25">
        <v>8.7957835981724977E-2</v>
      </c>
      <c r="E25">
        <v>-18.130147991666362</v>
      </c>
      <c r="F25">
        <v>4.3687167725224602E-2</v>
      </c>
      <c r="G25">
        <v>-10.398909141925902</v>
      </c>
      <c r="H25">
        <v>3.0440443137873772E-2</v>
      </c>
      <c r="I25">
        <v>-6.0372190174946141</v>
      </c>
      <c r="J25">
        <v>2.4646747105610923E-2</v>
      </c>
      <c r="K25">
        <v>-2.8901902706623277</v>
      </c>
      <c r="L25">
        <v>2.1963263443932537E-2</v>
      </c>
      <c r="M25">
        <v>-0.19555415795084716</v>
      </c>
      <c r="N25">
        <v>2.1103720415168399E-2</v>
      </c>
      <c r="O25">
        <v>2.4709901314160243</v>
      </c>
      <c r="P25">
        <v>2.1734294451114723E-2</v>
      </c>
      <c r="Q25">
        <v>5.5156747807278812</v>
      </c>
      <c r="R25">
        <v>2.4096420917384651E-2</v>
      </c>
      <c r="S25">
        <v>9.6163932654938851</v>
      </c>
      <c r="T25">
        <v>2.9272727263166893E-2</v>
      </c>
      <c r="U25">
        <v>16.563917882815971</v>
      </c>
      <c r="V25">
        <v>4.0824669508532023E-2</v>
      </c>
      <c r="W25">
        <v>34.599798183521273</v>
      </c>
      <c r="X25">
        <v>7.599244825665287E-2</v>
      </c>
      <c r="Y25">
        <v>511.36729639043671</v>
      </c>
      <c r="Z25">
        <v>1.0791752452441046</v>
      </c>
    </row>
    <row r="26" spans="1:26">
      <c r="A26">
        <v>99999</v>
      </c>
      <c r="B26">
        <v>99999</v>
      </c>
      <c r="C26">
        <v>-40.469607230186178</v>
      </c>
      <c r="D26">
        <v>4.0465018946513727</v>
      </c>
      <c r="E26">
        <v>-18.130147991666362</v>
      </c>
      <c r="F26">
        <v>2.0098289708810402</v>
      </c>
      <c r="G26">
        <v>-10.398909141925902</v>
      </c>
      <c r="H26">
        <v>1.4004131576978107</v>
      </c>
      <c r="I26">
        <v>-6.0372190174946141</v>
      </c>
      <c r="J26">
        <v>1.1338740630291246</v>
      </c>
      <c r="K26">
        <v>-2.8901902706623277</v>
      </c>
      <c r="L26">
        <v>1.0104203468246502</v>
      </c>
      <c r="M26">
        <v>-0.19555415795084716</v>
      </c>
      <c r="N26">
        <v>0.97087705365914845</v>
      </c>
      <c r="O26">
        <v>2.4709901314160243</v>
      </c>
      <c r="P26">
        <v>0.9998866240140275</v>
      </c>
      <c r="Q26">
        <v>5.5156747807278812</v>
      </c>
      <c r="R26">
        <v>1.1085562964142597</v>
      </c>
      <c r="S26">
        <v>9.6163932654938851</v>
      </c>
      <c r="T26">
        <v>1.346692366972609</v>
      </c>
      <c r="U26">
        <v>16.563917882815971</v>
      </c>
      <c r="V26">
        <v>1.8781396867143707</v>
      </c>
      <c r="W26">
        <v>34.599798183521273</v>
      </c>
      <c r="X26">
        <v>3.4960340078584058</v>
      </c>
      <c r="Y26">
        <v>511.36729639043671</v>
      </c>
      <c r="Z26">
        <v>49.647477405520043</v>
      </c>
    </row>
    <row r="27" spans="1:26">
      <c r="A27">
        <v>99999</v>
      </c>
      <c r="B27">
        <v>99999</v>
      </c>
      <c r="C27">
        <v>-40.469607230186178</v>
      </c>
      <c r="D27">
        <v>8.4360906962682023</v>
      </c>
      <c r="E27">
        <v>-18.130147991666362</v>
      </c>
      <c r="F27">
        <v>4.1900633988954574</v>
      </c>
      <c r="G27">
        <v>-10.398909141925902</v>
      </c>
      <c r="H27">
        <v>2.9195618136746018</v>
      </c>
      <c r="I27">
        <v>-6.0372190174946141</v>
      </c>
      <c r="J27">
        <v>2.3638848276590112</v>
      </c>
      <c r="K27">
        <v>-2.8901902706623277</v>
      </c>
      <c r="L27">
        <v>2.1065102424477939</v>
      </c>
      <c r="M27">
        <v>-0.19555415795084716</v>
      </c>
      <c r="N27">
        <v>2.0240709365341525</v>
      </c>
      <c r="O27">
        <v>2.4709901314160243</v>
      </c>
      <c r="P27">
        <v>2.0845496840906557</v>
      </c>
      <c r="Q27">
        <v>5.5156747807278812</v>
      </c>
      <c r="R27">
        <v>2.311102701034466</v>
      </c>
      <c r="S27">
        <v>9.6163932654938851</v>
      </c>
      <c r="T27">
        <v>2.8075654586421055</v>
      </c>
      <c r="U27">
        <v>16.563917882815971</v>
      </c>
      <c r="V27">
        <v>3.9155194164930038</v>
      </c>
      <c r="W27">
        <v>34.599798183521273</v>
      </c>
      <c r="X27">
        <v>7.2884829255893608</v>
      </c>
      <c r="Y27">
        <v>511.36729639043671</v>
      </c>
      <c r="Z27">
        <v>103.50436825137773</v>
      </c>
    </row>
    <row r="28" spans="1:26">
      <c r="A28">
        <v>99999</v>
      </c>
      <c r="B28">
        <v>99999</v>
      </c>
      <c r="C28">
        <v>-40.469607230186178</v>
      </c>
      <c r="D28">
        <v>12.196054179295206</v>
      </c>
      <c r="E28">
        <v>-18.130147991666362</v>
      </c>
      <c r="F28">
        <v>6.0575735927325276</v>
      </c>
      <c r="G28">
        <v>-10.398909141925902</v>
      </c>
      <c r="H28">
        <v>4.2208097733145555</v>
      </c>
      <c r="I28">
        <v>-6.0372190174946141</v>
      </c>
      <c r="J28">
        <v>3.417467695611252</v>
      </c>
      <c r="K28">
        <v>-2.8901902706623277</v>
      </c>
      <c r="L28">
        <v>3.0453813230692655</v>
      </c>
      <c r="M28">
        <v>-0.19555415795084716</v>
      </c>
      <c r="N28">
        <v>2.9261988394253864</v>
      </c>
      <c r="O28">
        <v>2.4709901314160243</v>
      </c>
      <c r="P28">
        <v>3.0136329494239096</v>
      </c>
      <c r="Q28">
        <v>5.5156747807278812</v>
      </c>
      <c r="R28">
        <v>3.3411605885413698</v>
      </c>
      <c r="S28">
        <v>9.6163932654938851</v>
      </c>
      <c r="T28">
        <v>4.0588966712583945</v>
      </c>
      <c r="U28">
        <v>16.563917882815971</v>
      </c>
      <c r="V28">
        <v>5.6606654270271761</v>
      </c>
      <c r="W28">
        <v>34.599798183521273</v>
      </c>
      <c r="X28">
        <v>10.536957916381539</v>
      </c>
      <c r="Y28">
        <v>511.36729639043671</v>
      </c>
      <c r="Z28">
        <v>149.63623892117917</v>
      </c>
    </row>
    <row r="29" spans="1:26">
      <c r="A29">
        <v>99999</v>
      </c>
      <c r="B29">
        <v>99999</v>
      </c>
      <c r="C29">
        <v>-40.469607230186178</v>
      </c>
      <c r="D29">
        <v>15.298299361132798</v>
      </c>
      <c r="E29">
        <v>-18.130147991666362</v>
      </c>
      <c r="F29">
        <v>7.5984062436388946</v>
      </c>
      <c r="G29">
        <v>-10.398909141925902</v>
      </c>
      <c r="H29">
        <v>5.2944346187131011</v>
      </c>
      <c r="I29">
        <v>-6.0372190174946141</v>
      </c>
      <c r="J29">
        <v>4.2867507060781902</v>
      </c>
      <c r="K29">
        <v>-2.8901902706623277</v>
      </c>
      <c r="L29">
        <v>3.8200187096748874</v>
      </c>
      <c r="M29">
        <v>-0.19555415795084716</v>
      </c>
      <c r="N29">
        <v>3.6705204140308174</v>
      </c>
      <c r="O29">
        <v>2.4709901314160243</v>
      </c>
      <c r="P29">
        <v>3.7801946717429882</v>
      </c>
      <c r="Q29">
        <v>5.5156747807278812</v>
      </c>
      <c r="R29">
        <v>4.1910337676179736</v>
      </c>
      <c r="S29">
        <v>9.6163932654938851</v>
      </c>
      <c r="T29">
        <v>5.0913365454075628</v>
      </c>
      <c r="U29">
        <v>16.563917882815971</v>
      </c>
      <c r="V29">
        <v>7.100538667079026</v>
      </c>
      <c r="W29">
        <v>34.599798183521273</v>
      </c>
      <c r="X29">
        <v>13.217187640419146</v>
      </c>
      <c r="Y29">
        <v>511.36729639043671</v>
      </c>
      <c r="Z29">
        <v>187.69841004613173</v>
      </c>
    </row>
    <row r="30" spans="1:26">
      <c r="A30">
        <v>99999</v>
      </c>
      <c r="B30">
        <v>99999</v>
      </c>
      <c r="C30">
        <v>-40.469607230186178</v>
      </c>
      <c r="D30">
        <v>18.073297175610278</v>
      </c>
      <c r="E30">
        <v>-18.130147991666362</v>
      </c>
      <c r="F30">
        <v>8.9767006685199</v>
      </c>
      <c r="G30">
        <v>-10.398909141925902</v>
      </c>
      <c r="H30">
        <v>6.2548057128459371</v>
      </c>
      <c r="I30">
        <v>-6.0372190174946141</v>
      </c>
      <c r="J30">
        <v>5.0643354270831491</v>
      </c>
      <c r="K30">
        <v>-2.8901902706623277</v>
      </c>
      <c r="L30">
        <v>4.5129417150608901</v>
      </c>
      <c r="M30">
        <v>-0.19555415795084716</v>
      </c>
      <c r="N30">
        <v>4.3363255395867002</v>
      </c>
      <c r="O30">
        <v>2.4709901314160243</v>
      </c>
      <c r="P30">
        <v>4.4658938926013159</v>
      </c>
      <c r="Q30">
        <v>5.5156747807278812</v>
      </c>
      <c r="R30">
        <v>4.9512561473086807</v>
      </c>
      <c r="S30">
        <v>9.6163932654938851</v>
      </c>
      <c r="T30">
        <v>6.0148671583703592</v>
      </c>
      <c r="U30">
        <v>16.563917882815971</v>
      </c>
      <c r="V30">
        <v>8.3885236134853898</v>
      </c>
      <c r="W30">
        <v>34.599798183521273</v>
      </c>
      <c r="X30">
        <v>15.614687254584497</v>
      </c>
      <c r="Y30">
        <v>511.36729639043671</v>
      </c>
      <c r="Z30">
        <v>221.74550674383585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F0779-9D3F-4AAB-A818-F5D0CDDAA628}">
  <sheetPr codeName="Sheet7"/>
  <dimension ref="A1:Z30"/>
  <sheetViews>
    <sheetView zoomScaleNormal="100" workbookViewId="0"/>
  </sheetViews>
  <sheetFormatPr defaultRowHeight="15"/>
  <cols>
    <col min="2" max="2" width="9.7109375" customWidth="1"/>
    <col min="4" max="4" width="10" customWidth="1"/>
    <col min="5" max="5" width="10.85546875" customWidth="1"/>
    <col min="6" max="6" width="9.5703125" customWidth="1"/>
    <col min="10" max="10" width="9.5703125" customWidth="1"/>
    <col min="11" max="11" width="10" customWidth="1"/>
    <col min="12" max="12" width="10.42578125" customWidth="1"/>
    <col min="13" max="13" width="11.5703125" customWidth="1"/>
    <col min="14" max="14" width="12.140625" customWidth="1"/>
    <col min="15" max="15" width="13.140625" customWidth="1"/>
    <col min="16" max="16" width="11" customWidth="1"/>
    <col min="17" max="17" width="10" customWidth="1"/>
    <col min="18" max="18" width="9.7109375" customWidth="1"/>
    <col min="20" max="20" width="10.5703125" customWidth="1"/>
    <col min="22" max="22" width="10.85546875" customWidth="1"/>
  </cols>
  <sheetData>
    <row r="1" spans="1:24" s="33" customFormat="1" ht="19.5">
      <c r="A1" s="129" t="s">
        <v>19</v>
      </c>
      <c r="B1" s="129" t="s">
        <v>26</v>
      </c>
      <c r="C1" s="129" t="s">
        <v>13</v>
      </c>
      <c r="D1" s="129" t="s">
        <v>2</v>
      </c>
      <c r="E1" s="129" t="s">
        <v>27</v>
      </c>
      <c r="G1" s="174" t="s">
        <v>146</v>
      </c>
      <c r="K1" s="172" t="s">
        <v>25</v>
      </c>
      <c r="L1" s="172" t="s">
        <v>21</v>
      </c>
      <c r="M1" s="172" t="s">
        <v>20</v>
      </c>
      <c r="N1" s="172" t="s">
        <v>23</v>
      </c>
      <c r="O1" s="172" t="s">
        <v>24</v>
      </c>
      <c r="P1" s="172" t="s">
        <v>52</v>
      </c>
      <c r="Q1" s="172" t="s">
        <v>28</v>
      </c>
      <c r="R1" s="172" t="s">
        <v>29</v>
      </c>
    </row>
    <row r="2" spans="1:24" s="2" customFormat="1">
      <c r="A2" s="11" t="str">
        <f>Enter!B2</f>
        <v>تبریز</v>
      </c>
      <c r="B2" s="2">
        <v>51.3797</v>
      </c>
      <c r="C2" s="2">
        <v>35.7029</v>
      </c>
      <c r="D2" s="2">
        <v>1210</v>
      </c>
      <c r="E2" s="2">
        <v>3.5</v>
      </c>
      <c r="K2" s="2">
        <v>0</v>
      </c>
      <c r="L2" s="2">
        <v>0</v>
      </c>
      <c r="M2" s="2">
        <v>10</v>
      </c>
      <c r="N2" s="2">
        <v>17.135543286149552</v>
      </c>
      <c r="O2" s="2">
        <v>35.7029</v>
      </c>
      <c r="P2" s="2">
        <v>90</v>
      </c>
      <c r="Q2" s="2">
        <v>0</v>
      </c>
      <c r="R2" s="2">
        <v>-13.914986299364614</v>
      </c>
    </row>
    <row r="4" spans="1:24" ht="15.75" thickBot="1"/>
    <row r="5" spans="1:24" s="48" customFormat="1">
      <c r="A5" s="61"/>
      <c r="B5" s="124" t="s">
        <v>53</v>
      </c>
      <c r="C5" s="62"/>
      <c r="D5" s="124" t="s">
        <v>54</v>
      </c>
      <c r="E5" s="62"/>
      <c r="F5" s="124" t="s">
        <v>55</v>
      </c>
      <c r="G5" s="62"/>
      <c r="H5" s="124" t="s">
        <v>56</v>
      </c>
      <c r="I5" s="62"/>
      <c r="J5" s="124" t="s">
        <v>57</v>
      </c>
      <c r="K5" s="62"/>
      <c r="L5" s="124" t="s">
        <v>58</v>
      </c>
      <c r="M5" s="62"/>
      <c r="N5" s="124" t="s">
        <v>59</v>
      </c>
      <c r="O5" s="62"/>
      <c r="P5" s="124" t="s">
        <v>60</v>
      </c>
      <c r="Q5" s="62"/>
      <c r="R5" s="124" t="s">
        <v>16</v>
      </c>
      <c r="S5" s="62"/>
      <c r="T5" s="124" t="s">
        <v>17</v>
      </c>
      <c r="U5" s="62"/>
      <c r="V5" s="124" t="s">
        <v>18</v>
      </c>
      <c r="W5" s="62"/>
      <c r="X5" s="124"/>
    </row>
    <row r="6" spans="1:24">
      <c r="A6" s="52">
        <v>-42.165998991636251</v>
      </c>
      <c r="B6" s="38">
        <v>-15.327938048894277</v>
      </c>
      <c r="C6" s="39">
        <v>-233.84634783447333</v>
      </c>
      <c r="D6" s="38">
        <v>-21.751006177830657</v>
      </c>
      <c r="E6" s="39">
        <v>-96.626797818227828</v>
      </c>
      <c r="F6" s="38">
        <v>-17.152879537843198</v>
      </c>
      <c r="G6" s="39">
        <v>-64.658101375588217</v>
      </c>
      <c r="H6" s="38">
        <v>-16.081631929603919</v>
      </c>
      <c r="I6" s="39">
        <v>-50.257587476254457</v>
      </c>
      <c r="J6" s="38">
        <v>-15.599081253827784</v>
      </c>
      <c r="K6" s="39">
        <v>99999</v>
      </c>
      <c r="L6" s="38">
        <v>99999</v>
      </c>
      <c r="M6" s="39">
        <v>99999</v>
      </c>
      <c r="N6" s="38">
        <v>99999</v>
      </c>
      <c r="O6" s="39">
        <v>99999</v>
      </c>
      <c r="P6" s="38">
        <v>99999</v>
      </c>
      <c r="Q6" s="39">
        <v>99999</v>
      </c>
      <c r="R6" s="38">
        <v>99999</v>
      </c>
      <c r="S6" s="39">
        <v>99999</v>
      </c>
      <c r="T6" s="38">
        <v>99999</v>
      </c>
      <c r="U6" s="39">
        <v>99999</v>
      </c>
      <c r="V6" s="38">
        <v>99999</v>
      </c>
      <c r="W6" s="39"/>
      <c r="X6" s="38"/>
    </row>
    <row r="7" spans="1:24">
      <c r="A7" s="52">
        <v>-21.679915464394615</v>
      </c>
      <c r="B7" s="38">
        <v>-4.7353288896159418</v>
      </c>
      <c r="C7" s="39">
        <v>-38.306374180929225</v>
      </c>
      <c r="D7" s="38">
        <v>2.3046060771867167</v>
      </c>
      <c r="E7" s="39">
        <v>-30.902775531090732</v>
      </c>
      <c r="F7" s="38">
        <v>-0.83020777005412949</v>
      </c>
      <c r="G7" s="39">
        <v>-26.575026155702901</v>
      </c>
      <c r="H7" s="38">
        <v>-2.662652951243099</v>
      </c>
      <c r="I7" s="39">
        <v>-23.70047124320363</v>
      </c>
      <c r="J7" s="38">
        <v>-3.8797900450472702</v>
      </c>
      <c r="K7" s="39">
        <v>-50.153126414890117</v>
      </c>
      <c r="L7" s="38">
        <v>7.3207292767691481</v>
      </c>
      <c r="M7" s="39">
        <v>-70.271044471136989</v>
      </c>
      <c r="N7" s="38">
        <v>15.839009519007167</v>
      </c>
      <c r="O7" s="39">
        <v>-126.57089251242718</v>
      </c>
      <c r="P7" s="38">
        <v>39.67735511074747</v>
      </c>
      <c r="Q7" s="39">
        <v>-403.42995419640209</v>
      </c>
      <c r="R7" s="38">
        <v>156.90434989388106</v>
      </c>
      <c r="S7" s="39">
        <v>99999</v>
      </c>
      <c r="T7" s="38">
        <v>99999</v>
      </c>
      <c r="U7" s="39">
        <v>99999</v>
      </c>
      <c r="V7" s="38">
        <v>99999</v>
      </c>
      <c r="W7" s="39"/>
      <c r="X7" s="38"/>
    </row>
    <row r="8" spans="1:24">
      <c r="A8" s="52">
        <v>-13.571768933639035</v>
      </c>
      <c r="B8" s="38">
        <v>-1.0877532211300112</v>
      </c>
      <c r="C8" s="39">
        <v>-19.422684562882683</v>
      </c>
      <c r="D8" s="38">
        <v>4.4421860862930727</v>
      </c>
      <c r="E8" s="39">
        <v>-17.117382025198463</v>
      </c>
      <c r="F8" s="38">
        <v>2.2633505114088535</v>
      </c>
      <c r="G8" s="39">
        <v>-15.561141553395402</v>
      </c>
      <c r="H8" s="38">
        <v>0.79248408602187459</v>
      </c>
      <c r="I8" s="39">
        <v>-14.425310967779048</v>
      </c>
      <c r="J8" s="38">
        <v>-0.28103578676172947</v>
      </c>
      <c r="K8" s="39">
        <v>-22.396599824372725</v>
      </c>
      <c r="L8" s="38">
        <v>7.2529548519990801</v>
      </c>
      <c r="M8" s="39">
        <v>-26.095407823986143</v>
      </c>
      <c r="N8" s="38">
        <v>10.748849348484466</v>
      </c>
      <c r="O8" s="39">
        <v>-31.945747938064237</v>
      </c>
      <c r="P8" s="38">
        <v>16.278244713021049</v>
      </c>
      <c r="Q8" s="39">
        <v>-39.538452070014571</v>
      </c>
      <c r="R8" s="38">
        <v>23.454419467455772</v>
      </c>
      <c r="S8" s="39">
        <v>-49.183249947712874</v>
      </c>
      <c r="T8" s="38">
        <v>32.570111826692418</v>
      </c>
      <c r="U8" s="39">
        <v>-62.910483297085996</v>
      </c>
      <c r="V8" s="38">
        <v>45.544280673266691</v>
      </c>
      <c r="W8" s="39"/>
      <c r="X8" s="38"/>
    </row>
    <row r="9" spans="1:24">
      <c r="A9" s="52">
        <v>-8.8347878744006643</v>
      </c>
      <c r="B9" s="38">
        <v>0.64316475086219871</v>
      </c>
      <c r="C9" s="39">
        <v>-11.597613917023715</v>
      </c>
      <c r="D9" s="38">
        <v>5.1958081675254739</v>
      </c>
      <c r="E9" s="39">
        <v>-10.565450113914464</v>
      </c>
      <c r="F9" s="38">
        <v>3.4949867366249183</v>
      </c>
      <c r="G9" s="39">
        <v>-9.828427841864281</v>
      </c>
      <c r="H9" s="38">
        <v>2.2805057874016987</v>
      </c>
      <c r="I9" s="39">
        <v>-9.2684768834586873</v>
      </c>
      <c r="J9" s="38">
        <v>1.3578067085920749</v>
      </c>
      <c r="K9" s="39">
        <v>-12.833762052814645</v>
      </c>
      <c r="L9" s="38">
        <v>7.2327593130583798</v>
      </c>
      <c r="M9" s="39">
        <v>-14.238676438505713</v>
      </c>
      <c r="N9" s="38">
        <v>9.5478070686237277</v>
      </c>
      <c r="O9" s="39">
        <v>-16.205918922194776</v>
      </c>
      <c r="P9" s="38">
        <v>12.789471004093325</v>
      </c>
      <c r="Q9" s="39">
        <v>-18.381237153189367</v>
      </c>
      <c r="R9" s="38">
        <v>16.374006574086255</v>
      </c>
      <c r="S9" s="39">
        <v>-20.670481928685618</v>
      </c>
      <c r="T9" s="38">
        <v>20.146272723133762</v>
      </c>
      <c r="U9" s="39">
        <v>-23.261978711547584</v>
      </c>
      <c r="V9" s="38">
        <v>24.41659614769484</v>
      </c>
      <c r="W9" s="39"/>
      <c r="X9" s="38"/>
    </row>
    <row r="10" spans="1:24">
      <c r="A10" s="52">
        <v>-5.4508514672700414</v>
      </c>
      <c r="B10" s="38">
        <v>1.5562598146349114</v>
      </c>
      <c r="C10" s="39">
        <v>-6.8562490041989683</v>
      </c>
      <c r="D10" s="38">
        <v>5.5452239814985296</v>
      </c>
      <c r="E10" s="39">
        <v>-6.3451773307609152</v>
      </c>
      <c r="F10" s="38">
        <v>4.0946404003587267</v>
      </c>
      <c r="G10" s="39">
        <v>-5.9702035125502455</v>
      </c>
      <c r="H10" s="38">
        <v>3.030345718568606</v>
      </c>
      <c r="I10" s="39">
        <v>-5.6795216377713844</v>
      </c>
      <c r="J10" s="38">
        <v>2.2052983195363045</v>
      </c>
      <c r="K10" s="39">
        <v>-7.4476961065663678</v>
      </c>
      <c r="L10" s="38">
        <v>7.2239385344600562</v>
      </c>
      <c r="M10" s="39">
        <v>-8.0940551877905236</v>
      </c>
      <c r="N10" s="38">
        <v>9.0585107079421245</v>
      </c>
      <c r="O10" s="39">
        <v>-8.9559448556180783</v>
      </c>
      <c r="P10" s="38">
        <v>11.504827077804931</v>
      </c>
      <c r="Q10" s="39">
        <v>-9.8548077604983284</v>
      </c>
      <c r="R10" s="38">
        <v>14.056085226673867</v>
      </c>
      <c r="S10" s="39">
        <v>-10.744546786368474</v>
      </c>
      <c r="T10" s="38">
        <v>16.581446911746777</v>
      </c>
      <c r="U10" s="39">
        <v>-11.688522041495604</v>
      </c>
      <c r="V10" s="38">
        <v>19.260748225548987</v>
      </c>
      <c r="W10" s="39"/>
      <c r="X10" s="38"/>
    </row>
    <row r="11" spans="1:24">
      <c r="A11" s="52">
        <v>-2.6875539507442641</v>
      </c>
      <c r="B11" s="38">
        <v>2.0191539281183868</v>
      </c>
      <c r="C11" s="39">
        <v>-3.3103169223638247</v>
      </c>
      <c r="D11" s="38">
        <v>5.7114305112627228</v>
      </c>
      <c r="E11" s="39">
        <v>-3.0868638778650923</v>
      </c>
      <c r="F11" s="38">
        <v>4.3866079363280752</v>
      </c>
      <c r="G11" s="39">
        <v>-2.9207421278149508</v>
      </c>
      <c r="H11" s="38">
        <v>3.4016947741566526</v>
      </c>
      <c r="I11" s="39">
        <v>-2.7906750733602603</v>
      </c>
      <c r="J11" s="38">
        <v>2.6305449767422515</v>
      </c>
      <c r="K11" s="39">
        <v>-3.5647375204154481</v>
      </c>
      <c r="L11" s="38">
        <v>7.2198554807380306</v>
      </c>
      <c r="M11" s="39">
        <v>-3.8377873901597401</v>
      </c>
      <c r="N11" s="38">
        <v>8.8387308571362038</v>
      </c>
      <c r="O11" s="39">
        <v>-4.1940196388960214</v>
      </c>
      <c r="P11" s="38">
        <v>10.9507831950413</v>
      </c>
      <c r="Q11" s="39">
        <v>-4.5562815388551519</v>
      </c>
      <c r="R11" s="38">
        <v>13.098584511336616</v>
      </c>
      <c r="S11" s="39">
        <v>-4.9059078246792822</v>
      </c>
      <c r="T11" s="38">
        <v>15.171470997575517</v>
      </c>
      <c r="U11" s="39">
        <v>-5.2674692237497194</v>
      </c>
      <c r="V11" s="38">
        <v>17.315119139797126</v>
      </c>
      <c r="W11" s="39"/>
      <c r="X11" s="38"/>
    </row>
    <row r="12" spans="1:24">
      <c r="A12" s="52">
        <v>-0.18360307586903224</v>
      </c>
      <c r="B12" s="38">
        <v>2.1733366848737927</v>
      </c>
      <c r="C12" s="39">
        <v>-0.22459491720487534</v>
      </c>
      <c r="D12" s="38">
        <v>5.7652698810263745</v>
      </c>
      <c r="E12" s="39">
        <v>-0.20995158741409442</v>
      </c>
      <c r="F12" s="38">
        <v>4.482139856522581</v>
      </c>
      <c r="G12" s="39">
        <v>-0.19901832987921955</v>
      </c>
      <c r="H12" s="38">
        <v>3.5241070040860749</v>
      </c>
      <c r="I12" s="39">
        <v>-0.19042988498189198</v>
      </c>
      <c r="J12" s="38">
        <v>2.7715396803278254</v>
      </c>
      <c r="K12" s="39">
        <v>-0.24118000992971111</v>
      </c>
      <c r="L12" s="38">
        <v>7.2185479768194618</v>
      </c>
      <c r="M12" s="39">
        <v>-0.25887658043870587</v>
      </c>
      <c r="N12" s="38">
        <v>8.7692199397725439</v>
      </c>
      <c r="O12" s="39">
        <v>-0.28180561681801652</v>
      </c>
      <c r="P12" s="38">
        <v>10.77838967313169</v>
      </c>
      <c r="Q12" s="39">
        <v>-0.30494053602996879</v>
      </c>
      <c r="R12" s="38">
        <v>12.805600005717016</v>
      </c>
      <c r="S12" s="39">
        <v>-0.32709628553212594</v>
      </c>
      <c r="T12" s="38">
        <v>14.74701004071472</v>
      </c>
      <c r="U12" s="39">
        <v>-0.34983248936263195</v>
      </c>
      <c r="V12" s="38">
        <v>16.73928271332279</v>
      </c>
      <c r="W12" s="39"/>
      <c r="X12" s="38"/>
    </row>
    <row r="13" spans="1:24">
      <c r="A13" s="52">
        <v>2.3036255996417698</v>
      </c>
      <c r="B13" s="38">
        <v>2.0599363342287762</v>
      </c>
      <c r="C13" s="39">
        <v>2.8322446012333384</v>
      </c>
      <c r="D13" s="38">
        <v>5.7257436834724658</v>
      </c>
      <c r="E13" s="39">
        <v>2.6427934282429275</v>
      </c>
      <c r="F13" s="38">
        <v>4.4119590859076636</v>
      </c>
      <c r="G13" s="39">
        <v>2.5017886777489657</v>
      </c>
      <c r="H13" s="38">
        <v>3.4341352674623109</v>
      </c>
      <c r="I13" s="39">
        <v>2.3912912875254348</v>
      </c>
      <c r="J13" s="38">
        <v>2.6678704454750126</v>
      </c>
      <c r="K13" s="39">
        <v>3.0476491998815702</v>
      </c>
      <c r="L13" s="38">
        <v>7.2195071660717414</v>
      </c>
      <c r="M13" s="39">
        <v>3.2784693437047179</v>
      </c>
      <c r="N13" s="38">
        <v>8.8201726302960868</v>
      </c>
      <c r="O13" s="39">
        <v>3.5790528898875413</v>
      </c>
      <c r="P13" s="38">
        <v>10.904625458024896</v>
      </c>
      <c r="Q13" s="39">
        <v>3.8840827370078745</v>
      </c>
      <c r="R13" s="38">
        <v>13.01991199132349</v>
      </c>
      <c r="S13" s="39">
        <v>4.1778617570319172</v>
      </c>
      <c r="T13" s="38">
        <v>15.057177559559396</v>
      </c>
      <c r="U13" s="39">
        <v>4.4810397161764488</v>
      </c>
      <c r="V13" s="38">
        <v>17.159621829278308</v>
      </c>
      <c r="W13" s="39"/>
      <c r="X13" s="38"/>
    </row>
    <row r="14" spans="1:24">
      <c r="A14" s="52">
        <v>5.0098090820582453</v>
      </c>
      <c r="B14" s="38">
        <v>1.6489843467845924</v>
      </c>
      <c r="C14" s="39">
        <v>6.2748478904280782</v>
      </c>
      <c r="D14" s="38">
        <v>5.579079597364192</v>
      </c>
      <c r="E14" s="39">
        <v>5.8160572472517291</v>
      </c>
      <c r="F14" s="38">
        <v>4.1537550019225327</v>
      </c>
      <c r="G14" s="39">
        <v>5.4785423448559545</v>
      </c>
      <c r="H14" s="38">
        <v>3.1051976721953962</v>
      </c>
      <c r="I14" s="39">
        <v>5.2163729867450304</v>
      </c>
      <c r="J14" s="38">
        <v>2.2907162963339029</v>
      </c>
      <c r="K14" s="39">
        <v>6.8040337792996128</v>
      </c>
      <c r="L14" s="38">
        <v>7.223101057233702</v>
      </c>
      <c r="M14" s="39">
        <v>7.3802054074173533</v>
      </c>
      <c r="N14" s="38">
        <v>9.0130930829346632</v>
      </c>
      <c r="O14" s="39">
        <v>8.1450389567064452</v>
      </c>
      <c r="P14" s="38">
        <v>11.389200977536296</v>
      </c>
      <c r="Q14" s="39">
        <v>8.9384945943210052</v>
      </c>
      <c r="R14" s="38">
        <v>13.854229095490238</v>
      </c>
      <c r="S14" s="39">
        <v>9.7197187716535645</v>
      </c>
      <c r="T14" s="38">
        <v>16.281257743669901</v>
      </c>
      <c r="U14" s="39">
        <v>10.544057256766944</v>
      </c>
      <c r="V14" s="38">
        <v>18.842229584042837</v>
      </c>
      <c r="W14" s="39"/>
      <c r="X14" s="38"/>
    </row>
    <row r="15" spans="1:24">
      <c r="A15" s="52">
        <v>8.2683252974736341</v>
      </c>
      <c r="B15" s="38">
        <v>0.81842175989368382</v>
      </c>
      <c r="C15" s="39">
        <v>10.763849027393995</v>
      </c>
      <c r="D15" s="38">
        <v>5.2652194016982712</v>
      </c>
      <c r="E15" s="39">
        <v>9.8364127107197348</v>
      </c>
      <c r="F15" s="38">
        <v>3.6126117440493317</v>
      </c>
      <c r="G15" s="39">
        <v>9.1706303720815399</v>
      </c>
      <c r="H15" s="38">
        <v>2.4262478165438401</v>
      </c>
      <c r="I15" s="39">
        <v>8.6628174988837703</v>
      </c>
      <c r="J15" s="38">
        <v>1.5213711928757843</v>
      </c>
      <c r="K15" s="39">
        <v>11.867025932940194</v>
      </c>
      <c r="L15" s="38">
        <v>7.2309808982770543</v>
      </c>
      <c r="M15" s="39">
        <v>13.110938043294635</v>
      </c>
      <c r="N15" s="38">
        <v>9.4475198045662054</v>
      </c>
      <c r="O15" s="39">
        <v>14.835318245382052</v>
      </c>
      <c r="P15" s="38">
        <v>12.520209406464538</v>
      </c>
      <c r="Q15" s="39">
        <v>16.718813370731208</v>
      </c>
      <c r="R15" s="38">
        <v>15.876427414465754</v>
      </c>
      <c r="S15" s="39">
        <v>18.67505257488369</v>
      </c>
      <c r="T15" s="38">
        <v>19.362268793384857</v>
      </c>
      <c r="U15" s="39">
        <v>20.858182024425663</v>
      </c>
      <c r="V15" s="38">
        <v>23.252408074203153</v>
      </c>
      <c r="W15" s="39"/>
      <c r="X15" s="38"/>
    </row>
    <row r="16" spans="1:24">
      <c r="A16" s="52">
        <v>12.726299721352028</v>
      </c>
      <c r="B16" s="38">
        <v>-0.74949844253475673</v>
      </c>
      <c r="C16" s="39">
        <v>17.897304917639847</v>
      </c>
      <c r="D16" s="38">
        <v>4.5999595782526717</v>
      </c>
      <c r="E16" s="39">
        <v>15.88142152816838</v>
      </c>
      <c r="F16" s="38">
        <v>2.5145074935164442</v>
      </c>
      <c r="G16" s="39">
        <v>14.50482449807852</v>
      </c>
      <c r="H16" s="38">
        <v>1.090403717853472</v>
      </c>
      <c r="I16" s="39">
        <v>13.491981336976945</v>
      </c>
      <c r="J16" s="38">
        <v>4.2607058154863216E-2</v>
      </c>
      <c r="K16" s="39">
        <v>20.457577145305599</v>
      </c>
      <c r="L16" s="38">
        <v>7.2485875110805162</v>
      </c>
      <c r="M16" s="39">
        <v>23.580239991670567</v>
      </c>
      <c r="N16" s="38">
        <v>10.479014318946403</v>
      </c>
      <c r="O16" s="39">
        <v>28.384686423173587</v>
      </c>
      <c r="P16" s="38">
        <v>15.449263530240525</v>
      </c>
      <c r="Q16" s="39">
        <v>34.385836976657885</v>
      </c>
      <c r="R16" s="38">
        <v>21.657515454902224</v>
      </c>
      <c r="S16" s="39">
        <v>41.651465707136346</v>
      </c>
      <c r="T16" s="38">
        <v>29.173883049393073</v>
      </c>
      <c r="U16" s="39">
        <v>51.358662493902983</v>
      </c>
      <c r="V16" s="38">
        <v>39.216077891434452</v>
      </c>
      <c r="W16" s="39"/>
      <c r="X16" s="38"/>
    </row>
    <row r="17" spans="1:26">
      <c r="A17" s="52">
        <v>20.078583112834856</v>
      </c>
      <c r="B17" s="38">
        <v>-3.9710719380838579</v>
      </c>
      <c r="C17" s="39">
        <v>33.814544213549546</v>
      </c>
      <c r="D17" s="38">
        <v>2.831660111673107</v>
      </c>
      <c r="E17" s="39">
        <v>27.860431695631437</v>
      </c>
      <c r="F17" s="38">
        <v>-0.11711294880048427</v>
      </c>
      <c r="G17" s="39">
        <v>24.260965057591058</v>
      </c>
      <c r="H17" s="38">
        <v>-1.8997480975964565</v>
      </c>
      <c r="I17" s="39">
        <v>21.819532330049835</v>
      </c>
      <c r="J17" s="38">
        <v>-3.1088671786126443</v>
      </c>
      <c r="K17" s="39">
        <v>42.841722877006724</v>
      </c>
      <c r="L17" s="38">
        <v>7.3023685799423736</v>
      </c>
      <c r="M17" s="39">
        <v>56.904602581691748</v>
      </c>
      <c r="N17" s="38">
        <v>14.26700700440326</v>
      </c>
      <c r="O17" s="39">
        <v>89.471974286189464</v>
      </c>
      <c r="P17" s="38">
        <v>30.395991474154531</v>
      </c>
      <c r="Q17" s="39">
        <v>175.51253934172098</v>
      </c>
      <c r="R17" s="38">
        <v>73.007564497028724</v>
      </c>
      <c r="S17" s="39">
        <v>849.65244897683158</v>
      </c>
      <c r="T17" s="38">
        <v>406.87522294987775</v>
      </c>
      <c r="U17" s="39">
        <v>99999</v>
      </c>
      <c r="V17" s="38">
        <v>99999</v>
      </c>
      <c r="W17" s="39"/>
      <c r="X17" s="38"/>
    </row>
    <row r="18" spans="1:26" ht="15.75" thickBot="1">
      <c r="A18" s="52">
        <v>37.186055022106594</v>
      </c>
      <c r="B18" s="38">
        <v>-12.668908851764344</v>
      </c>
      <c r="C18" s="39">
        <v>134.18634830658607</v>
      </c>
      <c r="D18" s="38">
        <v>-9.4185001219179991</v>
      </c>
      <c r="E18" s="39">
        <v>73.936570592825035</v>
      </c>
      <c r="F18" s="38">
        <v>-11.437426011943584</v>
      </c>
      <c r="G18" s="39">
        <v>53.642380034036385</v>
      </c>
      <c r="H18" s="38">
        <v>-12.117469462575158</v>
      </c>
      <c r="I18" s="39">
        <v>43.339754956345239</v>
      </c>
      <c r="J18" s="38">
        <v>-12.462702877433497</v>
      </c>
      <c r="K18" s="39">
        <v>682.66480438777319</v>
      </c>
      <c r="L18" s="38">
        <v>8.9606109241739631</v>
      </c>
      <c r="M18" s="39">
        <v>99999</v>
      </c>
      <c r="N18" s="38">
        <v>99999</v>
      </c>
      <c r="O18" s="39">
        <v>99999</v>
      </c>
      <c r="P18" s="38">
        <v>99999</v>
      </c>
      <c r="Q18" s="39">
        <v>99999</v>
      </c>
      <c r="R18" s="38">
        <v>99999</v>
      </c>
      <c r="S18" s="39">
        <v>99999</v>
      </c>
      <c r="T18" s="38">
        <v>99999</v>
      </c>
      <c r="U18" s="39">
        <v>99999</v>
      </c>
      <c r="V18" s="38">
        <v>99999</v>
      </c>
      <c r="W18" s="39"/>
      <c r="X18" s="38"/>
    </row>
    <row r="19" spans="1:26" s="9" customFormat="1">
      <c r="A19" s="59"/>
      <c r="B19" s="47">
        <v>6</v>
      </c>
      <c r="C19" s="60"/>
      <c r="D19" s="47">
        <v>7</v>
      </c>
      <c r="E19" s="60"/>
      <c r="F19" s="47">
        <v>8</v>
      </c>
      <c r="G19" s="60"/>
      <c r="H19" s="47">
        <v>9</v>
      </c>
      <c r="I19" s="60"/>
      <c r="J19" s="63">
        <v>10</v>
      </c>
      <c r="K19" s="60"/>
      <c r="L19" s="47">
        <v>11</v>
      </c>
      <c r="M19" s="60"/>
      <c r="N19" s="47">
        <v>12</v>
      </c>
      <c r="O19" s="60"/>
      <c r="P19" s="47">
        <v>13</v>
      </c>
      <c r="Q19" s="60"/>
      <c r="R19" s="47">
        <v>14</v>
      </c>
      <c r="S19" s="60"/>
      <c r="T19" s="47">
        <v>15</v>
      </c>
      <c r="U19" s="60"/>
      <c r="V19" s="47">
        <v>16</v>
      </c>
      <c r="W19" s="60"/>
      <c r="X19" s="47">
        <v>17</v>
      </c>
      <c r="Y19" s="46"/>
      <c r="Z19" s="36">
        <v>18</v>
      </c>
    </row>
    <row r="20" spans="1:26">
      <c r="A20" s="52">
        <v>-42.165998991636251</v>
      </c>
      <c r="B20" s="38">
        <v>-15.327938048894277</v>
      </c>
      <c r="C20" s="39">
        <v>-21.679915464394615</v>
      </c>
      <c r="D20" s="38">
        <v>-4.7353288896159418</v>
      </c>
      <c r="E20" s="39">
        <v>-13.571768933639035</v>
      </c>
      <c r="F20" s="38">
        <v>-1.0877532211300112</v>
      </c>
      <c r="G20" s="39">
        <v>-8.8347878744006643</v>
      </c>
      <c r="H20" s="38">
        <v>0.64316475086219871</v>
      </c>
      <c r="I20" s="39">
        <v>-5.4508514672700414</v>
      </c>
      <c r="J20" s="38">
        <v>1.5562598146349114</v>
      </c>
      <c r="K20" s="39">
        <v>-2.6875539507442641</v>
      </c>
      <c r="L20" s="38">
        <v>2.0191539281183868</v>
      </c>
      <c r="M20" s="39">
        <v>-0.18360307586903224</v>
      </c>
      <c r="N20" s="38">
        <v>2.1733366848737927</v>
      </c>
      <c r="O20" s="39">
        <v>2.3036255996417698</v>
      </c>
      <c r="P20" s="38">
        <v>2.0599363342287762</v>
      </c>
      <c r="Q20" s="39">
        <v>5.0098090820582453</v>
      </c>
      <c r="R20" s="38">
        <v>1.6489843467845924</v>
      </c>
      <c r="S20" s="39">
        <v>8.2683252974736341</v>
      </c>
      <c r="T20" s="38">
        <v>0.81842175989368382</v>
      </c>
      <c r="U20" s="39">
        <v>12.726299721352028</v>
      </c>
      <c r="V20" s="38">
        <v>-0.74949844253475673</v>
      </c>
      <c r="W20" s="39">
        <v>20.078583112834856</v>
      </c>
      <c r="X20" s="38">
        <v>-3.9710719380838579</v>
      </c>
      <c r="Y20">
        <v>37.186055022106594</v>
      </c>
      <c r="Z20" s="53">
        <v>-12.668908851764344</v>
      </c>
    </row>
    <row r="21" spans="1:26">
      <c r="A21" s="52">
        <v>-233.84634783447333</v>
      </c>
      <c r="B21" s="38">
        <v>-21.751006177830657</v>
      </c>
      <c r="C21" s="39">
        <v>-38.306374180929225</v>
      </c>
      <c r="D21" s="38">
        <v>2.3046060771867167</v>
      </c>
      <c r="E21" s="39">
        <v>-19.422684562882683</v>
      </c>
      <c r="F21" s="38">
        <v>4.4421860862930727</v>
      </c>
      <c r="G21" s="39">
        <v>-11.597613917023715</v>
      </c>
      <c r="H21" s="38">
        <v>5.1958081675254739</v>
      </c>
      <c r="I21" s="39">
        <v>-6.8562490041989683</v>
      </c>
      <c r="J21" s="38">
        <v>5.5452239814985296</v>
      </c>
      <c r="K21" s="39">
        <v>-3.3103169223638247</v>
      </c>
      <c r="L21" s="38">
        <v>5.7114305112627228</v>
      </c>
      <c r="M21" s="39">
        <v>-0.22459491720487534</v>
      </c>
      <c r="N21" s="38">
        <v>5.7652698810263745</v>
      </c>
      <c r="O21" s="39">
        <v>2.8322446012333384</v>
      </c>
      <c r="P21" s="38">
        <v>5.7257436834724658</v>
      </c>
      <c r="Q21" s="39">
        <v>6.2748478904280782</v>
      </c>
      <c r="R21" s="38">
        <v>5.579079597364192</v>
      </c>
      <c r="S21" s="39">
        <v>10.763849027393995</v>
      </c>
      <c r="T21" s="38">
        <v>5.2652194016982712</v>
      </c>
      <c r="U21" s="39">
        <v>17.897304917639847</v>
      </c>
      <c r="V21" s="38">
        <v>4.5999595782526717</v>
      </c>
      <c r="W21" s="39">
        <v>33.814544213549546</v>
      </c>
      <c r="X21" s="38">
        <v>2.831660111673107</v>
      </c>
      <c r="Y21">
        <v>134.18634830658607</v>
      </c>
      <c r="Z21" s="53">
        <v>-9.4185001219179991</v>
      </c>
    </row>
    <row r="22" spans="1:26">
      <c r="A22" s="52">
        <v>-96.626797818227828</v>
      </c>
      <c r="B22" s="38">
        <v>-17.152879537843198</v>
      </c>
      <c r="C22" s="39">
        <v>-30.902775531090732</v>
      </c>
      <c r="D22" s="38">
        <v>-0.83020777005412949</v>
      </c>
      <c r="E22" s="39">
        <v>-17.117382025198463</v>
      </c>
      <c r="F22" s="38">
        <v>2.2633505114088535</v>
      </c>
      <c r="G22" s="39">
        <v>-10.565450113914464</v>
      </c>
      <c r="H22" s="38">
        <v>3.4949867366249183</v>
      </c>
      <c r="I22" s="39">
        <v>-6.3451773307609152</v>
      </c>
      <c r="J22" s="38">
        <v>4.0946404003587267</v>
      </c>
      <c r="K22" s="39">
        <v>-3.0868638778650923</v>
      </c>
      <c r="L22" s="38">
        <v>4.3866079363280752</v>
      </c>
      <c r="M22" s="39">
        <v>-0.20995158741409442</v>
      </c>
      <c r="N22" s="38">
        <v>4.482139856522581</v>
      </c>
      <c r="O22" s="39">
        <v>2.6427934282429275</v>
      </c>
      <c r="P22" s="38">
        <v>4.4119590859076636</v>
      </c>
      <c r="Q22" s="39">
        <v>5.8160572472517291</v>
      </c>
      <c r="R22" s="38">
        <v>4.1537550019225327</v>
      </c>
      <c r="S22" s="39">
        <v>9.8364127107197348</v>
      </c>
      <c r="T22" s="38">
        <v>3.6126117440493317</v>
      </c>
      <c r="U22" s="39">
        <v>15.88142152816838</v>
      </c>
      <c r="V22" s="38">
        <v>2.5145074935164442</v>
      </c>
      <c r="W22" s="39">
        <v>27.860431695631437</v>
      </c>
      <c r="X22" s="38">
        <v>-0.11711294880048427</v>
      </c>
      <c r="Y22">
        <v>73.936570592825035</v>
      </c>
      <c r="Z22" s="53">
        <v>-11.437426011943584</v>
      </c>
    </row>
    <row r="23" spans="1:26">
      <c r="A23" s="52">
        <v>-64.658101375588217</v>
      </c>
      <c r="B23" s="38">
        <v>-16.081631929603919</v>
      </c>
      <c r="C23" s="39">
        <v>-26.575026155702901</v>
      </c>
      <c r="D23" s="38">
        <v>-2.662652951243099</v>
      </c>
      <c r="E23" s="39">
        <v>-15.561141553395402</v>
      </c>
      <c r="F23" s="38">
        <v>0.79248408602187459</v>
      </c>
      <c r="G23" s="39">
        <v>-9.828427841864281</v>
      </c>
      <c r="H23" s="38">
        <v>2.2805057874016987</v>
      </c>
      <c r="I23" s="39">
        <v>-5.9702035125502455</v>
      </c>
      <c r="J23" s="38">
        <v>3.030345718568606</v>
      </c>
      <c r="K23" s="39">
        <v>-2.9207421278149508</v>
      </c>
      <c r="L23" s="38">
        <v>3.4016947741566526</v>
      </c>
      <c r="M23" s="39">
        <v>-0.19901832987921955</v>
      </c>
      <c r="N23" s="38">
        <v>3.5241070040860749</v>
      </c>
      <c r="O23" s="39">
        <v>2.5017886777489657</v>
      </c>
      <c r="P23" s="38">
        <v>3.4341352674623109</v>
      </c>
      <c r="Q23" s="39">
        <v>5.4785423448559545</v>
      </c>
      <c r="R23" s="38">
        <v>3.1051976721953962</v>
      </c>
      <c r="S23" s="39">
        <v>9.1706303720815399</v>
      </c>
      <c r="T23" s="38">
        <v>2.4262478165438401</v>
      </c>
      <c r="U23" s="39">
        <v>14.50482449807852</v>
      </c>
      <c r="V23" s="38">
        <v>1.090403717853472</v>
      </c>
      <c r="W23" s="39">
        <v>24.260965057591058</v>
      </c>
      <c r="X23" s="38">
        <v>-1.8997480975964565</v>
      </c>
      <c r="Y23">
        <v>53.642380034036385</v>
      </c>
      <c r="Z23" s="53">
        <v>-12.117469462575158</v>
      </c>
    </row>
    <row r="24" spans="1:26">
      <c r="A24" s="52">
        <v>-50.257587476254457</v>
      </c>
      <c r="B24" s="38">
        <v>-15.599081253827784</v>
      </c>
      <c r="C24" s="39">
        <v>-23.70047124320363</v>
      </c>
      <c r="D24" s="38">
        <v>-3.8797900450472702</v>
      </c>
      <c r="E24" s="39">
        <v>-14.425310967779048</v>
      </c>
      <c r="F24" s="38">
        <v>-0.28103578676172947</v>
      </c>
      <c r="G24" s="39">
        <v>-9.2684768834586873</v>
      </c>
      <c r="H24" s="38">
        <v>1.3578067085920749</v>
      </c>
      <c r="I24" s="39">
        <v>-5.6795216377713844</v>
      </c>
      <c r="J24" s="38">
        <v>2.2052983195363045</v>
      </c>
      <c r="K24" s="39">
        <v>-2.7906750733602603</v>
      </c>
      <c r="L24" s="38">
        <v>2.6305449767422515</v>
      </c>
      <c r="M24" s="39">
        <v>-0.19042988498189198</v>
      </c>
      <c r="N24" s="38">
        <v>2.7715396803278254</v>
      </c>
      <c r="O24" s="39">
        <v>2.3912912875254348</v>
      </c>
      <c r="P24" s="38">
        <v>2.6678704454750126</v>
      </c>
      <c r="Q24" s="39">
        <v>5.2163729867450304</v>
      </c>
      <c r="R24" s="38">
        <v>2.2907162963339029</v>
      </c>
      <c r="S24" s="39">
        <v>8.6628174988837703</v>
      </c>
      <c r="T24" s="38">
        <v>1.5213711928757843</v>
      </c>
      <c r="U24" s="39">
        <v>13.491981336976945</v>
      </c>
      <c r="V24" s="38">
        <v>4.2607058154863216E-2</v>
      </c>
      <c r="W24" s="39">
        <v>21.819532330049835</v>
      </c>
      <c r="X24" s="38">
        <v>-3.1088671786126443</v>
      </c>
      <c r="Y24">
        <v>43.339754956345239</v>
      </c>
      <c r="Z24" s="53">
        <v>-12.462702877433497</v>
      </c>
    </row>
    <row r="25" spans="1:26">
      <c r="A25" s="52">
        <v>99999</v>
      </c>
      <c r="B25" s="38">
        <v>99999</v>
      </c>
      <c r="C25" s="39">
        <v>-50.153126414890117</v>
      </c>
      <c r="D25" s="38">
        <v>7.3207292767691481</v>
      </c>
      <c r="E25" s="39">
        <v>-22.396599824372725</v>
      </c>
      <c r="F25" s="38">
        <v>7.2529548519990801</v>
      </c>
      <c r="G25" s="39">
        <v>-12.833762052814645</v>
      </c>
      <c r="H25" s="38">
        <v>7.2327593130583798</v>
      </c>
      <c r="I25" s="39">
        <v>-7.4476961065663678</v>
      </c>
      <c r="J25" s="38">
        <v>7.2239385344600562</v>
      </c>
      <c r="K25" s="39">
        <v>-3.5647375204154481</v>
      </c>
      <c r="L25" s="38">
        <v>7.2198554807380306</v>
      </c>
      <c r="M25" s="39">
        <v>-0.24118000992971111</v>
      </c>
      <c r="N25" s="38">
        <v>7.2185479768194618</v>
      </c>
      <c r="O25" s="39">
        <v>3.0476491998815702</v>
      </c>
      <c r="P25" s="38">
        <v>7.2195071660717414</v>
      </c>
      <c r="Q25" s="39">
        <v>6.8040337792996128</v>
      </c>
      <c r="R25" s="38">
        <v>7.223101057233702</v>
      </c>
      <c r="S25" s="39">
        <v>11.867025932940194</v>
      </c>
      <c r="T25" s="38">
        <v>7.2309808982770543</v>
      </c>
      <c r="U25" s="39">
        <v>20.457577145305599</v>
      </c>
      <c r="V25" s="38">
        <v>7.2485875110805162</v>
      </c>
      <c r="W25" s="39">
        <v>42.841722877006724</v>
      </c>
      <c r="X25" s="38">
        <v>7.3023685799423736</v>
      </c>
      <c r="Y25">
        <v>682.66480438777319</v>
      </c>
      <c r="Z25" s="53">
        <v>8.9606109241739631</v>
      </c>
    </row>
    <row r="26" spans="1:26">
      <c r="A26" s="52">
        <v>99999</v>
      </c>
      <c r="B26" s="38">
        <v>99999</v>
      </c>
      <c r="C26" s="39">
        <v>-70.271044471136989</v>
      </c>
      <c r="D26" s="38">
        <v>15.839009519007167</v>
      </c>
      <c r="E26" s="39">
        <v>-26.095407823986143</v>
      </c>
      <c r="F26" s="38">
        <v>10.748849348484466</v>
      </c>
      <c r="G26" s="39">
        <v>-14.238676438505713</v>
      </c>
      <c r="H26" s="38">
        <v>9.5478070686237277</v>
      </c>
      <c r="I26" s="39">
        <v>-8.0940551877905236</v>
      </c>
      <c r="J26" s="38">
        <v>9.0585107079421245</v>
      </c>
      <c r="K26" s="39">
        <v>-3.8377873901597401</v>
      </c>
      <c r="L26" s="38">
        <v>8.8387308571362038</v>
      </c>
      <c r="M26" s="39">
        <v>-0.25887658043870587</v>
      </c>
      <c r="N26" s="38">
        <v>8.7692199397725439</v>
      </c>
      <c r="O26" s="39">
        <v>3.2784693437047179</v>
      </c>
      <c r="P26" s="38">
        <v>8.8201726302960868</v>
      </c>
      <c r="Q26" s="39">
        <v>7.3802054074173533</v>
      </c>
      <c r="R26" s="38">
        <v>9.0130930829346632</v>
      </c>
      <c r="S26" s="39">
        <v>13.110938043294635</v>
      </c>
      <c r="T26" s="38">
        <v>9.4475198045662054</v>
      </c>
      <c r="U26" s="39">
        <v>23.580239991670567</v>
      </c>
      <c r="V26" s="38">
        <v>10.479014318946403</v>
      </c>
      <c r="W26" s="39">
        <v>56.904602581691748</v>
      </c>
      <c r="X26" s="38">
        <v>14.26700700440326</v>
      </c>
      <c r="Y26">
        <v>99999</v>
      </c>
      <c r="Z26" s="53">
        <v>99999</v>
      </c>
    </row>
    <row r="27" spans="1:26">
      <c r="A27" s="52">
        <v>99999</v>
      </c>
      <c r="B27" s="38">
        <v>99999</v>
      </c>
      <c r="C27" s="39">
        <v>-126.57089251242718</v>
      </c>
      <c r="D27" s="38">
        <v>39.67735511074747</v>
      </c>
      <c r="E27" s="39">
        <v>-31.945747938064237</v>
      </c>
      <c r="F27" s="38">
        <v>16.278244713021049</v>
      </c>
      <c r="G27" s="39">
        <v>-16.205918922194776</v>
      </c>
      <c r="H27" s="38">
        <v>12.789471004093325</v>
      </c>
      <c r="I27" s="39">
        <v>-8.9559448556180783</v>
      </c>
      <c r="J27" s="38">
        <v>11.504827077804931</v>
      </c>
      <c r="K27" s="39">
        <v>-4.1940196388960214</v>
      </c>
      <c r="L27" s="38">
        <v>10.9507831950413</v>
      </c>
      <c r="M27" s="39">
        <v>-0.28180561681801652</v>
      </c>
      <c r="N27" s="38">
        <v>10.77838967313169</v>
      </c>
      <c r="O27" s="39">
        <v>3.5790528898875413</v>
      </c>
      <c r="P27" s="38">
        <v>10.904625458024896</v>
      </c>
      <c r="Q27" s="39">
        <v>8.1450389567064452</v>
      </c>
      <c r="R27" s="38">
        <v>11.389200977536296</v>
      </c>
      <c r="S27" s="39">
        <v>14.835318245382052</v>
      </c>
      <c r="T27" s="38">
        <v>12.520209406464538</v>
      </c>
      <c r="U27" s="39">
        <v>28.384686423173587</v>
      </c>
      <c r="V27" s="38">
        <v>15.449263530240525</v>
      </c>
      <c r="W27" s="39">
        <v>89.471974286189464</v>
      </c>
      <c r="X27" s="38">
        <v>30.395991474154531</v>
      </c>
      <c r="Y27">
        <v>99999</v>
      </c>
      <c r="Z27" s="53">
        <v>99999</v>
      </c>
    </row>
    <row r="28" spans="1:26">
      <c r="A28" s="52">
        <v>99999</v>
      </c>
      <c r="B28" s="38">
        <v>99999</v>
      </c>
      <c r="C28" s="39">
        <v>-403.42995419640209</v>
      </c>
      <c r="D28" s="38">
        <v>156.90434989388106</v>
      </c>
      <c r="E28" s="39">
        <v>-39.538452070014571</v>
      </c>
      <c r="F28" s="38">
        <v>23.454419467455772</v>
      </c>
      <c r="G28" s="39">
        <v>-18.381237153189367</v>
      </c>
      <c r="H28" s="38">
        <v>16.374006574086255</v>
      </c>
      <c r="I28" s="39">
        <v>-9.8548077604983284</v>
      </c>
      <c r="J28" s="38">
        <v>14.056085226673867</v>
      </c>
      <c r="K28" s="39">
        <v>-4.5562815388551519</v>
      </c>
      <c r="L28" s="38">
        <v>13.098584511336616</v>
      </c>
      <c r="M28" s="39">
        <v>-0.30494053602996879</v>
      </c>
      <c r="N28" s="38">
        <v>12.805600005717016</v>
      </c>
      <c r="O28" s="39">
        <v>3.8840827370078745</v>
      </c>
      <c r="P28" s="38">
        <v>13.01991199132349</v>
      </c>
      <c r="Q28" s="39">
        <v>8.9384945943210052</v>
      </c>
      <c r="R28" s="38">
        <v>13.854229095490238</v>
      </c>
      <c r="S28" s="39">
        <v>16.718813370731208</v>
      </c>
      <c r="T28" s="38">
        <v>15.876427414465754</v>
      </c>
      <c r="U28" s="39">
        <v>34.385836976657885</v>
      </c>
      <c r="V28" s="38">
        <v>21.657515454902224</v>
      </c>
      <c r="W28" s="39">
        <v>175.51253934172098</v>
      </c>
      <c r="X28" s="38">
        <v>73.007564497028724</v>
      </c>
      <c r="Y28">
        <v>99999</v>
      </c>
      <c r="Z28" s="53">
        <v>99999</v>
      </c>
    </row>
    <row r="29" spans="1:26">
      <c r="A29" s="52">
        <v>99999</v>
      </c>
      <c r="B29" s="38">
        <v>99999</v>
      </c>
      <c r="C29" s="39">
        <v>99999</v>
      </c>
      <c r="D29" s="38">
        <v>99999</v>
      </c>
      <c r="E29" s="39">
        <v>-49.183249947712874</v>
      </c>
      <c r="F29" s="38">
        <v>32.570111826692418</v>
      </c>
      <c r="G29" s="39">
        <v>-20.670481928685618</v>
      </c>
      <c r="H29" s="38">
        <v>20.146272723133762</v>
      </c>
      <c r="I29" s="39">
        <v>-10.744546786368474</v>
      </c>
      <c r="J29" s="38">
        <v>16.581446911746777</v>
      </c>
      <c r="K29" s="39">
        <v>-4.9059078246792822</v>
      </c>
      <c r="L29" s="38">
        <v>15.171470997575517</v>
      </c>
      <c r="M29" s="39">
        <v>-0.32709628553212594</v>
      </c>
      <c r="N29" s="38">
        <v>14.74701004071472</v>
      </c>
      <c r="O29" s="39">
        <v>4.1778617570319172</v>
      </c>
      <c r="P29" s="38">
        <v>15.057177559559396</v>
      </c>
      <c r="Q29" s="39">
        <v>9.7197187716535645</v>
      </c>
      <c r="R29" s="38">
        <v>16.281257743669901</v>
      </c>
      <c r="S29" s="39">
        <v>18.67505257488369</v>
      </c>
      <c r="T29" s="38">
        <v>19.362268793384857</v>
      </c>
      <c r="U29" s="39">
        <v>41.651465707136346</v>
      </c>
      <c r="V29" s="38">
        <v>29.173883049393073</v>
      </c>
      <c r="W29" s="39">
        <v>849.65244897683158</v>
      </c>
      <c r="X29" s="38">
        <v>406.87522294987775</v>
      </c>
      <c r="Y29">
        <v>99999</v>
      </c>
      <c r="Z29" s="53">
        <v>99999</v>
      </c>
    </row>
    <row r="30" spans="1:26" ht="15.75" thickBot="1">
      <c r="A30" s="54">
        <v>99999</v>
      </c>
      <c r="B30" s="56">
        <v>99999</v>
      </c>
      <c r="C30" s="58">
        <v>99999</v>
      </c>
      <c r="D30" s="56">
        <v>99999</v>
      </c>
      <c r="E30" s="58">
        <v>-62.910483297085996</v>
      </c>
      <c r="F30" s="56">
        <v>45.544280673266691</v>
      </c>
      <c r="G30" s="58">
        <v>-23.261978711547584</v>
      </c>
      <c r="H30" s="56">
        <v>24.41659614769484</v>
      </c>
      <c r="I30" s="58">
        <v>-11.688522041495604</v>
      </c>
      <c r="J30" s="56">
        <v>19.260748225548987</v>
      </c>
      <c r="K30" s="58">
        <v>-5.2674692237497194</v>
      </c>
      <c r="L30" s="56">
        <v>17.315119139797126</v>
      </c>
      <c r="M30" s="58">
        <v>-0.34983248936263195</v>
      </c>
      <c r="N30" s="56">
        <v>16.73928271332279</v>
      </c>
      <c r="O30" s="58">
        <v>4.4810397161764488</v>
      </c>
      <c r="P30" s="56">
        <v>17.159621829278308</v>
      </c>
      <c r="Q30" s="58">
        <v>10.544057256766944</v>
      </c>
      <c r="R30" s="56">
        <v>18.842229584042837</v>
      </c>
      <c r="S30" s="58">
        <v>20.858182024425663</v>
      </c>
      <c r="T30" s="56">
        <v>23.252408074203153</v>
      </c>
      <c r="U30" s="58">
        <v>51.358662493902983</v>
      </c>
      <c r="V30" s="56">
        <v>39.216077891434452</v>
      </c>
      <c r="W30" s="58">
        <v>99999</v>
      </c>
      <c r="X30" s="56">
        <v>99999</v>
      </c>
      <c r="Y30" s="4">
        <v>99999</v>
      </c>
      <c r="Z30" s="30">
        <v>99999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7D708-BF70-4117-9561-0E006B71F584}">
  <sheetPr codeName="Sheet8"/>
  <dimension ref="A1:Z31"/>
  <sheetViews>
    <sheetView workbookViewId="0"/>
  </sheetViews>
  <sheetFormatPr defaultRowHeight="15"/>
  <cols>
    <col min="2" max="2" width="9.42578125" customWidth="1"/>
    <col min="5" max="5" width="10.42578125" customWidth="1"/>
    <col min="6" max="6" width="9.85546875" customWidth="1"/>
    <col min="10" max="10" width="10" customWidth="1"/>
    <col min="11" max="11" width="9.28515625" customWidth="1"/>
    <col min="12" max="12" width="10" customWidth="1"/>
    <col min="13" max="13" width="11" customWidth="1"/>
    <col min="14" max="14" width="10.5703125" customWidth="1"/>
    <col min="15" max="15" width="11.5703125" customWidth="1"/>
    <col min="16" max="16" width="10.85546875" customWidth="1"/>
    <col min="17" max="17" width="10.5703125" customWidth="1"/>
    <col min="18" max="18" width="9.85546875" customWidth="1"/>
    <col min="20" max="20" width="10.5703125" customWidth="1"/>
    <col min="22" max="22" width="10.85546875" customWidth="1"/>
  </cols>
  <sheetData>
    <row r="1" spans="1:24" ht="19.5">
      <c r="A1" s="129" t="s">
        <v>19</v>
      </c>
      <c r="B1" s="129" t="s">
        <v>26</v>
      </c>
      <c r="C1" s="129" t="s">
        <v>13</v>
      </c>
      <c r="D1" s="129" t="s">
        <v>2</v>
      </c>
      <c r="E1" s="129" t="s">
        <v>27</v>
      </c>
      <c r="F1" s="66"/>
      <c r="G1" s="174" t="s">
        <v>149</v>
      </c>
      <c r="H1" s="66"/>
      <c r="I1" s="33"/>
      <c r="J1" s="66"/>
      <c r="K1" s="172" t="s">
        <v>25</v>
      </c>
      <c r="L1" s="172" t="s">
        <v>21</v>
      </c>
      <c r="M1" s="172" t="s">
        <v>20</v>
      </c>
      <c r="N1" s="172" t="s">
        <v>23</v>
      </c>
      <c r="O1" s="172" t="s">
        <v>24</v>
      </c>
      <c r="P1" s="172" t="s">
        <v>52</v>
      </c>
      <c r="Q1" s="172" t="s">
        <v>28</v>
      </c>
      <c r="R1" s="172" t="s">
        <v>29</v>
      </c>
    </row>
    <row r="2" spans="1:24">
      <c r="A2" s="148" t="str">
        <f>Enter!B2</f>
        <v>تبریز</v>
      </c>
      <c r="B2">
        <v>51.3797</v>
      </c>
      <c r="C2">
        <v>35.7029</v>
      </c>
      <c r="D2">
        <v>1210</v>
      </c>
      <c r="E2">
        <v>3.5</v>
      </c>
      <c r="K2">
        <v>0</v>
      </c>
      <c r="L2">
        <v>90</v>
      </c>
      <c r="M2">
        <v>10</v>
      </c>
      <c r="N2">
        <v>7622487025813029</v>
      </c>
      <c r="O2">
        <v>7.516677866299302E-14</v>
      </c>
      <c r="P2">
        <v>35.7029</v>
      </c>
      <c r="Q2">
        <v>-6189871004382179</v>
      </c>
      <c r="R2">
        <v>4448348615812019.5</v>
      </c>
    </row>
    <row r="4" spans="1:24" ht="15.75" thickBot="1"/>
    <row r="5" spans="1:24" s="48" customFormat="1">
      <c r="A5" s="61"/>
      <c r="B5" s="124" t="s">
        <v>53</v>
      </c>
      <c r="C5" s="62"/>
      <c r="D5" s="124" t="s">
        <v>54</v>
      </c>
      <c r="E5" s="62"/>
      <c r="F5" s="124" t="s">
        <v>55</v>
      </c>
      <c r="G5" s="62"/>
      <c r="H5" s="124" t="s">
        <v>56</v>
      </c>
      <c r="I5" s="62"/>
      <c r="J5" s="124" t="s">
        <v>57</v>
      </c>
      <c r="K5" s="62"/>
      <c r="L5" s="124" t="s">
        <v>58</v>
      </c>
      <c r="M5" s="62"/>
      <c r="N5" s="124" t="s">
        <v>59</v>
      </c>
      <c r="O5" s="62"/>
      <c r="P5" s="124" t="s">
        <v>60</v>
      </c>
      <c r="Q5" s="62"/>
      <c r="R5" s="124" t="s">
        <v>16</v>
      </c>
      <c r="S5" s="62"/>
      <c r="T5" s="124" t="s">
        <v>17</v>
      </c>
      <c r="U5" s="62"/>
      <c r="V5" s="124" t="s">
        <v>18</v>
      </c>
      <c r="W5" s="64"/>
      <c r="X5" s="125"/>
    </row>
    <row r="6" spans="1:24">
      <c r="A6" s="52">
        <v>99999</v>
      </c>
      <c r="B6" s="38">
        <v>99999</v>
      </c>
      <c r="C6" s="39">
        <v>99999</v>
      </c>
      <c r="D6" s="38">
        <v>99999</v>
      </c>
      <c r="E6" s="39">
        <v>99999</v>
      </c>
      <c r="F6" s="38">
        <v>99999</v>
      </c>
      <c r="G6" s="39">
        <v>99999</v>
      </c>
      <c r="H6" s="38">
        <v>99999</v>
      </c>
      <c r="I6" s="39">
        <v>99999</v>
      </c>
      <c r="J6" s="38">
        <v>99999</v>
      </c>
      <c r="K6" s="39">
        <v>99999</v>
      </c>
      <c r="L6" s="38">
        <v>99999</v>
      </c>
      <c r="M6" s="39">
        <v>99999</v>
      </c>
      <c r="N6" s="38">
        <v>99999</v>
      </c>
      <c r="O6" s="39">
        <v>99999</v>
      </c>
      <c r="P6" s="38">
        <v>99999</v>
      </c>
      <c r="Q6" s="39">
        <v>99999</v>
      </c>
      <c r="R6" s="38">
        <v>99999</v>
      </c>
      <c r="S6" s="39">
        <v>99999</v>
      </c>
      <c r="T6" s="38">
        <v>99999</v>
      </c>
      <c r="U6" s="39">
        <v>99999</v>
      </c>
      <c r="V6" s="38">
        <v>99999</v>
      </c>
      <c r="X6" s="53"/>
    </row>
    <row r="7" spans="1:24">
      <c r="A7" s="52">
        <v>99999</v>
      </c>
      <c r="B7" s="38">
        <v>99999</v>
      </c>
      <c r="C7" s="39">
        <v>99999</v>
      </c>
      <c r="D7" s="38">
        <v>99999</v>
      </c>
      <c r="E7" s="39">
        <v>99999</v>
      </c>
      <c r="F7" s="38">
        <v>99999</v>
      </c>
      <c r="G7" s="39">
        <v>99999</v>
      </c>
      <c r="H7" s="38">
        <v>99999</v>
      </c>
      <c r="I7" s="39">
        <v>99999</v>
      </c>
      <c r="J7" s="38">
        <v>99999</v>
      </c>
      <c r="K7" s="39">
        <v>99999</v>
      </c>
      <c r="L7" s="38">
        <v>99999</v>
      </c>
      <c r="M7" s="39">
        <v>99999</v>
      </c>
      <c r="N7" s="38">
        <v>99999</v>
      </c>
      <c r="O7" s="39">
        <v>99999</v>
      </c>
      <c r="P7" s="38">
        <v>99999</v>
      </c>
      <c r="Q7" s="39">
        <v>99999</v>
      </c>
      <c r="R7" s="38">
        <v>99999</v>
      </c>
      <c r="S7" s="39">
        <v>99999</v>
      </c>
      <c r="T7" s="38">
        <v>99999</v>
      </c>
      <c r="U7" s="39">
        <v>99999</v>
      </c>
      <c r="V7" s="38">
        <v>99999</v>
      </c>
      <c r="X7" s="53"/>
    </row>
    <row r="8" spans="1:24">
      <c r="A8" s="52">
        <v>99999</v>
      </c>
      <c r="B8" s="38">
        <v>99999</v>
      </c>
      <c r="C8" s="39">
        <v>99999</v>
      </c>
      <c r="D8" s="38">
        <v>99999</v>
      </c>
      <c r="E8" s="39">
        <v>99999</v>
      </c>
      <c r="F8" s="38">
        <v>99999</v>
      </c>
      <c r="G8" s="39">
        <v>99999</v>
      </c>
      <c r="H8" s="38">
        <v>99999</v>
      </c>
      <c r="I8" s="39">
        <v>99999</v>
      </c>
      <c r="J8" s="38">
        <v>99999</v>
      </c>
      <c r="K8" s="39">
        <v>99999</v>
      </c>
      <c r="L8" s="38">
        <v>99999</v>
      </c>
      <c r="M8" s="39">
        <v>99999</v>
      </c>
      <c r="N8" s="38">
        <v>99999</v>
      </c>
      <c r="O8" s="39">
        <v>99999</v>
      </c>
      <c r="P8" s="38">
        <v>99999</v>
      </c>
      <c r="Q8" s="39">
        <v>99999</v>
      </c>
      <c r="R8" s="38">
        <v>99999</v>
      </c>
      <c r="S8" s="39">
        <v>99999</v>
      </c>
      <c r="T8" s="38">
        <v>99999</v>
      </c>
      <c r="U8" s="39">
        <v>99999</v>
      </c>
      <c r="V8" s="38">
        <v>99999</v>
      </c>
      <c r="X8" s="53"/>
    </row>
    <row r="9" spans="1:24">
      <c r="A9" s="52">
        <v>99999</v>
      </c>
      <c r="B9" s="38">
        <v>99999</v>
      </c>
      <c r="C9" s="39">
        <v>99999</v>
      </c>
      <c r="D9" s="38">
        <v>99999</v>
      </c>
      <c r="E9" s="39">
        <v>99999</v>
      </c>
      <c r="F9" s="38">
        <v>99999</v>
      </c>
      <c r="G9" s="39">
        <v>99999</v>
      </c>
      <c r="H9" s="38">
        <v>99999</v>
      </c>
      <c r="I9" s="39">
        <v>99999</v>
      </c>
      <c r="J9" s="38">
        <v>99999</v>
      </c>
      <c r="K9" s="39">
        <v>99999</v>
      </c>
      <c r="L9" s="38">
        <v>99999</v>
      </c>
      <c r="M9" s="39">
        <v>99999</v>
      </c>
      <c r="N9" s="38">
        <v>99999</v>
      </c>
      <c r="O9" s="39">
        <v>99999</v>
      </c>
      <c r="P9" s="38">
        <v>99999</v>
      </c>
      <c r="Q9" s="39">
        <v>99999</v>
      </c>
      <c r="R9" s="38">
        <v>99999</v>
      </c>
      <c r="S9" s="39">
        <v>99999</v>
      </c>
      <c r="T9" s="38">
        <v>99999</v>
      </c>
      <c r="U9" s="39">
        <v>99999</v>
      </c>
      <c r="V9" s="38">
        <v>99999</v>
      </c>
      <c r="X9" s="53"/>
    </row>
    <row r="10" spans="1:24">
      <c r="A10" s="52">
        <v>99999</v>
      </c>
      <c r="B10" s="38">
        <v>99999</v>
      </c>
      <c r="C10" s="39">
        <v>99999</v>
      </c>
      <c r="D10" s="38">
        <v>99999</v>
      </c>
      <c r="E10" s="39">
        <v>99999</v>
      </c>
      <c r="F10" s="38">
        <v>99999</v>
      </c>
      <c r="G10" s="39">
        <v>99999</v>
      </c>
      <c r="H10" s="38">
        <v>99999</v>
      </c>
      <c r="I10" s="39">
        <v>99999</v>
      </c>
      <c r="J10" s="38">
        <v>99999</v>
      </c>
      <c r="K10" s="39">
        <v>99999</v>
      </c>
      <c r="L10" s="38">
        <v>99999</v>
      </c>
      <c r="M10" s="39">
        <v>99999</v>
      </c>
      <c r="N10" s="38">
        <v>99999</v>
      </c>
      <c r="O10" s="39">
        <v>99999</v>
      </c>
      <c r="P10" s="38">
        <v>99999</v>
      </c>
      <c r="Q10" s="39">
        <v>99999</v>
      </c>
      <c r="R10" s="38">
        <v>99999</v>
      </c>
      <c r="S10" s="39">
        <v>99999</v>
      </c>
      <c r="T10" s="38">
        <v>99999</v>
      </c>
      <c r="U10" s="39">
        <v>99999</v>
      </c>
      <c r="V10" s="38">
        <v>99999</v>
      </c>
      <c r="X10" s="53"/>
    </row>
    <row r="11" spans="1:24">
      <c r="A11" s="52">
        <v>99999</v>
      </c>
      <c r="B11" s="38">
        <v>99999</v>
      </c>
      <c r="C11" s="39">
        <v>99999</v>
      </c>
      <c r="D11" s="38">
        <v>99999</v>
      </c>
      <c r="E11" s="39">
        <v>99999</v>
      </c>
      <c r="F11" s="38">
        <v>99999</v>
      </c>
      <c r="G11" s="39">
        <v>99999</v>
      </c>
      <c r="H11" s="38">
        <v>99999</v>
      </c>
      <c r="I11" s="39">
        <v>99999</v>
      </c>
      <c r="J11" s="38">
        <v>99999</v>
      </c>
      <c r="K11" s="39">
        <v>99999</v>
      </c>
      <c r="L11" s="38">
        <v>99999</v>
      </c>
      <c r="M11" s="39">
        <v>99999</v>
      </c>
      <c r="N11" s="38">
        <v>99999</v>
      </c>
      <c r="O11" s="39">
        <v>99999</v>
      </c>
      <c r="P11" s="38">
        <v>99999</v>
      </c>
      <c r="Q11" s="39">
        <v>99999</v>
      </c>
      <c r="R11" s="38">
        <v>99999</v>
      </c>
      <c r="S11" s="39">
        <v>99999</v>
      </c>
      <c r="T11" s="38">
        <v>99999</v>
      </c>
      <c r="U11" s="39">
        <v>99999</v>
      </c>
      <c r="V11" s="38">
        <v>99999</v>
      </c>
      <c r="X11" s="53"/>
    </row>
    <row r="12" spans="1:24">
      <c r="A12" s="52">
        <v>99999</v>
      </c>
      <c r="B12" s="38">
        <v>99999</v>
      </c>
      <c r="C12" s="39">
        <v>99999</v>
      </c>
      <c r="D12" s="38">
        <v>99999</v>
      </c>
      <c r="E12" s="39">
        <v>99999</v>
      </c>
      <c r="F12" s="38">
        <v>99999</v>
      </c>
      <c r="G12" s="39">
        <v>99999</v>
      </c>
      <c r="H12" s="38">
        <v>99999</v>
      </c>
      <c r="I12" s="39">
        <v>99999</v>
      </c>
      <c r="J12" s="38">
        <v>99999</v>
      </c>
      <c r="K12" s="39">
        <v>99999</v>
      </c>
      <c r="L12" s="38">
        <v>99999</v>
      </c>
      <c r="M12" s="39">
        <v>99999</v>
      </c>
      <c r="N12" s="38">
        <v>99999</v>
      </c>
      <c r="O12" s="39">
        <v>99999</v>
      </c>
      <c r="P12" s="38">
        <v>99999</v>
      </c>
      <c r="Q12" s="39">
        <v>99999</v>
      </c>
      <c r="R12" s="38">
        <v>99999</v>
      </c>
      <c r="S12" s="39">
        <v>99999</v>
      </c>
      <c r="T12" s="38">
        <v>99999</v>
      </c>
      <c r="U12" s="39">
        <v>99999</v>
      </c>
      <c r="V12" s="38">
        <v>99999</v>
      </c>
      <c r="X12" s="53"/>
    </row>
    <row r="13" spans="1:24">
      <c r="A13" s="52">
        <v>-8.942148995692289</v>
      </c>
      <c r="B13" s="38">
        <v>-43.409831882208024</v>
      </c>
      <c r="C13" s="39">
        <v>-20.216275391536069</v>
      </c>
      <c r="D13" s="38">
        <v>-35.307684921158767</v>
      </c>
      <c r="E13" s="39">
        <v>-16.69430171408046</v>
      </c>
      <c r="F13" s="38">
        <v>-37.838750063218207</v>
      </c>
      <c r="G13" s="39">
        <v>-13.726719998398229</v>
      </c>
      <c r="H13" s="38">
        <v>-39.971401617332752</v>
      </c>
      <c r="I13" s="39">
        <v>-11.156610068344202</v>
      </c>
      <c r="J13" s="38">
        <v>-41.818410212785992</v>
      </c>
      <c r="K13" s="39">
        <v>-23.688773518790335</v>
      </c>
      <c r="L13" s="38">
        <v>-32.812175365814923</v>
      </c>
      <c r="M13" s="39">
        <v>-26.903325014255341</v>
      </c>
      <c r="N13" s="38">
        <v>-30.502039066498671</v>
      </c>
      <c r="O13" s="39">
        <v>-30.467908112884786</v>
      </c>
      <c r="P13" s="38">
        <v>-27.940352678929433</v>
      </c>
      <c r="Q13" s="39">
        <v>-33.521201459661427</v>
      </c>
      <c r="R13" s="38">
        <v>-25.746104491336105</v>
      </c>
      <c r="S13" s="39">
        <v>-36.040392035988255</v>
      </c>
      <c r="T13" s="38">
        <v>-23.935689071493485</v>
      </c>
      <c r="U13" s="39">
        <v>-38.29384008209604</v>
      </c>
      <c r="V13" s="38">
        <v>-22.316249427337524</v>
      </c>
      <c r="X13" s="53"/>
    </row>
    <row r="14" spans="1:24">
      <c r="A14" s="52">
        <v>-3.2915113525785489</v>
      </c>
      <c r="B14" s="38">
        <v>-19.960840495525556</v>
      </c>
      <c r="C14" s="39">
        <v>-8.891179029016369</v>
      </c>
      <c r="D14" s="38">
        <v>-15.936641293336232</v>
      </c>
      <c r="E14" s="39">
        <v>-7.1418743408780916</v>
      </c>
      <c r="F14" s="38">
        <v>-17.193778490961904</v>
      </c>
      <c r="G14" s="39">
        <v>-5.6679267526534529</v>
      </c>
      <c r="H14" s="38">
        <v>-18.25303040577834</v>
      </c>
      <c r="I14" s="39">
        <v>-4.3913966699748572</v>
      </c>
      <c r="J14" s="38">
        <v>-19.170408299809676</v>
      </c>
      <c r="K14" s="39">
        <v>-10.615910049137357</v>
      </c>
      <c r="L14" s="38">
        <v>-14.697163953570721</v>
      </c>
      <c r="M14" s="39">
        <v>-12.212523345049684</v>
      </c>
      <c r="N14" s="38">
        <v>-13.549758371155423</v>
      </c>
      <c r="O14" s="39">
        <v>-13.982991411181207</v>
      </c>
      <c r="P14" s="38">
        <v>-12.277412119393482</v>
      </c>
      <c r="Q14" s="39">
        <v>-15.499510515218473</v>
      </c>
      <c r="R14" s="38">
        <v>-11.187566199741719</v>
      </c>
      <c r="S14" s="39">
        <v>-16.750749817116358</v>
      </c>
      <c r="T14" s="38">
        <v>-10.288363516405242</v>
      </c>
      <c r="U14" s="39">
        <v>-17.869999304063182</v>
      </c>
      <c r="V14" s="38">
        <v>-9.4840152670663773</v>
      </c>
      <c r="X14" s="53"/>
    </row>
    <row r="15" spans="1:24">
      <c r="A15" s="52">
        <v>-0.98982772260271012</v>
      </c>
      <c r="B15" s="38">
        <v>-12.094347573692428</v>
      </c>
      <c r="C15" s="39">
        <v>-4.8915767847526164</v>
      </c>
      <c r="D15" s="38">
        <v>-9.2903569852661363</v>
      </c>
      <c r="E15" s="39">
        <v>-3.6726923221839649</v>
      </c>
      <c r="F15" s="38">
        <v>-10.166307874721422</v>
      </c>
      <c r="G15" s="39">
        <v>-2.6456718001961264</v>
      </c>
      <c r="H15" s="38">
        <v>-10.904375810896635</v>
      </c>
      <c r="I15" s="39">
        <v>-1.7562082925928002</v>
      </c>
      <c r="J15" s="38">
        <v>-11.543588447163438</v>
      </c>
      <c r="K15" s="39">
        <v>-6.0933387515446915</v>
      </c>
      <c r="L15" s="38">
        <v>-8.4267111713662324</v>
      </c>
      <c r="M15" s="39">
        <v>-7.2058305617559881</v>
      </c>
      <c r="N15" s="38">
        <v>-7.6272193240317518</v>
      </c>
      <c r="O15" s="39">
        <v>-8.4394612905333517</v>
      </c>
      <c r="P15" s="38">
        <v>-6.7406710355625794</v>
      </c>
      <c r="Q15" s="39">
        <v>-9.4961448892418225</v>
      </c>
      <c r="R15" s="38">
        <v>-5.9812857397561983</v>
      </c>
      <c r="S15" s="39">
        <v>-10.367986229621303</v>
      </c>
      <c r="T15" s="38">
        <v>-5.3547372677542597</v>
      </c>
      <c r="U15" s="39">
        <v>-11.147859409306953</v>
      </c>
      <c r="V15" s="38">
        <v>-4.794281682022735</v>
      </c>
      <c r="X15" s="53"/>
    </row>
    <row r="16" spans="1:24">
      <c r="A16" s="52">
        <v>0.58893665790165095</v>
      </c>
      <c r="B16" s="38">
        <v>-7.8577435852953608</v>
      </c>
      <c r="C16" s="39">
        <v>-2.5701967974624229</v>
      </c>
      <c r="D16" s="38">
        <v>-5.5874334409667732</v>
      </c>
      <c r="E16" s="39">
        <v>-1.5833012737912127</v>
      </c>
      <c r="F16" s="38">
        <v>-6.2966655612429356</v>
      </c>
      <c r="G16" s="39">
        <v>-0.7517524379546241</v>
      </c>
      <c r="H16" s="38">
        <v>-6.8942578390553546</v>
      </c>
      <c r="I16" s="39">
        <v>-3.1579541277654992E-2</v>
      </c>
      <c r="J16" s="38">
        <v>-7.4118098374427728</v>
      </c>
      <c r="K16" s="39">
        <v>-3.5432287311421984</v>
      </c>
      <c r="L16" s="38">
        <v>-4.88816438475203</v>
      </c>
      <c r="M16" s="39">
        <v>-4.4439811989394258</v>
      </c>
      <c r="N16" s="38">
        <v>-4.2408389412204333</v>
      </c>
      <c r="O16" s="39">
        <v>-5.4428163481938308</v>
      </c>
      <c r="P16" s="38">
        <v>-3.523026413226773</v>
      </c>
      <c r="Q16" s="39">
        <v>-6.2983825199903967</v>
      </c>
      <c r="R16" s="38">
        <v>-2.9081740853911113</v>
      </c>
      <c r="S16" s="39">
        <v>-7.0042872571455437</v>
      </c>
      <c r="T16" s="38">
        <v>-2.4008758948155431</v>
      </c>
      <c r="U16" s="39">
        <v>-7.6357280324599257</v>
      </c>
      <c r="V16" s="38">
        <v>-1.9470912041736157</v>
      </c>
      <c r="X16" s="53"/>
    </row>
    <row r="17" spans="1:26">
      <c r="A17" s="52">
        <v>1.9777650224459609</v>
      </c>
      <c r="B17" s="38">
        <v>-4.9804311110018977</v>
      </c>
      <c r="C17" s="39">
        <v>-0.83740892492597951</v>
      </c>
      <c r="D17" s="38">
        <v>-2.9573073458707104</v>
      </c>
      <c r="E17" s="39">
        <v>4.2035582965820592E-2</v>
      </c>
      <c r="F17" s="38">
        <v>-3.5893198315258044</v>
      </c>
      <c r="G17" s="39">
        <v>0.78304720899883573</v>
      </c>
      <c r="H17" s="38">
        <v>-4.1218475754207811</v>
      </c>
      <c r="I17" s="39">
        <v>1.4248092633640694</v>
      </c>
      <c r="J17" s="38">
        <v>-4.5830496496150896</v>
      </c>
      <c r="K17" s="39">
        <v>-1.7044992800374761</v>
      </c>
      <c r="L17" s="38">
        <v>-2.3341731677572253</v>
      </c>
      <c r="M17" s="39">
        <v>-2.5071797986677038</v>
      </c>
      <c r="N17" s="38">
        <v>-1.7573270959311393</v>
      </c>
      <c r="O17" s="39">
        <v>-3.3972639719481603</v>
      </c>
      <c r="P17" s="38">
        <v>-1.1176684184942092</v>
      </c>
      <c r="Q17" s="39">
        <v>-4.1596779791832121</v>
      </c>
      <c r="R17" s="38">
        <v>-0.56975986089119834</v>
      </c>
      <c r="S17" s="39">
        <v>-4.7887253598791277</v>
      </c>
      <c r="T17" s="38">
        <v>-0.11769518244833158</v>
      </c>
      <c r="U17" s="39">
        <v>-5.3514162512547596</v>
      </c>
      <c r="V17" s="38">
        <v>0.28668242833043361</v>
      </c>
      <c r="X17" s="53"/>
    </row>
    <row r="18" spans="1:26" ht="15.75" thickBot="1">
      <c r="A18" s="52">
        <v>3.4068977858051683</v>
      </c>
      <c r="B18" s="38">
        <v>-2.689180122509673</v>
      </c>
      <c r="C18" s="39">
        <v>0.70189704398237529</v>
      </c>
      <c r="D18" s="38">
        <v>-0.74523229271819946</v>
      </c>
      <c r="E18" s="39">
        <v>1.5469240621032561</v>
      </c>
      <c r="F18" s="38">
        <v>-1.3525106614791276</v>
      </c>
      <c r="G18" s="39">
        <v>2.2589358367184023</v>
      </c>
      <c r="H18" s="38">
        <v>-1.8641976723730282</v>
      </c>
      <c r="I18" s="39">
        <v>2.8755822200625865</v>
      </c>
      <c r="J18" s="38">
        <v>-2.3073503784395384</v>
      </c>
      <c r="K18" s="39">
        <v>-0.13125930715307502</v>
      </c>
      <c r="L18" s="38">
        <v>-0.146484774602789</v>
      </c>
      <c r="M18" s="39">
        <v>-0.90252653217425283</v>
      </c>
      <c r="N18" s="38">
        <v>0.40778614484209413</v>
      </c>
      <c r="O18" s="39">
        <v>-1.7577768271892413</v>
      </c>
      <c r="P18" s="38">
        <v>1.0224114679399983</v>
      </c>
      <c r="Q18" s="39">
        <v>-2.490353390378937</v>
      </c>
      <c r="R18" s="38">
        <v>1.5488773568953804</v>
      </c>
      <c r="S18" s="39">
        <v>-3.0947826950095134</v>
      </c>
      <c r="T18" s="38">
        <v>1.9832502636500036</v>
      </c>
      <c r="U18" s="39">
        <v>-3.6354524038951483</v>
      </c>
      <c r="V18" s="38">
        <v>2.3718023593932265</v>
      </c>
      <c r="X18" s="53"/>
    </row>
    <row r="19" spans="1:26" s="6" customFormat="1">
      <c r="A19" s="49"/>
      <c r="B19" s="55">
        <v>6</v>
      </c>
      <c r="C19" s="57"/>
      <c r="D19" s="55">
        <v>7</v>
      </c>
      <c r="E19" s="57"/>
      <c r="F19" s="55">
        <v>8</v>
      </c>
      <c r="G19" s="57"/>
      <c r="H19" s="55">
        <v>9</v>
      </c>
      <c r="I19" s="57"/>
      <c r="J19" s="55">
        <v>10</v>
      </c>
      <c r="K19" s="57"/>
      <c r="L19" s="55">
        <v>11</v>
      </c>
      <c r="M19" s="57"/>
      <c r="N19" s="55">
        <v>12</v>
      </c>
      <c r="O19" s="57"/>
      <c r="P19" s="55">
        <v>13</v>
      </c>
      <c r="Q19" s="57"/>
      <c r="R19" s="55">
        <v>14</v>
      </c>
      <c r="S19" s="57"/>
      <c r="T19" s="55">
        <v>15</v>
      </c>
      <c r="U19" s="57"/>
      <c r="V19" s="55">
        <v>16</v>
      </c>
      <c r="W19" s="57"/>
      <c r="X19" s="55">
        <v>17</v>
      </c>
      <c r="Y19" s="50"/>
      <c r="Z19" s="51">
        <v>18</v>
      </c>
    </row>
    <row r="20" spans="1:26">
      <c r="A20" s="52">
        <v>99999</v>
      </c>
      <c r="B20" s="38">
        <v>99999</v>
      </c>
      <c r="C20" s="39">
        <v>99999</v>
      </c>
      <c r="D20" s="38">
        <v>99999</v>
      </c>
      <c r="E20" s="39">
        <v>99999</v>
      </c>
      <c r="F20" s="38">
        <v>99999</v>
      </c>
      <c r="G20" s="39">
        <v>99999</v>
      </c>
      <c r="H20" s="38">
        <v>99999</v>
      </c>
      <c r="I20" s="39">
        <v>99999</v>
      </c>
      <c r="J20" s="38">
        <v>99999</v>
      </c>
      <c r="K20" s="39">
        <v>99999</v>
      </c>
      <c r="L20" s="38">
        <v>99999</v>
      </c>
      <c r="M20" s="39">
        <v>99999</v>
      </c>
      <c r="N20" s="38">
        <v>99999</v>
      </c>
      <c r="O20" s="39">
        <v>-8.942148995692289</v>
      </c>
      <c r="P20" s="38">
        <v>-43.409831882208024</v>
      </c>
      <c r="Q20" s="39">
        <v>-3.2915113525785489</v>
      </c>
      <c r="R20" s="38">
        <v>-19.960840495525556</v>
      </c>
      <c r="S20" s="39">
        <v>-0.98982772260271012</v>
      </c>
      <c r="T20" s="38">
        <v>-12.094347573692428</v>
      </c>
      <c r="U20" s="39">
        <v>0.58893665790165095</v>
      </c>
      <c r="V20" s="38">
        <v>-7.8577435852953608</v>
      </c>
      <c r="W20" s="39">
        <v>1.9777650224459609</v>
      </c>
      <c r="X20" s="38">
        <v>-4.9804311110018977</v>
      </c>
      <c r="Y20">
        <v>3.4068977858051683</v>
      </c>
      <c r="Z20" s="53">
        <v>-2.689180122509673</v>
      </c>
    </row>
    <row r="21" spans="1:26">
      <c r="A21" s="52">
        <v>99999</v>
      </c>
      <c r="B21" s="38">
        <v>99999</v>
      </c>
      <c r="C21" s="39">
        <v>99999</v>
      </c>
      <c r="D21" s="38">
        <v>99999</v>
      </c>
      <c r="E21" s="39">
        <v>99999</v>
      </c>
      <c r="F21" s="38">
        <v>99999</v>
      </c>
      <c r="G21" s="39">
        <v>99999</v>
      </c>
      <c r="H21" s="38">
        <v>99999</v>
      </c>
      <c r="I21" s="39">
        <v>99999</v>
      </c>
      <c r="J21" s="38">
        <v>99999</v>
      </c>
      <c r="K21" s="39">
        <v>99999</v>
      </c>
      <c r="L21" s="38">
        <v>99999</v>
      </c>
      <c r="M21" s="39">
        <v>99999</v>
      </c>
      <c r="N21" s="38">
        <v>99999</v>
      </c>
      <c r="O21" s="39">
        <v>-20.216275391536069</v>
      </c>
      <c r="P21" s="38">
        <v>-35.307684921158767</v>
      </c>
      <c r="Q21" s="39">
        <v>-8.891179029016369</v>
      </c>
      <c r="R21" s="38">
        <v>-15.936641293336232</v>
      </c>
      <c r="S21" s="39">
        <v>-4.8915767847526164</v>
      </c>
      <c r="T21" s="38">
        <v>-9.2903569852661363</v>
      </c>
      <c r="U21" s="39">
        <v>-2.5701967974624229</v>
      </c>
      <c r="V21" s="38">
        <v>-5.5874334409667732</v>
      </c>
      <c r="W21" s="39">
        <v>-0.83740892492597951</v>
      </c>
      <c r="X21" s="38">
        <v>-2.9573073458707104</v>
      </c>
      <c r="Y21">
        <v>0.70189704398237529</v>
      </c>
      <c r="Z21" s="53">
        <v>-0.74523229271819946</v>
      </c>
    </row>
    <row r="22" spans="1:26">
      <c r="A22" s="52">
        <v>99999</v>
      </c>
      <c r="B22" s="38">
        <v>99999</v>
      </c>
      <c r="C22" s="39">
        <v>99999</v>
      </c>
      <c r="D22" s="38">
        <v>99999</v>
      </c>
      <c r="E22" s="39">
        <v>99999</v>
      </c>
      <c r="F22" s="38">
        <v>99999</v>
      </c>
      <c r="G22" s="39">
        <v>99999</v>
      </c>
      <c r="H22" s="38">
        <v>99999</v>
      </c>
      <c r="I22" s="39">
        <v>99999</v>
      </c>
      <c r="J22" s="38">
        <v>99999</v>
      </c>
      <c r="K22" s="39">
        <v>99999</v>
      </c>
      <c r="L22" s="38">
        <v>99999</v>
      </c>
      <c r="M22" s="39">
        <v>99999</v>
      </c>
      <c r="N22" s="38">
        <v>99999</v>
      </c>
      <c r="O22" s="39">
        <v>-16.69430171408046</v>
      </c>
      <c r="P22" s="38">
        <v>-37.838750063218207</v>
      </c>
      <c r="Q22" s="39">
        <v>-7.1418743408780916</v>
      </c>
      <c r="R22" s="38">
        <v>-17.193778490961904</v>
      </c>
      <c r="S22" s="39">
        <v>-3.6726923221839649</v>
      </c>
      <c r="T22" s="38">
        <v>-10.166307874721422</v>
      </c>
      <c r="U22" s="39">
        <v>-1.5833012737912127</v>
      </c>
      <c r="V22" s="38">
        <v>-6.2966655612429356</v>
      </c>
      <c r="W22" s="39">
        <v>4.2035582965820592E-2</v>
      </c>
      <c r="X22" s="38">
        <v>-3.5893198315258044</v>
      </c>
      <c r="Y22">
        <v>1.5469240621032561</v>
      </c>
      <c r="Z22" s="53">
        <v>-1.3525106614791276</v>
      </c>
    </row>
    <row r="23" spans="1:26">
      <c r="A23" s="52">
        <v>99999</v>
      </c>
      <c r="B23" s="38">
        <v>99999</v>
      </c>
      <c r="C23" s="39">
        <v>99999</v>
      </c>
      <c r="D23" s="38">
        <v>99999</v>
      </c>
      <c r="E23" s="39">
        <v>99999</v>
      </c>
      <c r="F23" s="38">
        <v>99999</v>
      </c>
      <c r="G23" s="39">
        <v>99999</v>
      </c>
      <c r="H23" s="38">
        <v>99999</v>
      </c>
      <c r="I23" s="39">
        <v>99999</v>
      </c>
      <c r="J23" s="38">
        <v>99999</v>
      </c>
      <c r="K23" s="39">
        <v>99999</v>
      </c>
      <c r="L23" s="38">
        <v>99999</v>
      </c>
      <c r="M23" s="39">
        <v>99999</v>
      </c>
      <c r="N23" s="38">
        <v>99999</v>
      </c>
      <c r="O23" s="39">
        <v>-13.726719998398229</v>
      </c>
      <c r="P23" s="38">
        <v>-39.971401617332752</v>
      </c>
      <c r="Q23" s="39">
        <v>-5.6679267526534529</v>
      </c>
      <c r="R23" s="38">
        <v>-18.25303040577834</v>
      </c>
      <c r="S23" s="39">
        <v>-2.6456718001961264</v>
      </c>
      <c r="T23" s="38">
        <v>-10.904375810896635</v>
      </c>
      <c r="U23" s="39">
        <v>-0.7517524379546241</v>
      </c>
      <c r="V23" s="38">
        <v>-6.8942578390553546</v>
      </c>
      <c r="W23" s="39">
        <v>0.78304720899883573</v>
      </c>
      <c r="X23" s="38">
        <v>-4.1218475754207811</v>
      </c>
      <c r="Y23">
        <v>2.2589358367184023</v>
      </c>
      <c r="Z23" s="53">
        <v>-1.8641976723730282</v>
      </c>
    </row>
    <row r="24" spans="1:26">
      <c r="A24" s="52">
        <v>99999</v>
      </c>
      <c r="B24" s="38">
        <v>99999</v>
      </c>
      <c r="C24" s="39">
        <v>99999</v>
      </c>
      <c r="D24" s="38">
        <v>99999</v>
      </c>
      <c r="E24" s="39">
        <v>99999</v>
      </c>
      <c r="F24" s="38">
        <v>99999</v>
      </c>
      <c r="G24" s="39">
        <v>99999</v>
      </c>
      <c r="H24" s="38">
        <v>99999</v>
      </c>
      <c r="I24" s="39">
        <v>99999</v>
      </c>
      <c r="J24" s="38">
        <v>99999</v>
      </c>
      <c r="K24" s="39">
        <v>99999</v>
      </c>
      <c r="L24" s="38">
        <v>99999</v>
      </c>
      <c r="M24" s="39">
        <v>99999</v>
      </c>
      <c r="N24" s="38">
        <v>99999</v>
      </c>
      <c r="O24" s="39">
        <v>-11.156610068344202</v>
      </c>
      <c r="P24" s="38">
        <v>-41.818410212785992</v>
      </c>
      <c r="Q24" s="39">
        <v>-4.3913966699748572</v>
      </c>
      <c r="R24" s="38">
        <v>-19.170408299809676</v>
      </c>
      <c r="S24" s="39">
        <v>-1.7562082925928002</v>
      </c>
      <c r="T24" s="38">
        <v>-11.543588447163438</v>
      </c>
      <c r="U24" s="39">
        <v>-3.1579541277654992E-2</v>
      </c>
      <c r="V24" s="38">
        <v>-7.4118098374427728</v>
      </c>
      <c r="W24" s="39">
        <v>1.4248092633640694</v>
      </c>
      <c r="X24" s="38">
        <v>-4.5830496496150896</v>
      </c>
      <c r="Y24">
        <v>2.8755822200625865</v>
      </c>
      <c r="Z24" s="53">
        <v>-2.3073503784395384</v>
      </c>
    </row>
    <row r="25" spans="1:26">
      <c r="A25" s="52">
        <v>99999</v>
      </c>
      <c r="B25" s="38">
        <v>99999</v>
      </c>
      <c r="C25" s="39">
        <v>99999</v>
      </c>
      <c r="D25" s="38">
        <v>99999</v>
      </c>
      <c r="E25" s="39">
        <v>99999</v>
      </c>
      <c r="F25" s="38">
        <v>99999</v>
      </c>
      <c r="G25" s="39">
        <v>99999</v>
      </c>
      <c r="H25" s="38">
        <v>99999</v>
      </c>
      <c r="I25" s="39">
        <v>99999</v>
      </c>
      <c r="J25" s="38">
        <v>99999</v>
      </c>
      <c r="K25" s="39">
        <v>99999</v>
      </c>
      <c r="L25" s="38">
        <v>99999</v>
      </c>
      <c r="M25" s="39">
        <v>99999</v>
      </c>
      <c r="N25" s="38">
        <v>99999</v>
      </c>
      <c r="O25" s="39">
        <v>-23.688773518790335</v>
      </c>
      <c r="P25" s="38">
        <v>-32.812175365814923</v>
      </c>
      <c r="Q25" s="39">
        <v>-10.615910049137357</v>
      </c>
      <c r="R25" s="38">
        <v>-14.697163953570721</v>
      </c>
      <c r="S25" s="39">
        <v>-6.0933387515446915</v>
      </c>
      <c r="T25" s="38">
        <v>-8.4267111713662324</v>
      </c>
      <c r="U25" s="39">
        <v>-3.5432287311421984</v>
      </c>
      <c r="V25" s="38">
        <v>-4.88816438475203</v>
      </c>
      <c r="W25" s="39">
        <v>-1.7044992800374761</v>
      </c>
      <c r="X25" s="38">
        <v>-2.3341731677572253</v>
      </c>
      <c r="Y25">
        <v>-0.13125930715307502</v>
      </c>
      <c r="Z25" s="53">
        <v>-0.146484774602789</v>
      </c>
    </row>
    <row r="26" spans="1:26">
      <c r="A26" s="52">
        <v>99999</v>
      </c>
      <c r="B26" s="38">
        <v>99999</v>
      </c>
      <c r="C26" s="39">
        <v>99999</v>
      </c>
      <c r="D26" s="38">
        <v>99999</v>
      </c>
      <c r="E26" s="39">
        <v>99999</v>
      </c>
      <c r="F26" s="38">
        <v>99999</v>
      </c>
      <c r="G26" s="39">
        <v>99999</v>
      </c>
      <c r="H26" s="38">
        <v>99999</v>
      </c>
      <c r="I26" s="39">
        <v>99999</v>
      </c>
      <c r="J26" s="38">
        <v>99999</v>
      </c>
      <c r="K26" s="39">
        <v>99999</v>
      </c>
      <c r="L26" s="38">
        <v>99999</v>
      </c>
      <c r="M26" s="39">
        <v>99999</v>
      </c>
      <c r="N26" s="38">
        <v>99999</v>
      </c>
      <c r="O26" s="39">
        <v>-26.903325014255341</v>
      </c>
      <c r="P26" s="38">
        <v>-30.502039066498671</v>
      </c>
      <c r="Q26" s="39">
        <v>-12.212523345049684</v>
      </c>
      <c r="R26" s="38">
        <v>-13.549758371155423</v>
      </c>
      <c r="S26" s="39">
        <v>-7.2058305617559881</v>
      </c>
      <c r="T26" s="38">
        <v>-7.6272193240317518</v>
      </c>
      <c r="U26" s="39">
        <v>-4.4439811989394258</v>
      </c>
      <c r="V26" s="38">
        <v>-4.2408389412204333</v>
      </c>
      <c r="W26" s="39">
        <v>-2.5071797986677038</v>
      </c>
      <c r="X26" s="38">
        <v>-1.7573270959311393</v>
      </c>
      <c r="Y26">
        <v>-0.90252653217425283</v>
      </c>
      <c r="Z26" s="53">
        <v>0.40778614484209413</v>
      </c>
    </row>
    <row r="27" spans="1:26">
      <c r="A27" s="52">
        <v>99999</v>
      </c>
      <c r="B27" s="38">
        <v>99999</v>
      </c>
      <c r="C27" s="39">
        <v>99999</v>
      </c>
      <c r="D27" s="38">
        <v>99999</v>
      </c>
      <c r="E27" s="39">
        <v>99999</v>
      </c>
      <c r="F27" s="38">
        <v>99999</v>
      </c>
      <c r="G27" s="39">
        <v>99999</v>
      </c>
      <c r="H27" s="38">
        <v>99999</v>
      </c>
      <c r="I27" s="39">
        <v>99999</v>
      </c>
      <c r="J27" s="38">
        <v>99999</v>
      </c>
      <c r="K27" s="39">
        <v>99999</v>
      </c>
      <c r="L27" s="38">
        <v>99999</v>
      </c>
      <c r="M27" s="39">
        <v>99999</v>
      </c>
      <c r="N27" s="38">
        <v>99999</v>
      </c>
      <c r="O27" s="39">
        <v>-30.467908112884786</v>
      </c>
      <c r="P27" s="38">
        <v>-27.940352678929433</v>
      </c>
      <c r="Q27" s="39">
        <v>-13.982991411181207</v>
      </c>
      <c r="R27" s="38">
        <v>-12.277412119393482</v>
      </c>
      <c r="S27" s="39">
        <v>-8.4394612905333517</v>
      </c>
      <c r="T27" s="38">
        <v>-6.7406710355625794</v>
      </c>
      <c r="U27" s="39">
        <v>-5.4428163481938308</v>
      </c>
      <c r="V27" s="38">
        <v>-3.523026413226773</v>
      </c>
      <c r="W27" s="39">
        <v>-3.3972639719481603</v>
      </c>
      <c r="X27" s="38">
        <v>-1.1176684184942092</v>
      </c>
      <c r="Y27">
        <v>-1.7577768271892413</v>
      </c>
      <c r="Z27" s="53">
        <v>1.0224114679399983</v>
      </c>
    </row>
    <row r="28" spans="1:26">
      <c r="A28" s="52">
        <v>99999</v>
      </c>
      <c r="B28" s="38">
        <v>99999</v>
      </c>
      <c r="C28" s="39">
        <v>99999</v>
      </c>
      <c r="D28" s="38">
        <v>99999</v>
      </c>
      <c r="E28" s="39">
        <v>99999</v>
      </c>
      <c r="F28" s="38">
        <v>99999</v>
      </c>
      <c r="G28" s="39">
        <v>99999</v>
      </c>
      <c r="H28" s="38">
        <v>99999</v>
      </c>
      <c r="I28" s="39">
        <v>99999</v>
      </c>
      <c r="J28" s="38">
        <v>99999</v>
      </c>
      <c r="K28" s="39">
        <v>99999</v>
      </c>
      <c r="L28" s="38">
        <v>99999</v>
      </c>
      <c r="M28" s="39">
        <v>99999</v>
      </c>
      <c r="N28" s="38">
        <v>99999</v>
      </c>
      <c r="O28" s="39">
        <v>-33.521201459661427</v>
      </c>
      <c r="P28" s="38">
        <v>-25.746104491336105</v>
      </c>
      <c r="Q28" s="39">
        <v>-15.499510515218473</v>
      </c>
      <c r="R28" s="38">
        <v>-11.187566199741719</v>
      </c>
      <c r="S28" s="39">
        <v>-9.4961448892418225</v>
      </c>
      <c r="T28" s="38">
        <v>-5.9812857397561983</v>
      </c>
      <c r="U28" s="39">
        <v>-6.2983825199903967</v>
      </c>
      <c r="V28" s="38">
        <v>-2.9081740853911113</v>
      </c>
      <c r="W28" s="39">
        <v>-4.1596779791832121</v>
      </c>
      <c r="X28" s="38">
        <v>-0.56975986089119834</v>
      </c>
      <c r="Y28">
        <v>-2.490353390378937</v>
      </c>
      <c r="Z28" s="53">
        <v>1.5488773568953804</v>
      </c>
    </row>
    <row r="29" spans="1:26">
      <c r="A29" s="52">
        <v>99999</v>
      </c>
      <c r="B29" s="38">
        <v>99999</v>
      </c>
      <c r="C29" s="39">
        <v>99999</v>
      </c>
      <c r="D29" s="38">
        <v>99999</v>
      </c>
      <c r="E29" s="39">
        <v>99999</v>
      </c>
      <c r="F29" s="38">
        <v>99999</v>
      </c>
      <c r="G29" s="39">
        <v>99999</v>
      </c>
      <c r="H29" s="38">
        <v>99999</v>
      </c>
      <c r="I29" s="39">
        <v>99999</v>
      </c>
      <c r="J29" s="38">
        <v>99999</v>
      </c>
      <c r="K29" s="39">
        <v>99999</v>
      </c>
      <c r="L29" s="38">
        <v>99999</v>
      </c>
      <c r="M29" s="39">
        <v>99999</v>
      </c>
      <c r="N29" s="38">
        <v>99999</v>
      </c>
      <c r="O29" s="39">
        <v>-36.040392035988255</v>
      </c>
      <c r="P29" s="38">
        <v>-23.935689071493485</v>
      </c>
      <c r="Q29" s="39">
        <v>-16.750749817116358</v>
      </c>
      <c r="R29" s="38">
        <v>-10.288363516405242</v>
      </c>
      <c r="S29" s="39">
        <v>-10.367986229621303</v>
      </c>
      <c r="T29" s="38">
        <v>-5.3547372677542597</v>
      </c>
      <c r="U29" s="39">
        <v>-7.0042872571455437</v>
      </c>
      <c r="V29" s="38">
        <v>-2.4008758948155431</v>
      </c>
      <c r="W29" s="39">
        <v>-4.7887253598791277</v>
      </c>
      <c r="X29" s="38">
        <v>-0.11769518244833158</v>
      </c>
      <c r="Y29">
        <v>-3.0947826950095134</v>
      </c>
      <c r="Z29" s="53">
        <v>1.9832502636500036</v>
      </c>
    </row>
    <row r="30" spans="1:26">
      <c r="A30" s="52">
        <v>99999</v>
      </c>
      <c r="B30" s="38">
        <v>99999</v>
      </c>
      <c r="C30" s="39">
        <v>99999</v>
      </c>
      <c r="D30" s="38">
        <v>99999</v>
      </c>
      <c r="E30" s="39">
        <v>99999</v>
      </c>
      <c r="F30" s="38">
        <v>99999</v>
      </c>
      <c r="G30" s="39">
        <v>99999</v>
      </c>
      <c r="H30" s="38">
        <v>99999</v>
      </c>
      <c r="I30" s="39">
        <v>99999</v>
      </c>
      <c r="J30" s="38">
        <v>99999</v>
      </c>
      <c r="K30" s="39">
        <v>99999</v>
      </c>
      <c r="L30" s="38">
        <v>99999</v>
      </c>
      <c r="M30" s="39">
        <v>99999</v>
      </c>
      <c r="N30" s="38">
        <v>99999</v>
      </c>
      <c r="O30" s="39">
        <v>-38.29384008209604</v>
      </c>
      <c r="P30" s="38">
        <v>-22.316249427337524</v>
      </c>
      <c r="Q30" s="39">
        <v>-17.869999304063182</v>
      </c>
      <c r="R30" s="38">
        <v>-9.4840152670663773</v>
      </c>
      <c r="S30" s="39">
        <v>-11.147859409306953</v>
      </c>
      <c r="T30" s="38">
        <v>-4.794281682022735</v>
      </c>
      <c r="U30" s="39">
        <v>-7.6357280324599257</v>
      </c>
      <c r="V30" s="38">
        <v>-1.9470912041736157</v>
      </c>
      <c r="W30" s="39">
        <v>-5.3514162512547596</v>
      </c>
      <c r="X30" s="38">
        <v>0.28668242833043361</v>
      </c>
      <c r="Y30">
        <v>-3.6354524038951483</v>
      </c>
      <c r="Z30" s="53">
        <v>2.3718023593932265</v>
      </c>
    </row>
    <row r="31" spans="1:26" ht="15.75" thickBot="1">
      <c r="A31" s="54"/>
      <c r="B31" s="56"/>
      <c r="C31" s="58"/>
      <c r="D31" s="56"/>
      <c r="E31" s="58"/>
      <c r="F31" s="56"/>
      <c r="G31" s="58"/>
      <c r="H31" s="56"/>
      <c r="I31" s="58"/>
      <c r="J31" s="56"/>
      <c r="K31" s="58"/>
      <c r="L31" s="56"/>
      <c r="M31" s="58"/>
      <c r="N31" s="56"/>
      <c r="O31" s="58"/>
      <c r="P31" s="56"/>
      <c r="Q31" s="58"/>
      <c r="R31" s="56"/>
      <c r="S31" s="58"/>
      <c r="T31" s="56"/>
      <c r="U31" s="58"/>
      <c r="V31" s="56"/>
      <c r="W31" s="58"/>
      <c r="X31" s="56"/>
      <c r="Y31" s="4"/>
      <c r="Z31" s="3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D1CD-BD73-4B51-A6B3-C8DD326D620E}">
  <sheetPr codeName="Sheet16"/>
  <dimension ref="A1:Z30"/>
  <sheetViews>
    <sheetView workbookViewId="0"/>
  </sheetViews>
  <sheetFormatPr defaultRowHeight="15"/>
  <sheetData>
    <row r="1" spans="1:24" ht="19.5">
      <c r="A1" s="129" t="s">
        <v>19</v>
      </c>
      <c r="B1" s="129" t="s">
        <v>26</v>
      </c>
      <c r="C1" s="129" t="s">
        <v>13</v>
      </c>
      <c r="D1" s="129" t="s">
        <v>2</v>
      </c>
      <c r="E1" s="129" t="s">
        <v>27</v>
      </c>
      <c r="F1" s="150"/>
      <c r="G1" s="174" t="s">
        <v>145</v>
      </c>
      <c r="H1" s="66"/>
      <c r="I1" s="33"/>
      <c r="J1" s="66"/>
      <c r="K1" s="172" t="s">
        <v>25</v>
      </c>
      <c r="L1" s="172" t="s">
        <v>21</v>
      </c>
      <c r="M1" s="172" t="s">
        <v>20</v>
      </c>
      <c r="N1" s="172" t="s">
        <v>23</v>
      </c>
      <c r="O1" s="172" t="s">
        <v>24</v>
      </c>
      <c r="P1" s="172" t="s">
        <v>52</v>
      </c>
      <c r="Q1" s="172" t="s">
        <v>28</v>
      </c>
      <c r="R1" s="172" t="s">
        <v>29</v>
      </c>
    </row>
    <row r="2" spans="1:24">
      <c r="A2" t="str">
        <f>Enter!B2</f>
        <v>تبریز</v>
      </c>
      <c r="B2">
        <v>51.3797</v>
      </c>
      <c r="C2">
        <v>35.7029</v>
      </c>
      <c r="D2">
        <v>1210</v>
      </c>
      <c r="E2">
        <v>3.5</v>
      </c>
      <c r="K2">
        <v>90</v>
      </c>
      <c r="L2">
        <v>90</v>
      </c>
      <c r="M2">
        <v>10</v>
      </c>
      <c r="N2">
        <v>2.70925092505399E+16</v>
      </c>
      <c r="O2">
        <v>2.1148199667751552E-14</v>
      </c>
      <c r="P2">
        <v>35.7029</v>
      </c>
      <c r="Q2">
        <v>-2.2000580240802156E+16</v>
      </c>
      <c r="R2">
        <v>1.5810709236419976E+16</v>
      </c>
    </row>
    <row r="5" spans="1:24">
      <c r="B5" s="123" t="s">
        <v>53</v>
      </c>
      <c r="D5" s="123" t="s">
        <v>54</v>
      </c>
      <c r="F5" s="123" t="s">
        <v>55</v>
      </c>
      <c r="H5" s="123" t="s">
        <v>56</v>
      </c>
      <c r="J5" s="123" t="s">
        <v>57</v>
      </c>
      <c r="L5" s="123" t="s">
        <v>58</v>
      </c>
      <c r="N5" s="123" t="s">
        <v>59</v>
      </c>
      <c r="P5" s="123" t="s">
        <v>60</v>
      </c>
      <c r="R5" s="123" t="s">
        <v>16</v>
      </c>
      <c r="T5" s="123" t="s">
        <v>17</v>
      </c>
      <c r="V5" s="123" t="s">
        <v>18</v>
      </c>
      <c r="X5" s="123"/>
    </row>
    <row r="6" spans="1:24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  <c r="K6">
        <v>99999</v>
      </c>
      <c r="L6">
        <v>99999</v>
      </c>
      <c r="M6">
        <v>99999</v>
      </c>
      <c r="N6">
        <v>99999</v>
      </c>
      <c r="O6">
        <v>99999</v>
      </c>
      <c r="P6">
        <v>99999</v>
      </c>
      <c r="Q6">
        <v>99999</v>
      </c>
      <c r="R6">
        <v>99999</v>
      </c>
      <c r="S6">
        <v>99999</v>
      </c>
      <c r="T6">
        <v>99999</v>
      </c>
      <c r="U6">
        <v>99999</v>
      </c>
      <c r="V6">
        <v>99999</v>
      </c>
    </row>
    <row r="7" spans="1:24">
      <c r="A7">
        <v>99999</v>
      </c>
      <c r="B7">
        <v>99999</v>
      </c>
      <c r="C7">
        <v>99999</v>
      </c>
      <c r="D7">
        <v>99999</v>
      </c>
      <c r="E7">
        <v>99999</v>
      </c>
      <c r="F7">
        <v>99999</v>
      </c>
      <c r="G7">
        <v>99999</v>
      </c>
      <c r="H7">
        <v>99999</v>
      </c>
      <c r="I7">
        <v>99999</v>
      </c>
      <c r="J7">
        <v>99999</v>
      </c>
      <c r="K7">
        <v>99999</v>
      </c>
      <c r="L7">
        <v>99999</v>
      </c>
      <c r="M7">
        <v>99999</v>
      </c>
      <c r="N7">
        <v>99999</v>
      </c>
      <c r="O7">
        <v>99999</v>
      </c>
      <c r="P7">
        <v>99999</v>
      </c>
      <c r="Q7">
        <v>99999</v>
      </c>
      <c r="R7">
        <v>99999</v>
      </c>
      <c r="S7">
        <v>99999</v>
      </c>
      <c r="T7">
        <v>99999</v>
      </c>
      <c r="U7">
        <v>99999</v>
      </c>
      <c r="V7">
        <v>99999</v>
      </c>
    </row>
    <row r="8" spans="1:24">
      <c r="A8">
        <v>99999</v>
      </c>
      <c r="B8">
        <v>99999</v>
      </c>
      <c r="C8">
        <v>99999</v>
      </c>
      <c r="D8">
        <v>99999</v>
      </c>
      <c r="E8">
        <v>99999</v>
      </c>
      <c r="F8">
        <v>99999</v>
      </c>
      <c r="G8">
        <v>99999</v>
      </c>
      <c r="H8">
        <v>99999</v>
      </c>
      <c r="I8">
        <v>99999</v>
      </c>
      <c r="J8">
        <v>99999</v>
      </c>
      <c r="K8">
        <v>99999</v>
      </c>
      <c r="L8">
        <v>99999</v>
      </c>
      <c r="M8">
        <v>99999</v>
      </c>
      <c r="N8">
        <v>99999</v>
      </c>
      <c r="O8">
        <v>99999</v>
      </c>
      <c r="P8">
        <v>99999</v>
      </c>
      <c r="Q8">
        <v>99999</v>
      </c>
      <c r="R8">
        <v>99999</v>
      </c>
      <c r="S8">
        <v>99999</v>
      </c>
      <c r="T8">
        <v>99999</v>
      </c>
      <c r="U8">
        <v>99999</v>
      </c>
      <c r="V8">
        <v>99999</v>
      </c>
    </row>
    <row r="9" spans="1:24">
      <c r="A9">
        <v>99999</v>
      </c>
      <c r="B9">
        <v>99999</v>
      </c>
      <c r="C9">
        <v>99999</v>
      </c>
      <c r="D9">
        <v>99999</v>
      </c>
      <c r="E9">
        <v>99999</v>
      </c>
      <c r="F9">
        <v>99999</v>
      </c>
      <c r="G9">
        <v>99999</v>
      </c>
      <c r="H9">
        <v>99999</v>
      </c>
      <c r="I9">
        <v>99999</v>
      </c>
      <c r="J9">
        <v>99999</v>
      </c>
      <c r="K9">
        <v>99999</v>
      </c>
      <c r="L9">
        <v>99999</v>
      </c>
      <c r="M9">
        <v>99999</v>
      </c>
      <c r="N9">
        <v>99999</v>
      </c>
      <c r="O9">
        <v>99999</v>
      </c>
      <c r="P9">
        <v>99999</v>
      </c>
      <c r="Q9">
        <v>99999</v>
      </c>
      <c r="R9">
        <v>99999</v>
      </c>
      <c r="S9">
        <v>99999</v>
      </c>
      <c r="T9">
        <v>99999</v>
      </c>
      <c r="U9">
        <v>99999</v>
      </c>
      <c r="V9">
        <v>99999</v>
      </c>
    </row>
    <row r="10" spans="1:24">
      <c r="A10">
        <v>99999</v>
      </c>
      <c r="B10">
        <v>99999</v>
      </c>
      <c r="C10">
        <v>99999</v>
      </c>
      <c r="D10">
        <v>99999</v>
      </c>
      <c r="E10">
        <v>99999</v>
      </c>
      <c r="F10">
        <v>99999</v>
      </c>
      <c r="G10">
        <v>99999</v>
      </c>
      <c r="H10">
        <v>99999</v>
      </c>
      <c r="I10">
        <v>99999</v>
      </c>
      <c r="J10">
        <v>99999</v>
      </c>
      <c r="K10">
        <v>99999</v>
      </c>
      <c r="L10">
        <v>99999</v>
      </c>
      <c r="M10">
        <v>99999</v>
      </c>
      <c r="N10">
        <v>99999</v>
      </c>
      <c r="O10">
        <v>99999</v>
      </c>
      <c r="P10">
        <v>99999</v>
      </c>
      <c r="Q10">
        <v>99999</v>
      </c>
      <c r="R10">
        <v>99999</v>
      </c>
      <c r="S10">
        <v>99999</v>
      </c>
      <c r="T10">
        <v>99999</v>
      </c>
      <c r="U10">
        <v>99999</v>
      </c>
      <c r="V10">
        <v>99999</v>
      </c>
    </row>
    <row r="11" spans="1:24">
      <c r="A11">
        <v>99999</v>
      </c>
      <c r="B11">
        <v>99999</v>
      </c>
      <c r="C11">
        <v>99999</v>
      </c>
      <c r="D11">
        <v>99999</v>
      </c>
      <c r="E11">
        <v>99999</v>
      </c>
      <c r="F11">
        <v>99999</v>
      </c>
      <c r="G11">
        <v>99999</v>
      </c>
      <c r="H11">
        <v>99999</v>
      </c>
      <c r="I11">
        <v>99999</v>
      </c>
      <c r="J11">
        <v>99999</v>
      </c>
      <c r="K11">
        <v>99999</v>
      </c>
      <c r="L11">
        <v>99999</v>
      </c>
      <c r="M11">
        <v>99999</v>
      </c>
      <c r="N11">
        <v>99999</v>
      </c>
      <c r="O11">
        <v>99999</v>
      </c>
      <c r="P11">
        <v>99999</v>
      </c>
      <c r="Q11">
        <v>99999</v>
      </c>
      <c r="R11">
        <v>99999</v>
      </c>
      <c r="S11">
        <v>99999</v>
      </c>
      <c r="T11">
        <v>99999</v>
      </c>
      <c r="U11">
        <v>99999</v>
      </c>
      <c r="V11">
        <v>99999</v>
      </c>
    </row>
    <row r="12" spans="1:24">
      <c r="A12">
        <v>99999</v>
      </c>
      <c r="B12">
        <v>99999</v>
      </c>
      <c r="C12">
        <v>99999</v>
      </c>
      <c r="D12">
        <v>99999</v>
      </c>
      <c r="E12">
        <v>99999</v>
      </c>
      <c r="F12">
        <v>99999</v>
      </c>
      <c r="G12">
        <v>99999</v>
      </c>
      <c r="H12">
        <v>99999</v>
      </c>
      <c r="I12">
        <v>99999</v>
      </c>
      <c r="J12">
        <v>99999</v>
      </c>
      <c r="K12">
        <v>99999</v>
      </c>
      <c r="L12">
        <v>99999</v>
      </c>
      <c r="M12">
        <v>99999</v>
      </c>
      <c r="N12">
        <v>99999</v>
      </c>
      <c r="O12">
        <v>99999</v>
      </c>
      <c r="P12">
        <v>99999</v>
      </c>
      <c r="Q12">
        <v>99999</v>
      </c>
      <c r="R12">
        <v>99999</v>
      </c>
      <c r="S12">
        <v>99999</v>
      </c>
      <c r="T12">
        <v>99999</v>
      </c>
      <c r="U12">
        <v>99999</v>
      </c>
      <c r="V12">
        <v>99999</v>
      </c>
    </row>
    <row r="13" spans="1:24">
      <c r="A13">
        <v>-8.9421489956922269</v>
      </c>
      <c r="B13">
        <v>-43.409831882207705</v>
      </c>
      <c r="C13">
        <v>-20.216275391535952</v>
      </c>
      <c r="D13">
        <v>-35.30768492115854</v>
      </c>
      <c r="E13">
        <v>-16.694301714080357</v>
      </c>
      <c r="F13">
        <v>-37.838750063217965</v>
      </c>
      <c r="G13">
        <v>-13.72671999839814</v>
      </c>
      <c r="H13">
        <v>-39.971401617332482</v>
      </c>
      <c r="I13">
        <v>-11.156610068344129</v>
      </c>
      <c r="J13">
        <v>-41.818410212785707</v>
      </c>
      <c r="K13">
        <v>-23.68877351879021</v>
      </c>
      <c r="L13">
        <v>-32.812175365814738</v>
      </c>
      <c r="M13">
        <v>-26.903325014255209</v>
      </c>
      <c r="N13">
        <v>-30.502039066498508</v>
      </c>
      <c r="O13">
        <v>-30.467908112884651</v>
      </c>
      <c r="P13">
        <v>-27.940352678929294</v>
      </c>
      <c r="Q13">
        <v>-33.521201459661292</v>
      </c>
      <c r="R13">
        <v>-25.746104491335984</v>
      </c>
      <c r="S13">
        <v>-36.040392035988113</v>
      </c>
      <c r="T13">
        <v>-23.935689071493375</v>
      </c>
      <c r="U13">
        <v>-38.293840082095898</v>
      </c>
      <c r="V13">
        <v>-22.316249427337425</v>
      </c>
    </row>
    <row r="14" spans="1:24">
      <c r="A14">
        <v>-3.2915113525785382</v>
      </c>
      <c r="B14">
        <v>-19.960840495525474</v>
      </c>
      <c r="C14">
        <v>-8.8911790290163459</v>
      </c>
      <c r="D14">
        <v>-15.936641293336175</v>
      </c>
      <c r="E14">
        <v>-7.141874340878072</v>
      </c>
      <c r="F14">
        <v>-17.193778490961844</v>
      </c>
      <c r="G14">
        <v>-5.6679267526534369</v>
      </c>
      <c r="H14">
        <v>-18.253030405778272</v>
      </c>
      <c r="I14">
        <v>-4.3913966699748439</v>
      </c>
      <c r="J14">
        <v>-19.170408299809601</v>
      </c>
      <c r="K14">
        <v>-10.61591004913733</v>
      </c>
      <c r="L14">
        <v>-14.697163953570668</v>
      </c>
      <c r="M14">
        <v>-12.212523345049659</v>
      </c>
      <c r="N14">
        <v>-13.549758371155377</v>
      </c>
      <c r="O14">
        <v>-13.98299141118118</v>
      </c>
      <c r="P14">
        <v>-12.277412119393443</v>
      </c>
      <c r="Q14">
        <v>-15.499510515218443</v>
      </c>
      <c r="R14">
        <v>-11.187566199741683</v>
      </c>
      <c r="S14">
        <v>-16.750749817116333</v>
      </c>
      <c r="T14">
        <v>-10.288363516405211</v>
      </c>
      <c r="U14">
        <v>-17.869999304063157</v>
      </c>
      <c r="V14">
        <v>-9.4840152670663453</v>
      </c>
    </row>
    <row r="15" spans="1:24">
      <c r="A15">
        <v>-0.98982772260270835</v>
      </c>
      <c r="B15">
        <v>-12.09434757369239</v>
      </c>
      <c r="C15">
        <v>-4.8915767847526093</v>
      </c>
      <c r="D15">
        <v>-9.2903569852661079</v>
      </c>
      <c r="E15">
        <v>-3.6726923221839591</v>
      </c>
      <c r="F15">
        <v>-10.16630787472139</v>
      </c>
      <c r="G15">
        <v>-2.6456718001961215</v>
      </c>
      <c r="H15">
        <v>-10.9043758108966</v>
      </c>
      <c r="I15">
        <v>-1.7562082925927971</v>
      </c>
      <c r="J15">
        <v>-11.543588447163403</v>
      </c>
      <c r="K15">
        <v>-6.0933387515446826</v>
      </c>
      <c r="L15">
        <v>-8.426711171366204</v>
      </c>
      <c r="M15">
        <v>-7.2058305617559784</v>
      </c>
      <c r="N15">
        <v>-7.6272193240317252</v>
      </c>
      <c r="O15">
        <v>-8.4394612905333428</v>
      </c>
      <c r="P15">
        <v>-6.7406710355625563</v>
      </c>
      <c r="Q15">
        <v>-9.4961448892418137</v>
      </c>
      <c r="R15">
        <v>-5.9812857397561761</v>
      </c>
      <c r="S15">
        <v>-10.367986229621295</v>
      </c>
      <c r="T15">
        <v>-5.3547372677542384</v>
      </c>
      <c r="U15">
        <v>-11.147859409306946</v>
      </c>
      <c r="V15">
        <v>-4.7942816820227145</v>
      </c>
    </row>
    <row r="16" spans="1:24">
      <c r="A16">
        <v>0.58893665790165017</v>
      </c>
      <c r="B16">
        <v>-7.8577435852953341</v>
      </c>
      <c r="C16">
        <v>-2.5701967974624207</v>
      </c>
      <c r="D16">
        <v>-5.5874334409667519</v>
      </c>
      <c r="E16">
        <v>-1.5833012737912107</v>
      </c>
      <c r="F16">
        <v>-6.2966655612429134</v>
      </c>
      <c r="G16">
        <v>-0.75175243795462321</v>
      </c>
      <c r="H16">
        <v>-6.8942578390553289</v>
      </c>
      <c r="I16">
        <v>-3.157954127765495E-2</v>
      </c>
      <c r="J16">
        <v>-7.4118098374427479</v>
      </c>
      <c r="K16">
        <v>-3.5432287311421948</v>
      </c>
      <c r="L16">
        <v>-4.8881643847520095</v>
      </c>
      <c r="M16">
        <v>-4.4439811989394222</v>
      </c>
      <c r="N16">
        <v>-4.2408389412204137</v>
      </c>
      <c r="O16">
        <v>-5.4428163481938272</v>
      </c>
      <c r="P16">
        <v>-3.5230264132267548</v>
      </c>
      <c r="Q16">
        <v>-6.2983825199903949</v>
      </c>
      <c r="R16">
        <v>-2.9081740853910936</v>
      </c>
      <c r="S16">
        <v>-7.0042872571455419</v>
      </c>
      <c r="T16">
        <v>-2.4008758948155267</v>
      </c>
      <c r="U16">
        <v>-7.6357280324599248</v>
      </c>
      <c r="V16">
        <v>-1.9470912041735993</v>
      </c>
    </row>
    <row r="17" spans="1:26">
      <c r="A17">
        <v>1.9777650224459591</v>
      </c>
      <c r="B17">
        <v>-4.9804311110018773</v>
      </c>
      <c r="C17">
        <v>-0.83740892492597907</v>
      </c>
      <c r="D17">
        <v>-2.9573073458706931</v>
      </c>
      <c r="E17">
        <v>4.2035582965820557E-2</v>
      </c>
      <c r="F17">
        <v>-3.5893198315257857</v>
      </c>
      <c r="G17">
        <v>0.78304720899883529</v>
      </c>
      <c r="H17">
        <v>-4.1218475754207624</v>
      </c>
      <c r="I17">
        <v>1.4248092633640685</v>
      </c>
      <c r="J17">
        <v>-4.583049649615071</v>
      </c>
      <c r="K17">
        <v>-1.7044992800374752</v>
      </c>
      <c r="L17">
        <v>-2.334173167757208</v>
      </c>
      <c r="M17">
        <v>-2.5071797986677029</v>
      </c>
      <c r="N17">
        <v>-1.7573270959311227</v>
      </c>
      <c r="O17">
        <v>-3.3972639719481599</v>
      </c>
      <c r="P17">
        <v>-1.117668418494193</v>
      </c>
      <c r="Q17">
        <v>-4.1596779791832121</v>
      </c>
      <c r="R17">
        <v>-0.56975986089118213</v>
      </c>
      <c r="S17">
        <v>-4.7887253598791277</v>
      </c>
      <c r="T17">
        <v>-0.11769518244831542</v>
      </c>
      <c r="U17">
        <v>-5.3514162512547596</v>
      </c>
      <c r="V17">
        <v>0.28668242833044977</v>
      </c>
    </row>
    <row r="18" spans="1:26">
      <c r="A18">
        <v>3.4068977858051674</v>
      </c>
      <c r="B18">
        <v>-2.6891801225096557</v>
      </c>
      <c r="C18">
        <v>0.70189704398237507</v>
      </c>
      <c r="D18">
        <v>-0.74523229271818325</v>
      </c>
      <c r="E18">
        <v>1.5469240621032561</v>
      </c>
      <c r="F18">
        <v>-1.3525106614791114</v>
      </c>
      <c r="G18">
        <v>2.2589358367184018</v>
      </c>
      <c r="H18">
        <v>-1.8641976723730118</v>
      </c>
      <c r="I18">
        <v>2.8755822200625851</v>
      </c>
      <c r="J18">
        <v>-2.3073503784395215</v>
      </c>
      <c r="K18">
        <v>-0.13125930715307502</v>
      </c>
      <c r="L18">
        <v>-0.14648477460277284</v>
      </c>
      <c r="M18">
        <v>-0.90252653217425283</v>
      </c>
      <c r="N18">
        <v>0.40778614484211029</v>
      </c>
      <c r="O18">
        <v>-1.757776827189242</v>
      </c>
      <c r="P18">
        <v>1.0224114679400149</v>
      </c>
      <c r="Q18">
        <v>-2.4903533903789379</v>
      </c>
      <c r="R18">
        <v>1.5488773568953973</v>
      </c>
      <c r="S18">
        <v>-3.0947826950095143</v>
      </c>
      <c r="T18">
        <v>1.9832502636500202</v>
      </c>
      <c r="U18">
        <v>-3.6354524038951497</v>
      </c>
      <c r="V18">
        <v>2.3718023593932434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99999</v>
      </c>
      <c r="B20">
        <v>99999</v>
      </c>
      <c r="C20">
        <v>99999</v>
      </c>
      <c r="D20">
        <v>99999</v>
      </c>
      <c r="E20">
        <v>99999</v>
      </c>
      <c r="F20">
        <v>99999</v>
      </c>
      <c r="G20">
        <v>99999</v>
      </c>
      <c r="H20">
        <v>99999</v>
      </c>
      <c r="I20">
        <v>99999</v>
      </c>
      <c r="J20">
        <v>99999</v>
      </c>
      <c r="K20">
        <v>99999</v>
      </c>
      <c r="L20">
        <v>99999</v>
      </c>
      <c r="M20">
        <v>99999</v>
      </c>
      <c r="N20">
        <v>99999</v>
      </c>
      <c r="O20">
        <v>-8.9421489956922269</v>
      </c>
      <c r="P20">
        <v>-43.409831882207705</v>
      </c>
      <c r="Q20">
        <v>-3.2915113525785382</v>
      </c>
      <c r="R20">
        <v>-19.960840495525474</v>
      </c>
      <c r="S20">
        <v>-0.98982772260270835</v>
      </c>
      <c r="T20">
        <v>-12.09434757369239</v>
      </c>
      <c r="U20">
        <v>0.58893665790165017</v>
      </c>
      <c r="V20">
        <v>-7.8577435852953341</v>
      </c>
      <c r="W20">
        <v>1.9777650224459591</v>
      </c>
      <c r="X20">
        <v>-4.9804311110018773</v>
      </c>
      <c r="Y20">
        <v>3.4068977858051674</v>
      </c>
      <c r="Z20">
        <v>-2.6891801225096557</v>
      </c>
    </row>
    <row r="21" spans="1:26">
      <c r="A21">
        <v>99999</v>
      </c>
      <c r="B21">
        <v>99999</v>
      </c>
      <c r="C21">
        <v>99999</v>
      </c>
      <c r="D21">
        <v>99999</v>
      </c>
      <c r="E21">
        <v>99999</v>
      </c>
      <c r="F21">
        <v>99999</v>
      </c>
      <c r="G21">
        <v>99999</v>
      </c>
      <c r="H21">
        <v>99999</v>
      </c>
      <c r="I21">
        <v>99999</v>
      </c>
      <c r="J21">
        <v>99999</v>
      </c>
      <c r="K21">
        <v>99999</v>
      </c>
      <c r="L21">
        <v>99999</v>
      </c>
      <c r="M21">
        <v>99999</v>
      </c>
      <c r="N21">
        <v>99999</v>
      </c>
      <c r="O21">
        <v>-20.216275391535952</v>
      </c>
      <c r="P21">
        <v>-35.30768492115854</v>
      </c>
      <c r="Q21">
        <v>-8.8911790290163459</v>
      </c>
      <c r="R21">
        <v>-15.936641293336175</v>
      </c>
      <c r="S21">
        <v>-4.8915767847526093</v>
      </c>
      <c r="T21">
        <v>-9.2903569852661079</v>
      </c>
      <c r="U21">
        <v>-2.5701967974624207</v>
      </c>
      <c r="V21">
        <v>-5.5874334409667519</v>
      </c>
      <c r="W21">
        <v>-0.83740892492597907</v>
      </c>
      <c r="X21">
        <v>-2.9573073458706931</v>
      </c>
      <c r="Y21">
        <v>0.70189704398237507</v>
      </c>
      <c r="Z21">
        <v>-0.74523229271818325</v>
      </c>
    </row>
    <row r="22" spans="1:26">
      <c r="A22">
        <v>99999</v>
      </c>
      <c r="B22">
        <v>99999</v>
      </c>
      <c r="C22">
        <v>99999</v>
      </c>
      <c r="D22">
        <v>99999</v>
      </c>
      <c r="E22">
        <v>99999</v>
      </c>
      <c r="F22">
        <v>99999</v>
      </c>
      <c r="G22">
        <v>99999</v>
      </c>
      <c r="H22">
        <v>99999</v>
      </c>
      <c r="I22">
        <v>99999</v>
      </c>
      <c r="J22">
        <v>99999</v>
      </c>
      <c r="K22">
        <v>99999</v>
      </c>
      <c r="L22">
        <v>99999</v>
      </c>
      <c r="M22">
        <v>99999</v>
      </c>
      <c r="N22">
        <v>99999</v>
      </c>
      <c r="O22">
        <v>-16.694301714080357</v>
      </c>
      <c r="P22">
        <v>-37.838750063217965</v>
      </c>
      <c r="Q22">
        <v>-7.141874340878072</v>
      </c>
      <c r="R22">
        <v>-17.193778490961844</v>
      </c>
      <c r="S22">
        <v>-3.6726923221839591</v>
      </c>
      <c r="T22">
        <v>-10.16630787472139</v>
      </c>
      <c r="U22">
        <v>-1.5833012737912107</v>
      </c>
      <c r="V22">
        <v>-6.2966655612429134</v>
      </c>
      <c r="W22">
        <v>4.2035582965820557E-2</v>
      </c>
      <c r="X22">
        <v>-3.5893198315257857</v>
      </c>
      <c r="Y22">
        <v>1.5469240621032561</v>
      </c>
      <c r="Z22">
        <v>-1.3525106614791114</v>
      </c>
    </row>
    <row r="23" spans="1:26">
      <c r="A23">
        <v>99999</v>
      </c>
      <c r="B23">
        <v>99999</v>
      </c>
      <c r="C23">
        <v>99999</v>
      </c>
      <c r="D23">
        <v>99999</v>
      </c>
      <c r="E23">
        <v>99999</v>
      </c>
      <c r="F23">
        <v>99999</v>
      </c>
      <c r="G23">
        <v>99999</v>
      </c>
      <c r="H23">
        <v>99999</v>
      </c>
      <c r="I23">
        <v>99999</v>
      </c>
      <c r="J23">
        <v>99999</v>
      </c>
      <c r="K23">
        <v>99999</v>
      </c>
      <c r="L23">
        <v>99999</v>
      </c>
      <c r="M23">
        <v>99999</v>
      </c>
      <c r="N23">
        <v>99999</v>
      </c>
      <c r="O23">
        <v>-13.72671999839814</v>
      </c>
      <c r="P23">
        <v>-39.971401617332482</v>
      </c>
      <c r="Q23">
        <v>-5.6679267526534369</v>
      </c>
      <c r="R23">
        <v>-18.253030405778272</v>
      </c>
      <c r="S23">
        <v>-2.6456718001961215</v>
      </c>
      <c r="T23">
        <v>-10.9043758108966</v>
      </c>
      <c r="U23">
        <v>-0.75175243795462321</v>
      </c>
      <c r="V23">
        <v>-6.8942578390553289</v>
      </c>
      <c r="W23">
        <v>0.78304720899883529</v>
      </c>
      <c r="X23">
        <v>-4.1218475754207624</v>
      </c>
      <c r="Y23">
        <v>2.2589358367184018</v>
      </c>
      <c r="Z23">
        <v>-1.8641976723730118</v>
      </c>
    </row>
    <row r="24" spans="1:26">
      <c r="A24">
        <v>99999</v>
      </c>
      <c r="B24">
        <v>99999</v>
      </c>
      <c r="C24">
        <v>99999</v>
      </c>
      <c r="D24">
        <v>99999</v>
      </c>
      <c r="E24">
        <v>99999</v>
      </c>
      <c r="F24">
        <v>99999</v>
      </c>
      <c r="G24">
        <v>99999</v>
      </c>
      <c r="H24">
        <v>99999</v>
      </c>
      <c r="I24">
        <v>99999</v>
      </c>
      <c r="J24">
        <v>99999</v>
      </c>
      <c r="K24">
        <v>99999</v>
      </c>
      <c r="L24">
        <v>99999</v>
      </c>
      <c r="M24">
        <v>99999</v>
      </c>
      <c r="N24">
        <v>99999</v>
      </c>
      <c r="O24">
        <v>-11.156610068344129</v>
      </c>
      <c r="P24">
        <v>-41.818410212785707</v>
      </c>
      <c r="Q24">
        <v>-4.3913966699748439</v>
      </c>
      <c r="R24">
        <v>-19.170408299809601</v>
      </c>
      <c r="S24">
        <v>-1.7562082925927971</v>
      </c>
      <c r="T24">
        <v>-11.543588447163403</v>
      </c>
      <c r="U24">
        <v>-3.157954127765495E-2</v>
      </c>
      <c r="V24">
        <v>-7.4118098374427479</v>
      </c>
      <c r="W24">
        <v>1.4248092633640685</v>
      </c>
      <c r="X24">
        <v>-4.583049649615071</v>
      </c>
      <c r="Y24">
        <v>2.8755822200625851</v>
      </c>
      <c r="Z24">
        <v>-2.3073503784395215</v>
      </c>
    </row>
    <row r="25" spans="1:26">
      <c r="A25">
        <v>99999</v>
      </c>
      <c r="B25">
        <v>99999</v>
      </c>
      <c r="C25">
        <v>99999</v>
      </c>
      <c r="D25">
        <v>99999</v>
      </c>
      <c r="E25">
        <v>99999</v>
      </c>
      <c r="F25">
        <v>99999</v>
      </c>
      <c r="G25">
        <v>99999</v>
      </c>
      <c r="H25">
        <v>99999</v>
      </c>
      <c r="I25">
        <v>99999</v>
      </c>
      <c r="J25">
        <v>99999</v>
      </c>
      <c r="K25">
        <v>99999</v>
      </c>
      <c r="L25">
        <v>99999</v>
      </c>
      <c r="M25">
        <v>99999</v>
      </c>
      <c r="N25">
        <v>99999</v>
      </c>
      <c r="O25">
        <v>-23.68877351879021</v>
      </c>
      <c r="P25">
        <v>-32.812175365814738</v>
      </c>
      <c r="Q25">
        <v>-10.61591004913733</v>
      </c>
      <c r="R25">
        <v>-14.697163953570668</v>
      </c>
      <c r="S25">
        <v>-6.0933387515446826</v>
      </c>
      <c r="T25">
        <v>-8.426711171366204</v>
      </c>
      <c r="U25">
        <v>-3.5432287311421948</v>
      </c>
      <c r="V25">
        <v>-4.8881643847520095</v>
      </c>
      <c r="W25">
        <v>-1.7044992800374752</v>
      </c>
      <c r="X25">
        <v>-2.334173167757208</v>
      </c>
      <c r="Y25">
        <v>-0.13125930715307502</v>
      </c>
      <c r="Z25">
        <v>-0.14648477460277284</v>
      </c>
    </row>
    <row r="26" spans="1:26">
      <c r="A26">
        <v>99999</v>
      </c>
      <c r="B26">
        <v>99999</v>
      </c>
      <c r="C26">
        <v>99999</v>
      </c>
      <c r="D26">
        <v>99999</v>
      </c>
      <c r="E26">
        <v>99999</v>
      </c>
      <c r="F26">
        <v>99999</v>
      </c>
      <c r="G26">
        <v>99999</v>
      </c>
      <c r="H26">
        <v>99999</v>
      </c>
      <c r="I26">
        <v>99999</v>
      </c>
      <c r="J26">
        <v>99999</v>
      </c>
      <c r="K26">
        <v>99999</v>
      </c>
      <c r="L26">
        <v>99999</v>
      </c>
      <c r="M26">
        <v>99999</v>
      </c>
      <c r="N26">
        <v>99999</v>
      </c>
      <c r="O26">
        <v>-26.903325014255209</v>
      </c>
      <c r="P26">
        <v>-30.502039066498508</v>
      </c>
      <c r="Q26">
        <v>-12.212523345049659</v>
      </c>
      <c r="R26">
        <v>-13.549758371155377</v>
      </c>
      <c r="S26">
        <v>-7.2058305617559784</v>
      </c>
      <c r="T26">
        <v>-7.6272193240317252</v>
      </c>
      <c r="U26">
        <v>-4.4439811989394222</v>
      </c>
      <c r="V26">
        <v>-4.2408389412204137</v>
      </c>
      <c r="W26">
        <v>-2.5071797986677029</v>
      </c>
      <c r="X26">
        <v>-1.7573270959311227</v>
      </c>
      <c r="Y26">
        <v>-0.90252653217425283</v>
      </c>
      <c r="Z26">
        <v>0.40778614484211029</v>
      </c>
    </row>
    <row r="27" spans="1:26">
      <c r="A27">
        <v>99999</v>
      </c>
      <c r="B27">
        <v>99999</v>
      </c>
      <c r="C27">
        <v>99999</v>
      </c>
      <c r="D27">
        <v>99999</v>
      </c>
      <c r="E27">
        <v>99999</v>
      </c>
      <c r="F27">
        <v>99999</v>
      </c>
      <c r="G27">
        <v>99999</v>
      </c>
      <c r="H27">
        <v>99999</v>
      </c>
      <c r="I27">
        <v>99999</v>
      </c>
      <c r="J27">
        <v>99999</v>
      </c>
      <c r="K27">
        <v>99999</v>
      </c>
      <c r="L27">
        <v>99999</v>
      </c>
      <c r="M27">
        <v>99999</v>
      </c>
      <c r="N27">
        <v>99999</v>
      </c>
      <c r="O27">
        <v>-30.467908112884651</v>
      </c>
      <c r="P27">
        <v>-27.940352678929294</v>
      </c>
      <c r="Q27">
        <v>-13.98299141118118</v>
      </c>
      <c r="R27">
        <v>-12.277412119393443</v>
      </c>
      <c r="S27">
        <v>-8.4394612905333428</v>
      </c>
      <c r="T27">
        <v>-6.7406710355625563</v>
      </c>
      <c r="U27">
        <v>-5.4428163481938272</v>
      </c>
      <c r="V27">
        <v>-3.5230264132267548</v>
      </c>
      <c r="W27">
        <v>-3.3972639719481599</v>
      </c>
      <c r="X27">
        <v>-1.117668418494193</v>
      </c>
      <c r="Y27">
        <v>-1.757776827189242</v>
      </c>
      <c r="Z27">
        <v>1.0224114679400149</v>
      </c>
    </row>
    <row r="28" spans="1:26">
      <c r="A28">
        <v>99999</v>
      </c>
      <c r="B28">
        <v>99999</v>
      </c>
      <c r="C28">
        <v>99999</v>
      </c>
      <c r="D28">
        <v>99999</v>
      </c>
      <c r="E28">
        <v>99999</v>
      </c>
      <c r="F28">
        <v>99999</v>
      </c>
      <c r="G28">
        <v>99999</v>
      </c>
      <c r="H28">
        <v>99999</v>
      </c>
      <c r="I28">
        <v>99999</v>
      </c>
      <c r="J28">
        <v>99999</v>
      </c>
      <c r="K28">
        <v>99999</v>
      </c>
      <c r="L28">
        <v>99999</v>
      </c>
      <c r="M28">
        <v>99999</v>
      </c>
      <c r="N28">
        <v>99999</v>
      </c>
      <c r="O28">
        <v>-33.521201459661292</v>
      </c>
      <c r="P28">
        <v>-25.746104491335984</v>
      </c>
      <c r="Q28">
        <v>-15.499510515218443</v>
      </c>
      <c r="R28">
        <v>-11.187566199741683</v>
      </c>
      <c r="S28">
        <v>-9.4961448892418137</v>
      </c>
      <c r="T28">
        <v>-5.9812857397561761</v>
      </c>
      <c r="U28">
        <v>-6.2983825199903949</v>
      </c>
      <c r="V28">
        <v>-2.9081740853910936</v>
      </c>
      <c r="W28">
        <v>-4.1596779791832121</v>
      </c>
      <c r="X28">
        <v>-0.56975986089118213</v>
      </c>
      <c r="Y28">
        <v>-2.4903533903789379</v>
      </c>
      <c r="Z28">
        <v>1.5488773568953973</v>
      </c>
    </row>
    <row r="29" spans="1:26">
      <c r="A29">
        <v>99999</v>
      </c>
      <c r="B29">
        <v>99999</v>
      </c>
      <c r="C29">
        <v>99999</v>
      </c>
      <c r="D29">
        <v>99999</v>
      </c>
      <c r="E29">
        <v>99999</v>
      </c>
      <c r="F29">
        <v>99999</v>
      </c>
      <c r="G29">
        <v>99999</v>
      </c>
      <c r="H29">
        <v>99999</v>
      </c>
      <c r="I29">
        <v>99999</v>
      </c>
      <c r="J29">
        <v>99999</v>
      </c>
      <c r="K29">
        <v>99999</v>
      </c>
      <c r="L29">
        <v>99999</v>
      </c>
      <c r="M29">
        <v>99999</v>
      </c>
      <c r="N29">
        <v>99999</v>
      </c>
      <c r="O29">
        <v>-36.040392035988113</v>
      </c>
      <c r="P29">
        <v>-23.935689071493375</v>
      </c>
      <c r="Q29">
        <v>-16.750749817116333</v>
      </c>
      <c r="R29">
        <v>-10.288363516405211</v>
      </c>
      <c r="S29">
        <v>-10.367986229621295</v>
      </c>
      <c r="T29">
        <v>-5.3547372677542384</v>
      </c>
      <c r="U29">
        <v>-7.0042872571455419</v>
      </c>
      <c r="V29">
        <v>-2.4008758948155267</v>
      </c>
      <c r="W29">
        <v>-4.7887253598791277</v>
      </c>
      <c r="X29">
        <v>-0.11769518244831542</v>
      </c>
      <c r="Y29">
        <v>-3.0947826950095143</v>
      </c>
      <c r="Z29">
        <v>1.9832502636500202</v>
      </c>
    </row>
    <row r="30" spans="1:26">
      <c r="A30">
        <v>99999</v>
      </c>
      <c r="B30">
        <v>99999</v>
      </c>
      <c r="C30">
        <v>99999</v>
      </c>
      <c r="D30">
        <v>99999</v>
      </c>
      <c r="E30">
        <v>99999</v>
      </c>
      <c r="F30">
        <v>99999</v>
      </c>
      <c r="G30">
        <v>99999</v>
      </c>
      <c r="H30">
        <v>99999</v>
      </c>
      <c r="I30">
        <v>99999</v>
      </c>
      <c r="J30">
        <v>99999</v>
      </c>
      <c r="K30">
        <v>99999</v>
      </c>
      <c r="L30">
        <v>99999</v>
      </c>
      <c r="M30">
        <v>99999</v>
      </c>
      <c r="N30">
        <v>99999</v>
      </c>
      <c r="O30">
        <v>-38.293840082095898</v>
      </c>
      <c r="P30">
        <v>-22.316249427337425</v>
      </c>
      <c r="Q30">
        <v>-17.869999304063157</v>
      </c>
      <c r="R30">
        <v>-9.4840152670663453</v>
      </c>
      <c r="S30">
        <v>-11.147859409306946</v>
      </c>
      <c r="T30">
        <v>-4.7942816820227145</v>
      </c>
      <c r="U30">
        <v>-7.6357280324599248</v>
      </c>
      <c r="V30">
        <v>-1.9470912041735993</v>
      </c>
      <c r="W30">
        <v>-5.3514162512547596</v>
      </c>
      <c r="X30">
        <v>0.28668242833044977</v>
      </c>
      <c r="Y30">
        <v>-3.6354524038951497</v>
      </c>
      <c r="Z30">
        <v>2.3718023593932434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F018A-CFAF-485B-A792-376CA0B59AC7}">
  <sheetPr codeName="Sheet5"/>
  <dimension ref="A1:Z30"/>
  <sheetViews>
    <sheetView zoomScaleNormal="100" workbookViewId="0"/>
  </sheetViews>
  <sheetFormatPr defaultRowHeight="15"/>
  <cols>
    <col min="2" max="2" width="10.28515625" customWidth="1"/>
    <col min="6" max="6" width="10.140625" customWidth="1"/>
    <col min="10" max="10" width="10.140625" customWidth="1"/>
    <col min="12" max="12" width="10.7109375" customWidth="1"/>
    <col min="13" max="13" width="10.42578125" customWidth="1"/>
    <col min="14" max="14" width="9.85546875" customWidth="1"/>
    <col min="15" max="15" width="10" customWidth="1"/>
    <col min="16" max="16" width="10.42578125" customWidth="1"/>
    <col min="18" max="18" width="11" customWidth="1"/>
    <col min="20" max="20" width="10.85546875" customWidth="1"/>
    <col min="22" max="22" width="10.85546875" customWidth="1"/>
    <col min="24" max="24" width="10.42578125" customWidth="1"/>
  </cols>
  <sheetData>
    <row r="1" spans="1:24" ht="19.5">
      <c r="A1" s="129" t="s">
        <v>19</v>
      </c>
      <c r="B1" s="129" t="s">
        <v>26</v>
      </c>
      <c r="C1" s="129" t="s">
        <v>13</v>
      </c>
      <c r="D1" s="129" t="s">
        <v>2</v>
      </c>
      <c r="E1" s="129" t="s">
        <v>27</v>
      </c>
      <c r="F1" s="66"/>
      <c r="G1" s="174" t="s">
        <v>40</v>
      </c>
      <c r="H1" s="66"/>
      <c r="I1" s="33"/>
      <c r="J1" s="66"/>
      <c r="K1" s="172" t="s">
        <v>25</v>
      </c>
      <c r="L1" s="172" t="s">
        <v>21</v>
      </c>
      <c r="M1" s="172" t="s">
        <v>20</v>
      </c>
      <c r="N1" s="172" t="s">
        <v>23</v>
      </c>
      <c r="O1" s="172" t="s">
        <v>24</v>
      </c>
      <c r="P1" s="172" t="s">
        <v>52</v>
      </c>
      <c r="Q1" s="172" t="s">
        <v>28</v>
      </c>
      <c r="R1" s="172" t="s">
        <v>29</v>
      </c>
    </row>
    <row r="2" spans="1:24">
      <c r="A2" t="str">
        <f>Enter!B2</f>
        <v>تبریز</v>
      </c>
      <c r="B2">
        <v>51.3797</v>
      </c>
      <c r="C2">
        <v>35.7029</v>
      </c>
      <c r="D2">
        <v>1210</v>
      </c>
      <c r="E2">
        <v>3.5</v>
      </c>
      <c r="K2">
        <v>0</v>
      </c>
      <c r="L2">
        <v>0</v>
      </c>
      <c r="M2">
        <v>10</v>
      </c>
      <c r="N2">
        <v>17.135543286149552</v>
      </c>
      <c r="O2">
        <v>0</v>
      </c>
      <c r="P2">
        <v>0</v>
      </c>
      <c r="Q2">
        <v>0</v>
      </c>
      <c r="R2">
        <v>-13.914986299364614</v>
      </c>
    </row>
    <row r="5" spans="1:24">
      <c r="B5" s="123" t="s">
        <v>53</v>
      </c>
      <c r="D5" s="123" t="s">
        <v>54</v>
      </c>
      <c r="F5" s="123" t="s">
        <v>55</v>
      </c>
      <c r="H5" s="123" t="s">
        <v>56</v>
      </c>
      <c r="J5" s="123" t="s">
        <v>57</v>
      </c>
      <c r="L5" s="123" t="s">
        <v>58</v>
      </c>
      <c r="N5" s="123" t="s">
        <v>59</v>
      </c>
      <c r="P5" s="123" t="s">
        <v>60</v>
      </c>
      <c r="R5" s="123" t="s">
        <v>16</v>
      </c>
      <c r="T5" s="123" t="s">
        <v>17</v>
      </c>
      <c r="V5" s="123" t="s">
        <v>18</v>
      </c>
      <c r="X5" s="123"/>
    </row>
    <row r="6" spans="1:24">
      <c r="A6">
        <v>-72.253730092492134</v>
      </c>
      <c r="B6">
        <v>-15.327938048894277</v>
      </c>
      <c r="C6">
        <v>-400.70842156256026</v>
      </c>
      <c r="D6">
        <v>-21.751006177830657</v>
      </c>
      <c r="E6">
        <v>-165.57526766162641</v>
      </c>
      <c r="F6">
        <v>-17.152879537843202</v>
      </c>
      <c r="G6">
        <v>-110.79516949216379</v>
      </c>
      <c r="H6">
        <v>-16.081631929603919</v>
      </c>
      <c r="I6">
        <v>-86.119106565680596</v>
      </c>
      <c r="J6">
        <v>-15.599081253827785</v>
      </c>
      <c r="K6">
        <v>1001.3975229326368</v>
      </c>
      <c r="L6">
        <v>5.6677588432195494</v>
      </c>
      <c r="M6">
        <v>236.22615577461744</v>
      </c>
      <c r="N6">
        <v>-9.2954855530482057</v>
      </c>
      <c r="O6">
        <v>127.87599234933718</v>
      </c>
      <c r="P6">
        <v>-11.414318072526425</v>
      </c>
      <c r="Q6">
        <v>91.806811440731394</v>
      </c>
      <c r="R6">
        <v>-12.119665909983084</v>
      </c>
      <c r="S6">
        <v>74.474795682977955</v>
      </c>
      <c r="T6">
        <v>-12.458600688249128</v>
      </c>
      <c r="U6">
        <v>63.715034747764179</v>
      </c>
      <c r="V6">
        <v>-12.66901228940065</v>
      </c>
    </row>
    <row r="7" spans="1:24">
      <c r="A7">
        <v>-37.149712988019701</v>
      </c>
      <c r="B7">
        <v>-4.7353288896159418</v>
      </c>
      <c r="C7">
        <v>-65.640053291275436</v>
      </c>
      <c r="D7">
        <v>2.3046060771867172</v>
      </c>
      <c r="E7">
        <v>-52.953584777516845</v>
      </c>
      <c r="F7">
        <v>-0.83020777005412949</v>
      </c>
      <c r="G7">
        <v>-45.537751102160364</v>
      </c>
      <c r="H7">
        <v>-2.662652951243099</v>
      </c>
      <c r="I7">
        <v>-40.612045089005846</v>
      </c>
      <c r="J7">
        <v>-3.8797900450472702</v>
      </c>
      <c r="K7">
        <v>-85.940106861808019</v>
      </c>
      <c r="L7">
        <v>7.3207292767691481</v>
      </c>
      <c r="M7">
        <v>-120.4132524298108</v>
      </c>
      <c r="N7">
        <v>15.839009519007165</v>
      </c>
      <c r="O7">
        <v>-216.88610074132779</v>
      </c>
      <c r="P7">
        <v>39.67735511074747</v>
      </c>
      <c r="Q7">
        <v>-691.29914430617794</v>
      </c>
      <c r="R7">
        <v>156.90434989388109</v>
      </c>
      <c r="S7">
        <v>859.02196441742524</v>
      </c>
      <c r="T7">
        <v>-226.17846578692507</v>
      </c>
      <c r="U7">
        <v>285.76418144023938</v>
      </c>
      <c r="V7">
        <v>-84.527033462275696</v>
      </c>
    </row>
    <row r="8" spans="1:24">
      <c r="A8">
        <v>-23.255963403199143</v>
      </c>
      <c r="B8">
        <v>-1.0877532211300112</v>
      </c>
      <c r="C8">
        <v>-33.281825206050492</v>
      </c>
      <c r="D8">
        <v>4.4421860862930727</v>
      </c>
      <c r="E8">
        <v>-29.331564063834659</v>
      </c>
      <c r="F8">
        <v>2.2633505114088535</v>
      </c>
      <c r="G8">
        <v>-26.664861467010741</v>
      </c>
      <c r="H8">
        <v>0.79248408602187459</v>
      </c>
      <c r="I8">
        <v>-24.718554050454578</v>
      </c>
      <c r="J8">
        <v>-0.28103578676172947</v>
      </c>
      <c r="K8">
        <v>-38.377790575310826</v>
      </c>
      <c r="L8">
        <v>7.2529548519990801</v>
      </c>
      <c r="M8">
        <v>-44.715899033764032</v>
      </c>
      <c r="N8">
        <v>10.748849348484468</v>
      </c>
      <c r="O8">
        <v>-54.740774660112258</v>
      </c>
      <c r="P8">
        <v>16.278244713021053</v>
      </c>
      <c r="Q8">
        <v>-67.751285691308411</v>
      </c>
      <c r="R8">
        <v>23.454419467455775</v>
      </c>
      <c r="S8">
        <v>-84.278170843254671</v>
      </c>
      <c r="T8">
        <v>32.570111826692418</v>
      </c>
      <c r="U8">
        <v>-107.80053096898055</v>
      </c>
      <c r="V8">
        <v>45.544280673266691</v>
      </c>
    </row>
    <row r="9" spans="1:24">
      <c r="A9">
        <v>-15.13888900457418</v>
      </c>
      <c r="B9">
        <v>0.64316475086219882</v>
      </c>
      <c r="C9">
        <v>-19.873141529121028</v>
      </c>
      <c r="D9">
        <v>5.1958081675254739</v>
      </c>
      <c r="E9">
        <v>-18.104472776463503</v>
      </c>
      <c r="F9">
        <v>3.4949867366249183</v>
      </c>
      <c r="G9">
        <v>-16.841545071906282</v>
      </c>
      <c r="H9">
        <v>2.2805057874016983</v>
      </c>
      <c r="I9">
        <v>-15.882038683318283</v>
      </c>
      <c r="J9">
        <v>1.3578067085920749</v>
      </c>
      <c r="K9">
        <v>-21.991348518014888</v>
      </c>
      <c r="L9">
        <v>7.2327593130583798</v>
      </c>
      <c r="M9">
        <v>-24.398745644949241</v>
      </c>
      <c r="N9">
        <v>9.5478070686237277</v>
      </c>
      <c r="O9">
        <v>-27.769722518309869</v>
      </c>
      <c r="P9">
        <v>12.789471004093324</v>
      </c>
      <c r="Q9">
        <v>-31.497248489145676</v>
      </c>
      <c r="R9">
        <v>16.374006574086255</v>
      </c>
      <c r="S9">
        <v>-35.419993783456448</v>
      </c>
      <c r="T9">
        <v>20.146272723133762</v>
      </c>
      <c r="U9">
        <v>-39.860664313321301</v>
      </c>
      <c r="V9">
        <v>24.41659614769484</v>
      </c>
    </row>
    <row r="10" spans="1:24">
      <c r="A10">
        <v>-9.3403301263777596</v>
      </c>
      <c r="B10">
        <v>1.5562598146349114</v>
      </c>
      <c r="C10">
        <v>-11.74855515920712</v>
      </c>
      <c r="D10">
        <v>5.5452239814985296</v>
      </c>
      <c r="E10">
        <v>-10.872806080954852</v>
      </c>
      <c r="F10">
        <v>4.0946404003587267</v>
      </c>
      <c r="G10">
        <v>-10.230268071642683</v>
      </c>
      <c r="H10">
        <v>3.0303457185686056</v>
      </c>
      <c r="I10">
        <v>-9.7321688868654554</v>
      </c>
      <c r="J10">
        <v>2.2052983195363045</v>
      </c>
      <c r="K10">
        <v>-12.762031901615549</v>
      </c>
      <c r="L10">
        <v>7.2239385344600562</v>
      </c>
      <c r="M10">
        <v>-13.869603303086786</v>
      </c>
      <c r="N10">
        <v>9.0585107079421245</v>
      </c>
      <c r="O10">
        <v>-15.346498074181198</v>
      </c>
      <c r="P10">
        <v>11.504827077804931</v>
      </c>
      <c r="Q10">
        <v>-16.886748495670162</v>
      </c>
      <c r="R10">
        <v>14.056085226673867</v>
      </c>
      <c r="S10">
        <v>-18.411364654787604</v>
      </c>
      <c r="T10">
        <v>16.581446911746777</v>
      </c>
      <c r="U10">
        <v>-20.028917539316105</v>
      </c>
      <c r="V10">
        <v>19.260748225548987</v>
      </c>
    </row>
    <row r="11" spans="1:24">
      <c r="A11">
        <v>-4.6052697056840586</v>
      </c>
      <c r="B11">
        <v>2.0191539281183868</v>
      </c>
      <c r="C11">
        <v>-5.6724078914038687</v>
      </c>
      <c r="D11">
        <v>5.7114305112627219</v>
      </c>
      <c r="E11">
        <v>-5.2895089597608749</v>
      </c>
      <c r="F11">
        <v>4.3866079363280752</v>
      </c>
      <c r="G11">
        <v>-5.0048503158853643</v>
      </c>
      <c r="H11">
        <v>3.4016947741566526</v>
      </c>
      <c r="I11">
        <v>-4.7819733517143312</v>
      </c>
      <c r="J11">
        <v>2.6305449767422515</v>
      </c>
      <c r="K11">
        <v>-6.1083714084840333</v>
      </c>
      <c r="L11">
        <v>7.2198554807380297</v>
      </c>
      <c r="M11">
        <v>-6.5762571947121149</v>
      </c>
      <c r="N11">
        <v>8.8387308571362038</v>
      </c>
      <c r="O11">
        <v>-7.1866805065264083</v>
      </c>
      <c r="P11">
        <v>10.9507831950413</v>
      </c>
      <c r="Q11">
        <v>-7.8074359532936555</v>
      </c>
      <c r="R11">
        <v>13.098584511336618</v>
      </c>
      <c r="S11">
        <v>-8.4065395887651633</v>
      </c>
      <c r="T11">
        <v>15.171470997575518</v>
      </c>
      <c r="U11">
        <v>-9.0260946892023917</v>
      </c>
      <c r="V11">
        <v>17.315119139797126</v>
      </c>
    </row>
    <row r="12" spans="1:24">
      <c r="A12">
        <v>-0.31461384540240028</v>
      </c>
      <c r="B12">
        <v>2.1733366848737927</v>
      </c>
      <c r="C12">
        <v>-0.38485559256133162</v>
      </c>
      <c r="D12">
        <v>5.7652698810263745</v>
      </c>
      <c r="E12">
        <v>-0.35976345141300264</v>
      </c>
      <c r="F12">
        <v>4.482139856522581</v>
      </c>
      <c r="G12">
        <v>-0.34102872063825573</v>
      </c>
      <c r="H12">
        <v>3.5241070040860749</v>
      </c>
      <c r="I12">
        <v>-0.32631195370836907</v>
      </c>
      <c r="J12">
        <v>2.7715396803278258</v>
      </c>
      <c r="K12">
        <v>-0.41327504999045439</v>
      </c>
      <c r="L12">
        <v>7.2185479768194618</v>
      </c>
      <c r="M12">
        <v>-0.44359908498778211</v>
      </c>
      <c r="N12">
        <v>8.7692199397725439</v>
      </c>
      <c r="O12">
        <v>-0.48288923452651972</v>
      </c>
      <c r="P12">
        <v>10.77838967313169</v>
      </c>
      <c r="Q12">
        <v>-0.52253217548431774</v>
      </c>
      <c r="R12">
        <v>12.805600005717018</v>
      </c>
      <c r="S12">
        <v>-0.56049725594744781</v>
      </c>
      <c r="T12">
        <v>14.747010040714722</v>
      </c>
      <c r="U12">
        <v>-0.5994569764374833</v>
      </c>
      <c r="V12">
        <v>16.73928271332279</v>
      </c>
    </row>
    <row r="13" spans="1:24">
      <c r="A13">
        <v>3.9473876177743765</v>
      </c>
      <c r="B13">
        <v>2.0599363342287766</v>
      </c>
      <c r="C13">
        <v>4.8532049961397252</v>
      </c>
      <c r="D13">
        <v>5.7257436834724666</v>
      </c>
      <c r="E13">
        <v>4.5285701186008254</v>
      </c>
      <c r="F13">
        <v>4.4119590859076636</v>
      </c>
      <c r="G13">
        <v>4.2869508180366251</v>
      </c>
      <c r="H13">
        <v>3.4341352674623109</v>
      </c>
      <c r="I13">
        <v>4.0976075367184386</v>
      </c>
      <c r="J13">
        <v>2.6678704454750126</v>
      </c>
      <c r="K13">
        <v>5.2223124785569697</v>
      </c>
      <c r="L13">
        <v>7.2195071660717423</v>
      </c>
      <c r="M13">
        <v>5.6178353351366503</v>
      </c>
      <c r="N13">
        <v>8.8201726302960868</v>
      </c>
      <c r="O13">
        <v>6.1329015718086612</v>
      </c>
      <c r="P13">
        <v>10.904625458024896</v>
      </c>
      <c r="Q13">
        <v>6.6555867866984659</v>
      </c>
      <c r="R13">
        <v>13.01991199132349</v>
      </c>
      <c r="S13">
        <v>7.1589930981169241</v>
      </c>
      <c r="T13">
        <v>15.057177559559396</v>
      </c>
      <c r="U13">
        <v>7.6785050023496844</v>
      </c>
      <c r="V13">
        <v>17.159621829278308</v>
      </c>
    </row>
    <row r="14" spans="1:24">
      <c r="A14">
        <v>8.5845800380954227</v>
      </c>
      <c r="B14">
        <v>1.6489843467845924</v>
      </c>
      <c r="C14">
        <v>10.752292764043455</v>
      </c>
      <c r="D14">
        <v>5.579079597364192</v>
      </c>
      <c r="E14">
        <v>9.9661300715005812</v>
      </c>
      <c r="F14">
        <v>4.1537550019225327</v>
      </c>
      <c r="G14">
        <v>9.3877799495282481</v>
      </c>
      <c r="H14">
        <v>3.1051976721953962</v>
      </c>
      <c r="I14">
        <v>8.938538511107069</v>
      </c>
      <c r="J14">
        <v>2.2907162963339029</v>
      </c>
      <c r="K14">
        <v>11.659081534561224</v>
      </c>
      <c r="L14">
        <v>7.2231010572337029</v>
      </c>
      <c r="M14">
        <v>12.646382921947504</v>
      </c>
      <c r="N14">
        <v>9.0130930829346632</v>
      </c>
      <c r="O14">
        <v>13.95696676100177</v>
      </c>
      <c r="P14">
        <v>11.389200977536296</v>
      </c>
      <c r="Q14">
        <v>15.316596103400137</v>
      </c>
      <c r="R14">
        <v>13.854229095490238</v>
      </c>
      <c r="S14">
        <v>16.655266174087004</v>
      </c>
      <c r="T14">
        <v>16.281257743669901</v>
      </c>
      <c r="U14">
        <v>18.067814953496928</v>
      </c>
      <c r="V14">
        <v>18.842229584042837</v>
      </c>
    </row>
    <row r="15" spans="1:24">
      <c r="A15">
        <v>14.168224603882484</v>
      </c>
      <c r="B15">
        <v>0.81842175989368393</v>
      </c>
      <c r="C15">
        <v>18.444440093448858</v>
      </c>
      <c r="D15">
        <v>5.2652194016982721</v>
      </c>
      <c r="E15">
        <v>16.855227578496969</v>
      </c>
      <c r="F15">
        <v>3.6126117440493317</v>
      </c>
      <c r="G15">
        <v>15.714373370208101</v>
      </c>
      <c r="H15">
        <v>2.4262478165438401</v>
      </c>
      <c r="I15">
        <v>14.844208423213665</v>
      </c>
      <c r="J15">
        <v>1.5213711928757843</v>
      </c>
      <c r="K15">
        <v>20.334793655175595</v>
      </c>
      <c r="L15">
        <v>7.2309808982770534</v>
      </c>
      <c r="M15">
        <v>22.466304636290012</v>
      </c>
      <c r="N15">
        <v>9.4475198045662054</v>
      </c>
      <c r="O15">
        <v>25.421123795754838</v>
      </c>
      <c r="P15">
        <v>12.52020940646454</v>
      </c>
      <c r="Q15">
        <v>28.648595020722055</v>
      </c>
      <c r="R15">
        <v>15.876427414465754</v>
      </c>
      <c r="S15">
        <v>32.000717176803811</v>
      </c>
      <c r="T15">
        <v>19.362268793384857</v>
      </c>
      <c r="U15">
        <v>35.741628094993239</v>
      </c>
      <c r="V15">
        <v>23.252408074203153</v>
      </c>
    </row>
    <row r="16" spans="1:24">
      <c r="A16">
        <v>21.807205974774064</v>
      </c>
      <c r="B16">
        <v>-0.74949844253475673</v>
      </c>
      <c r="C16">
        <v>30.668004312163486</v>
      </c>
      <c r="D16">
        <v>4.5999595782526725</v>
      </c>
      <c r="E16">
        <v>27.21367860415166</v>
      </c>
      <c r="F16">
        <v>2.5145074935164442</v>
      </c>
      <c r="G16">
        <v>24.854804804482693</v>
      </c>
      <c r="H16">
        <v>1.090403717853472</v>
      </c>
      <c r="I16">
        <v>23.119243021569034</v>
      </c>
      <c r="J16">
        <v>4.2607058154863216E-2</v>
      </c>
      <c r="K16">
        <v>35.055169870312788</v>
      </c>
      <c r="L16">
        <v>7.2485875110805162</v>
      </c>
      <c r="M16">
        <v>40.406022307506575</v>
      </c>
      <c r="N16">
        <v>10.479014318946403</v>
      </c>
      <c r="O16">
        <v>48.638702286807245</v>
      </c>
      <c r="P16">
        <v>15.449263530240524</v>
      </c>
      <c r="Q16">
        <v>58.921999794400307</v>
      </c>
      <c r="R16">
        <v>21.657515454902224</v>
      </c>
      <c r="S16">
        <v>71.372049355620845</v>
      </c>
      <c r="T16">
        <v>29.173883049393073</v>
      </c>
      <c r="U16">
        <v>88.005858428302005</v>
      </c>
      <c r="V16">
        <v>39.216077891434452</v>
      </c>
    </row>
    <row r="17" spans="1:26">
      <c r="A17">
        <v>34.405743005453303</v>
      </c>
      <c r="B17">
        <v>-3.9710719380838575</v>
      </c>
      <c r="C17">
        <v>57.943058607269606</v>
      </c>
      <c r="D17">
        <v>2.831660111673107</v>
      </c>
      <c r="E17">
        <v>47.740363329130545</v>
      </c>
      <c r="F17">
        <v>-0.11711294880048427</v>
      </c>
      <c r="G17">
        <v>41.572481690811337</v>
      </c>
      <c r="H17">
        <v>-1.8997480975964565</v>
      </c>
      <c r="I17">
        <v>37.388954072510856</v>
      </c>
      <c r="J17">
        <v>-3.1088671786126443</v>
      </c>
      <c r="K17">
        <v>73.411619681217218</v>
      </c>
      <c r="L17">
        <v>7.3023685799423736</v>
      </c>
      <c r="M17">
        <v>97.509128071971645</v>
      </c>
      <c r="N17">
        <v>14.26700700440326</v>
      </c>
      <c r="O17">
        <v>153.31508882782592</v>
      </c>
      <c r="P17">
        <v>30.395991474154531</v>
      </c>
      <c r="Q17">
        <v>300.75027151520862</v>
      </c>
      <c r="R17">
        <v>73.007564497028724</v>
      </c>
      <c r="S17">
        <v>1455.9256317625473</v>
      </c>
      <c r="T17">
        <v>406.8752229498777</v>
      </c>
      <c r="U17">
        <v>-597.71864588780807</v>
      </c>
      <c r="V17">
        <v>-186.66704766037034</v>
      </c>
    </row>
    <row r="18" spans="1:26">
      <c r="A18">
        <v>63.720325547244641</v>
      </c>
      <c r="B18">
        <v>-12.668908851764344</v>
      </c>
      <c r="C18">
        <v>229.93559798178461</v>
      </c>
      <c r="D18">
        <v>-9.4185001219179991</v>
      </c>
      <c r="E18">
        <v>126.69433058228056</v>
      </c>
      <c r="F18">
        <v>-11.437426011943584</v>
      </c>
      <c r="G18">
        <v>91.919132504531504</v>
      </c>
      <c r="H18">
        <v>-12.117469462575158</v>
      </c>
      <c r="I18">
        <v>74.265024706556858</v>
      </c>
      <c r="J18">
        <v>-12.462702877433497</v>
      </c>
      <c r="K18">
        <v>1169.7832305517504</v>
      </c>
      <c r="L18">
        <v>8.9606109241739631</v>
      </c>
      <c r="M18">
        <v>-420.20906062870034</v>
      </c>
      <c r="N18">
        <v>-22.132349114601521</v>
      </c>
      <c r="O18">
        <v>-167.59928681820273</v>
      </c>
      <c r="P18">
        <v>-17.19246000566589</v>
      </c>
      <c r="Q18">
        <v>-110.63202137899789</v>
      </c>
      <c r="R18">
        <v>-16.078441454981935</v>
      </c>
      <c r="S18">
        <v>-86.40131606292104</v>
      </c>
      <c r="T18">
        <v>-15.604599942489582</v>
      </c>
      <c r="U18">
        <v>-72.246927398003336</v>
      </c>
      <c r="V18">
        <v>-15.327804989726106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-72.253730092492134</v>
      </c>
      <c r="B20">
        <v>-15.327938048894277</v>
      </c>
      <c r="C20">
        <v>-37.149712988019701</v>
      </c>
      <c r="D20">
        <v>-4.7353288896159418</v>
      </c>
      <c r="E20">
        <v>-23.255963403199143</v>
      </c>
      <c r="F20">
        <v>-1.0877532211300112</v>
      </c>
      <c r="G20">
        <v>-15.13888900457418</v>
      </c>
      <c r="H20">
        <v>0.64316475086219882</v>
      </c>
      <c r="I20">
        <v>-9.3403301263777596</v>
      </c>
      <c r="J20">
        <v>1.5562598146349114</v>
      </c>
      <c r="K20">
        <v>-4.6052697056840586</v>
      </c>
      <c r="L20">
        <v>2.0191539281183868</v>
      </c>
      <c r="M20">
        <v>-0.31461384540240028</v>
      </c>
      <c r="N20">
        <v>2.1733366848737927</v>
      </c>
      <c r="O20">
        <v>3.9473876177743765</v>
      </c>
      <c r="P20">
        <v>2.0599363342287766</v>
      </c>
      <c r="Q20">
        <v>8.5845800380954227</v>
      </c>
      <c r="R20">
        <v>1.6489843467845924</v>
      </c>
      <c r="S20">
        <v>14.168224603882484</v>
      </c>
      <c r="T20">
        <v>0.81842175989368393</v>
      </c>
      <c r="U20">
        <v>21.807205974774064</v>
      </c>
      <c r="V20">
        <v>-0.74949844253475673</v>
      </c>
      <c r="W20">
        <v>34.405743005453303</v>
      </c>
      <c r="X20">
        <v>-3.9710719380838575</v>
      </c>
      <c r="Y20">
        <v>63.720325547244641</v>
      </c>
      <c r="Z20">
        <v>-12.668908851764344</v>
      </c>
    </row>
    <row r="21" spans="1:26">
      <c r="A21">
        <v>-400.70842156256026</v>
      </c>
      <c r="B21">
        <v>-21.751006177830657</v>
      </c>
      <c r="C21">
        <v>-65.640053291275436</v>
      </c>
      <c r="D21">
        <v>2.3046060771867172</v>
      </c>
      <c r="E21">
        <v>-33.281825206050492</v>
      </c>
      <c r="F21">
        <v>4.4421860862930727</v>
      </c>
      <c r="G21">
        <v>-19.873141529121028</v>
      </c>
      <c r="H21">
        <v>5.1958081675254739</v>
      </c>
      <c r="I21">
        <v>-11.74855515920712</v>
      </c>
      <c r="J21">
        <v>5.5452239814985296</v>
      </c>
      <c r="K21">
        <v>-5.6724078914038687</v>
      </c>
      <c r="L21">
        <v>5.7114305112627219</v>
      </c>
      <c r="M21">
        <v>-0.38485559256133162</v>
      </c>
      <c r="N21">
        <v>5.7652698810263745</v>
      </c>
      <c r="O21">
        <v>4.8532049961397252</v>
      </c>
      <c r="P21">
        <v>5.7257436834724666</v>
      </c>
      <c r="Q21">
        <v>10.752292764043455</v>
      </c>
      <c r="R21">
        <v>5.579079597364192</v>
      </c>
      <c r="S21">
        <v>18.444440093448858</v>
      </c>
      <c r="T21">
        <v>5.2652194016982721</v>
      </c>
      <c r="U21">
        <v>30.668004312163486</v>
      </c>
      <c r="V21">
        <v>4.5999595782526725</v>
      </c>
      <c r="W21">
        <v>57.943058607269606</v>
      </c>
      <c r="X21">
        <v>2.831660111673107</v>
      </c>
      <c r="Y21">
        <v>229.93559798178461</v>
      </c>
      <c r="Z21">
        <v>-9.4185001219179991</v>
      </c>
    </row>
    <row r="22" spans="1:26">
      <c r="A22">
        <v>-165.57526766162641</v>
      </c>
      <c r="B22">
        <v>-17.152879537843202</v>
      </c>
      <c r="C22">
        <v>-52.953584777516845</v>
      </c>
      <c r="D22">
        <v>-0.83020777005412949</v>
      </c>
      <c r="E22">
        <v>-29.331564063834659</v>
      </c>
      <c r="F22">
        <v>2.2633505114088535</v>
      </c>
      <c r="G22">
        <v>-18.104472776463503</v>
      </c>
      <c r="H22">
        <v>3.4949867366249183</v>
      </c>
      <c r="I22">
        <v>-10.872806080954852</v>
      </c>
      <c r="J22">
        <v>4.0946404003587267</v>
      </c>
      <c r="K22">
        <v>-5.2895089597608749</v>
      </c>
      <c r="L22">
        <v>4.3866079363280752</v>
      </c>
      <c r="M22">
        <v>-0.35976345141300264</v>
      </c>
      <c r="N22">
        <v>4.482139856522581</v>
      </c>
      <c r="O22">
        <v>4.5285701186008254</v>
      </c>
      <c r="P22">
        <v>4.4119590859076636</v>
      </c>
      <c r="Q22">
        <v>9.9661300715005812</v>
      </c>
      <c r="R22">
        <v>4.1537550019225327</v>
      </c>
      <c r="S22">
        <v>16.855227578496969</v>
      </c>
      <c r="T22">
        <v>3.6126117440493317</v>
      </c>
      <c r="U22">
        <v>27.21367860415166</v>
      </c>
      <c r="V22">
        <v>2.5145074935164442</v>
      </c>
      <c r="W22">
        <v>47.740363329130545</v>
      </c>
      <c r="X22">
        <v>-0.11711294880048427</v>
      </c>
      <c r="Y22">
        <v>126.69433058228056</v>
      </c>
      <c r="Z22">
        <v>-11.437426011943584</v>
      </c>
    </row>
    <row r="23" spans="1:26">
      <c r="A23">
        <v>-110.79516949216379</v>
      </c>
      <c r="B23">
        <v>-16.081631929603919</v>
      </c>
      <c r="C23">
        <v>-45.537751102160364</v>
      </c>
      <c r="D23">
        <v>-2.662652951243099</v>
      </c>
      <c r="E23">
        <v>-26.664861467010741</v>
      </c>
      <c r="F23">
        <v>0.79248408602187459</v>
      </c>
      <c r="G23">
        <v>-16.841545071906282</v>
      </c>
      <c r="H23">
        <v>2.2805057874016983</v>
      </c>
      <c r="I23">
        <v>-10.230268071642683</v>
      </c>
      <c r="J23">
        <v>3.0303457185686056</v>
      </c>
      <c r="K23">
        <v>-5.0048503158853643</v>
      </c>
      <c r="L23">
        <v>3.4016947741566526</v>
      </c>
      <c r="M23">
        <v>-0.34102872063825573</v>
      </c>
      <c r="N23">
        <v>3.5241070040860749</v>
      </c>
      <c r="O23">
        <v>4.2869508180366251</v>
      </c>
      <c r="P23">
        <v>3.4341352674623109</v>
      </c>
      <c r="Q23">
        <v>9.3877799495282481</v>
      </c>
      <c r="R23">
        <v>3.1051976721953962</v>
      </c>
      <c r="S23">
        <v>15.714373370208101</v>
      </c>
      <c r="T23">
        <v>2.4262478165438401</v>
      </c>
      <c r="U23">
        <v>24.854804804482693</v>
      </c>
      <c r="V23">
        <v>1.090403717853472</v>
      </c>
      <c r="W23">
        <v>41.572481690811337</v>
      </c>
      <c r="X23">
        <v>-1.8997480975964565</v>
      </c>
      <c r="Y23">
        <v>91.919132504531504</v>
      </c>
      <c r="Z23">
        <v>-12.117469462575158</v>
      </c>
    </row>
    <row r="24" spans="1:26">
      <c r="A24">
        <v>-86.119106565680596</v>
      </c>
      <c r="B24">
        <v>-15.599081253827785</v>
      </c>
      <c r="C24">
        <v>-40.612045089005846</v>
      </c>
      <c r="D24">
        <v>-3.8797900450472702</v>
      </c>
      <c r="E24">
        <v>-24.718554050454578</v>
      </c>
      <c r="F24">
        <v>-0.28103578676172947</v>
      </c>
      <c r="G24">
        <v>-15.882038683318283</v>
      </c>
      <c r="H24">
        <v>1.3578067085920749</v>
      </c>
      <c r="I24">
        <v>-9.7321688868654554</v>
      </c>
      <c r="J24">
        <v>2.2052983195363045</v>
      </c>
      <c r="K24">
        <v>-4.7819733517143312</v>
      </c>
      <c r="L24">
        <v>2.6305449767422515</v>
      </c>
      <c r="M24">
        <v>-0.32631195370836907</v>
      </c>
      <c r="N24">
        <v>2.7715396803278258</v>
      </c>
      <c r="O24">
        <v>4.0976075367184386</v>
      </c>
      <c r="P24">
        <v>2.6678704454750126</v>
      </c>
      <c r="Q24">
        <v>8.938538511107069</v>
      </c>
      <c r="R24">
        <v>2.2907162963339029</v>
      </c>
      <c r="S24">
        <v>14.844208423213665</v>
      </c>
      <c r="T24">
        <v>1.5213711928757843</v>
      </c>
      <c r="U24">
        <v>23.119243021569034</v>
      </c>
      <c r="V24">
        <v>4.2607058154863216E-2</v>
      </c>
      <c r="W24">
        <v>37.388954072510856</v>
      </c>
      <c r="X24">
        <v>-3.1088671786126443</v>
      </c>
      <c r="Y24">
        <v>74.265024706556858</v>
      </c>
      <c r="Z24">
        <v>-12.462702877433497</v>
      </c>
    </row>
    <row r="25" spans="1:26">
      <c r="A25">
        <v>1001.3975229326368</v>
      </c>
      <c r="B25">
        <v>5.6677588432195494</v>
      </c>
      <c r="C25">
        <v>-85.940106861808019</v>
      </c>
      <c r="D25">
        <v>7.3207292767691481</v>
      </c>
      <c r="E25">
        <v>-38.377790575310826</v>
      </c>
      <c r="F25">
        <v>7.2529548519990801</v>
      </c>
      <c r="G25">
        <v>-21.991348518014888</v>
      </c>
      <c r="H25">
        <v>7.2327593130583798</v>
      </c>
      <c r="I25">
        <v>-12.762031901615549</v>
      </c>
      <c r="J25">
        <v>7.2239385344600562</v>
      </c>
      <c r="K25">
        <v>-6.1083714084840333</v>
      </c>
      <c r="L25">
        <v>7.2198554807380297</v>
      </c>
      <c r="M25">
        <v>-0.41327504999045439</v>
      </c>
      <c r="N25">
        <v>7.2185479768194618</v>
      </c>
      <c r="O25">
        <v>5.2223124785569697</v>
      </c>
      <c r="P25">
        <v>7.2195071660717423</v>
      </c>
      <c r="Q25">
        <v>11.659081534561224</v>
      </c>
      <c r="R25">
        <v>7.2231010572337029</v>
      </c>
      <c r="S25">
        <v>20.334793655175595</v>
      </c>
      <c r="T25">
        <v>7.2309808982770534</v>
      </c>
      <c r="U25">
        <v>35.055169870312788</v>
      </c>
      <c r="V25">
        <v>7.2485875110805162</v>
      </c>
      <c r="W25">
        <v>73.411619681217218</v>
      </c>
      <c r="X25">
        <v>7.3023685799423736</v>
      </c>
      <c r="Y25">
        <v>1169.7832305517504</v>
      </c>
      <c r="Z25">
        <v>8.9606109241739631</v>
      </c>
    </row>
    <row r="26" spans="1:26">
      <c r="A26">
        <v>236.22615577461744</v>
      </c>
      <c r="B26">
        <v>-9.2954855530482057</v>
      </c>
      <c r="C26">
        <v>-120.4132524298108</v>
      </c>
      <c r="D26">
        <v>15.839009519007165</v>
      </c>
      <c r="E26">
        <v>-44.715899033764032</v>
      </c>
      <c r="F26">
        <v>10.748849348484468</v>
      </c>
      <c r="G26">
        <v>-24.398745644949241</v>
      </c>
      <c r="H26">
        <v>9.5478070686237277</v>
      </c>
      <c r="I26">
        <v>-13.869603303086786</v>
      </c>
      <c r="J26">
        <v>9.0585107079421245</v>
      </c>
      <c r="K26">
        <v>-6.5762571947121149</v>
      </c>
      <c r="L26">
        <v>8.8387308571362038</v>
      </c>
      <c r="M26">
        <v>-0.44359908498778211</v>
      </c>
      <c r="N26">
        <v>8.7692199397725439</v>
      </c>
      <c r="O26">
        <v>5.6178353351366503</v>
      </c>
      <c r="P26">
        <v>8.8201726302960868</v>
      </c>
      <c r="Q26">
        <v>12.646382921947504</v>
      </c>
      <c r="R26">
        <v>9.0130930829346632</v>
      </c>
      <c r="S26">
        <v>22.466304636290012</v>
      </c>
      <c r="T26">
        <v>9.4475198045662054</v>
      </c>
      <c r="U26">
        <v>40.406022307506575</v>
      </c>
      <c r="V26">
        <v>10.479014318946403</v>
      </c>
      <c r="W26">
        <v>97.509128071971645</v>
      </c>
      <c r="X26">
        <v>14.26700700440326</v>
      </c>
      <c r="Y26">
        <v>-420.20906062870034</v>
      </c>
      <c r="Z26">
        <v>-22.132349114601521</v>
      </c>
    </row>
    <row r="27" spans="1:26">
      <c r="A27">
        <v>127.87599234933718</v>
      </c>
      <c r="B27">
        <v>-11.414318072526425</v>
      </c>
      <c r="C27">
        <v>-216.88610074132779</v>
      </c>
      <c r="D27">
        <v>39.67735511074747</v>
      </c>
      <c r="E27">
        <v>-54.740774660112258</v>
      </c>
      <c r="F27">
        <v>16.278244713021053</v>
      </c>
      <c r="G27">
        <v>-27.769722518309869</v>
      </c>
      <c r="H27">
        <v>12.789471004093324</v>
      </c>
      <c r="I27">
        <v>-15.346498074181198</v>
      </c>
      <c r="J27">
        <v>11.504827077804931</v>
      </c>
      <c r="K27">
        <v>-7.1866805065264083</v>
      </c>
      <c r="L27">
        <v>10.9507831950413</v>
      </c>
      <c r="M27">
        <v>-0.48288923452651972</v>
      </c>
      <c r="N27">
        <v>10.77838967313169</v>
      </c>
      <c r="O27">
        <v>6.1329015718086612</v>
      </c>
      <c r="P27">
        <v>10.904625458024896</v>
      </c>
      <c r="Q27">
        <v>13.95696676100177</v>
      </c>
      <c r="R27">
        <v>11.389200977536296</v>
      </c>
      <c r="S27">
        <v>25.421123795754838</v>
      </c>
      <c r="T27">
        <v>12.52020940646454</v>
      </c>
      <c r="U27">
        <v>48.638702286807245</v>
      </c>
      <c r="V27">
        <v>15.449263530240524</v>
      </c>
      <c r="W27">
        <v>153.31508882782592</v>
      </c>
      <c r="X27">
        <v>30.395991474154531</v>
      </c>
      <c r="Y27">
        <v>-167.59928681820273</v>
      </c>
      <c r="Z27">
        <v>-17.19246000566589</v>
      </c>
    </row>
    <row r="28" spans="1:26">
      <c r="A28">
        <v>91.806811440731394</v>
      </c>
      <c r="B28">
        <v>-12.119665909983084</v>
      </c>
      <c r="C28">
        <v>-691.29914430617794</v>
      </c>
      <c r="D28">
        <v>156.90434989388109</v>
      </c>
      <c r="E28">
        <v>-67.751285691308411</v>
      </c>
      <c r="F28">
        <v>23.454419467455775</v>
      </c>
      <c r="G28">
        <v>-31.497248489145676</v>
      </c>
      <c r="H28">
        <v>16.374006574086255</v>
      </c>
      <c r="I28">
        <v>-16.886748495670162</v>
      </c>
      <c r="J28">
        <v>14.056085226673867</v>
      </c>
      <c r="K28">
        <v>-7.8074359532936555</v>
      </c>
      <c r="L28">
        <v>13.098584511336618</v>
      </c>
      <c r="M28">
        <v>-0.52253217548431774</v>
      </c>
      <c r="N28">
        <v>12.805600005717018</v>
      </c>
      <c r="O28">
        <v>6.6555867866984659</v>
      </c>
      <c r="P28">
        <v>13.01991199132349</v>
      </c>
      <c r="Q28">
        <v>15.316596103400137</v>
      </c>
      <c r="R28">
        <v>13.854229095490238</v>
      </c>
      <c r="S28">
        <v>28.648595020722055</v>
      </c>
      <c r="T28">
        <v>15.876427414465754</v>
      </c>
      <c r="U28">
        <v>58.921999794400307</v>
      </c>
      <c r="V28">
        <v>21.657515454902224</v>
      </c>
      <c r="W28">
        <v>300.75027151520862</v>
      </c>
      <c r="X28">
        <v>73.007564497028724</v>
      </c>
      <c r="Y28">
        <v>-110.63202137899789</v>
      </c>
      <c r="Z28">
        <v>-16.078441454981935</v>
      </c>
    </row>
    <row r="29" spans="1:26">
      <c r="A29">
        <v>74.474795682977955</v>
      </c>
      <c r="B29">
        <v>-12.458600688249128</v>
      </c>
      <c r="C29">
        <v>859.02196441742524</v>
      </c>
      <c r="D29">
        <v>-226.17846578692507</v>
      </c>
      <c r="E29">
        <v>-84.278170843254671</v>
      </c>
      <c r="F29">
        <v>32.570111826692418</v>
      </c>
      <c r="G29">
        <v>-35.419993783456448</v>
      </c>
      <c r="H29">
        <v>20.146272723133762</v>
      </c>
      <c r="I29">
        <v>-18.411364654787604</v>
      </c>
      <c r="J29">
        <v>16.581446911746777</v>
      </c>
      <c r="K29">
        <v>-8.4065395887651633</v>
      </c>
      <c r="L29">
        <v>15.171470997575518</v>
      </c>
      <c r="M29">
        <v>-0.56049725594744781</v>
      </c>
      <c r="N29">
        <v>14.747010040714722</v>
      </c>
      <c r="O29">
        <v>7.1589930981169241</v>
      </c>
      <c r="P29">
        <v>15.057177559559396</v>
      </c>
      <c r="Q29">
        <v>16.655266174087004</v>
      </c>
      <c r="R29">
        <v>16.281257743669901</v>
      </c>
      <c r="S29">
        <v>32.000717176803811</v>
      </c>
      <c r="T29">
        <v>19.362268793384857</v>
      </c>
      <c r="U29">
        <v>71.372049355620845</v>
      </c>
      <c r="V29">
        <v>29.173883049393073</v>
      </c>
      <c r="W29">
        <v>1455.9256317625473</v>
      </c>
      <c r="X29">
        <v>406.8752229498777</v>
      </c>
      <c r="Y29">
        <v>-86.40131606292104</v>
      </c>
      <c r="Z29">
        <v>-15.604599942489582</v>
      </c>
    </row>
    <row r="30" spans="1:26">
      <c r="A30">
        <v>63.715034747764179</v>
      </c>
      <c r="B30">
        <v>-12.66901228940065</v>
      </c>
      <c r="C30">
        <v>285.76418144023938</v>
      </c>
      <c r="D30">
        <v>-84.527033462275696</v>
      </c>
      <c r="E30">
        <v>-107.80053096898055</v>
      </c>
      <c r="F30">
        <v>45.544280673266691</v>
      </c>
      <c r="G30">
        <v>-39.860664313321301</v>
      </c>
      <c r="H30">
        <v>24.41659614769484</v>
      </c>
      <c r="I30">
        <v>-20.028917539316105</v>
      </c>
      <c r="J30">
        <v>19.260748225548987</v>
      </c>
      <c r="K30">
        <v>-9.0260946892023917</v>
      </c>
      <c r="L30">
        <v>17.315119139797126</v>
      </c>
      <c r="M30">
        <v>-0.5994569764374833</v>
      </c>
      <c r="N30">
        <v>16.73928271332279</v>
      </c>
      <c r="O30">
        <v>7.6785050023496844</v>
      </c>
      <c r="P30">
        <v>17.159621829278308</v>
      </c>
      <c r="Q30">
        <v>18.067814953496928</v>
      </c>
      <c r="R30">
        <v>18.842229584042837</v>
      </c>
      <c r="S30">
        <v>35.741628094993239</v>
      </c>
      <c r="T30">
        <v>23.252408074203153</v>
      </c>
      <c r="U30">
        <v>88.005858428302005</v>
      </c>
      <c r="V30">
        <v>39.216077891434452</v>
      </c>
      <c r="W30">
        <v>-597.71864588780807</v>
      </c>
      <c r="X30">
        <v>-186.66704766037034</v>
      </c>
      <c r="Y30">
        <v>-72.246927398003336</v>
      </c>
      <c r="Z30">
        <v>-15.327804989726106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0FCD8-4367-4C8D-864B-E77EE0B6D811}">
  <sheetPr codeName="Sheet10"/>
  <dimension ref="A1:AB36"/>
  <sheetViews>
    <sheetView zoomScaleNormal="100" workbookViewId="0">
      <selection activeCell="E8" sqref="E8"/>
    </sheetView>
  </sheetViews>
  <sheetFormatPr defaultRowHeight="15"/>
  <cols>
    <col min="1" max="1" width="11.7109375" customWidth="1"/>
    <col min="2" max="2" width="11" customWidth="1"/>
    <col min="3" max="3" width="10" customWidth="1"/>
    <col min="5" max="5" width="10.28515625" customWidth="1"/>
    <col min="6" max="13" width="11.28515625" customWidth="1"/>
    <col min="14" max="14" width="10.28515625" customWidth="1"/>
    <col min="26" max="26" width="9.28515625" customWidth="1"/>
    <col min="28" max="28" width="9.140625" style="5"/>
  </cols>
  <sheetData>
    <row r="1" spans="1:28">
      <c r="E1" s="6"/>
      <c r="Q1" s="5"/>
      <c r="AB1" s="5" t="s">
        <v>143</v>
      </c>
    </row>
    <row r="2" spans="1:28">
      <c r="B2" s="8" t="s">
        <v>113</v>
      </c>
      <c r="D2" s="6" t="s">
        <v>114</v>
      </c>
      <c r="F2" s="129" t="s">
        <v>19</v>
      </c>
      <c r="G2" s="129" t="s">
        <v>26</v>
      </c>
      <c r="H2" s="129" t="s">
        <v>13</v>
      </c>
      <c r="I2" s="129" t="s">
        <v>2</v>
      </c>
      <c r="J2" s="129" t="s">
        <v>27</v>
      </c>
      <c r="AB2" s="5" t="s">
        <v>22</v>
      </c>
    </row>
    <row r="3" spans="1:28">
      <c r="B3" s="6"/>
      <c r="D3" s="6"/>
      <c r="F3" s="11" t="str">
        <f>Enter!B2</f>
        <v>تبریز</v>
      </c>
      <c r="G3" s="2">
        <f>Enter!B3</f>
        <v>46.289150238037102</v>
      </c>
      <c r="H3" s="2">
        <f>Enter!B4</f>
        <v>38.079292297363203</v>
      </c>
      <c r="I3" s="2">
        <f>Enter!B5</f>
        <v>1210</v>
      </c>
      <c r="J3" s="2">
        <f>Enter!B6</f>
        <v>3.5</v>
      </c>
      <c r="AB3" s="5" t="s">
        <v>138</v>
      </c>
    </row>
    <row r="4" spans="1:28" ht="13.5" customHeight="1">
      <c r="A4">
        <v>1</v>
      </c>
      <c r="B4">
        <v>2</v>
      </c>
      <c r="AB4" s="5" t="s">
        <v>139</v>
      </c>
    </row>
    <row r="5" spans="1:28">
      <c r="B5" t="s">
        <v>15</v>
      </c>
      <c r="AB5" s="5" t="s">
        <v>104</v>
      </c>
    </row>
    <row r="6" spans="1:28">
      <c r="AB6" s="5" t="s">
        <v>140</v>
      </c>
    </row>
    <row r="7" spans="1:28" ht="19.5">
      <c r="D7" s="172" t="s">
        <v>25</v>
      </c>
      <c r="E7" s="172" t="s">
        <v>21</v>
      </c>
      <c r="G7" s="172" t="s">
        <v>20</v>
      </c>
      <c r="H7" s="172" t="s">
        <v>142</v>
      </c>
      <c r="I7" s="172" t="s">
        <v>141</v>
      </c>
      <c r="J7" s="172" t="s">
        <v>23</v>
      </c>
      <c r="K7" s="172" t="s">
        <v>24</v>
      </c>
      <c r="L7" s="172" t="s">
        <v>144</v>
      </c>
      <c r="M7" s="172" t="s">
        <v>28</v>
      </c>
      <c r="N7" s="172" t="s">
        <v>29</v>
      </c>
    </row>
    <row r="8" spans="1:28">
      <c r="D8" s="2">
        <v>125.7029</v>
      </c>
      <c r="E8" s="2">
        <v>0</v>
      </c>
      <c r="G8">
        <v>10</v>
      </c>
      <c r="H8" s="2">
        <v>125.7029</v>
      </c>
      <c r="I8" s="2">
        <v>0</v>
      </c>
      <c r="J8">
        <v>1.6331778728383843E+17</v>
      </c>
      <c r="K8">
        <v>-8.7464757658750614E-14</v>
      </c>
      <c r="L8">
        <v>-90</v>
      </c>
      <c r="M8">
        <v>0</v>
      </c>
      <c r="N8">
        <v>-1.6331778728383843E+17</v>
      </c>
    </row>
    <row r="10" spans="1:28" s="6" customFormat="1">
      <c r="A10" s="43"/>
      <c r="B10" s="126" t="s">
        <v>53</v>
      </c>
      <c r="C10" s="43"/>
      <c r="D10" s="126" t="s">
        <v>54</v>
      </c>
      <c r="E10" s="43"/>
      <c r="F10" s="126" t="s">
        <v>55</v>
      </c>
      <c r="G10" s="43"/>
      <c r="H10" s="126" t="s">
        <v>56</v>
      </c>
      <c r="I10" s="43"/>
      <c r="J10" s="126" t="s">
        <v>57</v>
      </c>
      <c r="K10" s="43"/>
      <c r="L10" s="126" t="s">
        <v>58</v>
      </c>
      <c r="M10" s="43"/>
      <c r="N10" s="126" t="s">
        <v>59</v>
      </c>
      <c r="O10" s="43"/>
      <c r="P10" s="126" t="s">
        <v>60</v>
      </c>
      <c r="Q10" s="43"/>
      <c r="R10" s="126" t="s">
        <v>16</v>
      </c>
      <c r="S10" s="43"/>
      <c r="T10" s="126" t="s">
        <v>17</v>
      </c>
      <c r="U10" s="43"/>
      <c r="V10" s="126" t="s">
        <v>18</v>
      </c>
      <c r="W10" s="43"/>
      <c r="X10" s="126"/>
      <c r="AB10" s="48"/>
    </row>
    <row r="11" spans="1:28">
      <c r="A11" s="39">
        <v>-41.919592613852799</v>
      </c>
      <c r="B11" s="38">
        <v>-15.232574644442101</v>
      </c>
      <c r="C11" s="39">
        <v>-219.8883394935005</v>
      </c>
      <c r="D11" s="38">
        <v>-20.193857271983955</v>
      </c>
      <c r="E11" s="39">
        <v>-95.584629361471315</v>
      </c>
      <c r="F11" s="38">
        <v>-16.85982632402559</v>
      </c>
      <c r="G11" s="39">
        <v>-64.336203578199203</v>
      </c>
      <c r="H11" s="38">
        <v>-15.934434866586853</v>
      </c>
      <c r="I11" s="39">
        <v>-50.049231917311822</v>
      </c>
      <c r="J11" s="38">
        <v>-15.49143319640363</v>
      </c>
      <c r="K11" s="39"/>
      <c r="L11" s="38"/>
      <c r="M11" s="39"/>
      <c r="N11" s="38"/>
      <c r="O11" s="39"/>
      <c r="P11" s="38"/>
      <c r="Q11" s="39"/>
      <c r="R11" s="38"/>
      <c r="S11" s="39"/>
      <c r="T11" s="38"/>
      <c r="U11" s="39"/>
      <c r="V11" s="38"/>
      <c r="W11" s="39"/>
      <c r="X11" s="38"/>
    </row>
    <row r="12" spans="1:28">
      <c r="A12" s="39">
        <v>-21.640417180241187</v>
      </c>
      <c r="B12" s="38">
        <v>-4.7245148936967727</v>
      </c>
      <c r="C12" s="39">
        <v>-38.319238267746556</v>
      </c>
      <c r="D12" s="38">
        <v>2.3441179265265704</v>
      </c>
      <c r="E12" s="39">
        <v>-30.915289280534026</v>
      </c>
      <c r="F12" s="38">
        <v>-0.80039280275395486</v>
      </c>
      <c r="G12" s="39">
        <v>-26.575922281327138</v>
      </c>
      <c r="H12" s="38">
        <v>-2.6388464614337166</v>
      </c>
      <c r="I12" s="39">
        <v>-23.687208117396761</v>
      </c>
      <c r="J12" s="38">
        <v>-3.8602593911245022</v>
      </c>
      <c r="K12" s="39">
        <v>-49.689663087584854</v>
      </c>
      <c r="L12" s="38">
        <v>7.1823665490190001</v>
      </c>
      <c r="M12" s="39">
        <v>-69.11834904463764</v>
      </c>
      <c r="N12" s="38">
        <v>15.483404536980562</v>
      </c>
      <c r="O12" s="39">
        <v>-121.12259654049325</v>
      </c>
      <c r="P12" s="38">
        <v>37.819321154462351</v>
      </c>
      <c r="Q12" s="39">
        <v>-323.39181571919329</v>
      </c>
      <c r="R12" s="38">
        <v>125.45672724897068</v>
      </c>
      <c r="S12" s="39"/>
      <c r="T12" s="38"/>
      <c r="U12" s="39"/>
      <c r="V12" s="38"/>
      <c r="W12" s="39"/>
      <c r="X12" s="38"/>
    </row>
    <row r="13" spans="1:28">
      <c r="A13" s="39">
        <v>-13.559046086435936</v>
      </c>
      <c r="B13" s="38">
        <v>-1.0856509931818819</v>
      </c>
      <c r="C13" s="39">
        <v>-19.43679546493437</v>
      </c>
      <c r="D13" s="38">
        <v>4.462633931617825</v>
      </c>
      <c r="E13" s="39">
        <v>-17.126764041748935</v>
      </c>
      <c r="F13" s="38">
        <v>2.2793573589558278</v>
      </c>
      <c r="G13" s="39">
        <v>-15.56493135462555</v>
      </c>
      <c r="H13" s="38">
        <v>0.80509786124036031</v>
      </c>
      <c r="I13" s="39">
        <v>-14.422984996542477</v>
      </c>
      <c r="J13" s="38">
        <v>-0.2716389509310666</v>
      </c>
      <c r="K13" s="39">
        <v>-22.336231061789455</v>
      </c>
      <c r="L13" s="38">
        <v>7.2045720710469938</v>
      </c>
      <c r="M13" s="39">
        <v>-26.001429884328012</v>
      </c>
      <c r="N13" s="38">
        <v>10.677363305454836</v>
      </c>
      <c r="O13" s="39">
        <v>-31.77540043143614</v>
      </c>
      <c r="P13" s="38">
        <v>16.155769560690217</v>
      </c>
      <c r="Q13" s="39">
        <v>-39.224239914815954</v>
      </c>
      <c r="R13" s="38">
        <v>23.233610135683065</v>
      </c>
      <c r="S13" s="39">
        <v>-48.611409788677015</v>
      </c>
      <c r="T13" s="38">
        <v>32.166063911268644</v>
      </c>
      <c r="U13" s="39">
        <v>-61.901792365738046</v>
      </c>
      <c r="V13" s="38">
        <v>44.832882197179117</v>
      </c>
      <c r="W13" s="39"/>
      <c r="X13" s="38"/>
    </row>
    <row r="14" spans="1:28">
      <c r="A14" s="39">
        <v>-8.8293518458848617</v>
      </c>
      <c r="B14" s="38">
        <v>0.64338372274537337</v>
      </c>
      <c r="C14" s="39">
        <v>-11.603315132241089</v>
      </c>
      <c r="D14" s="38">
        <v>5.2074298333594724</v>
      </c>
      <c r="E14" s="39">
        <v>-10.5693155481668</v>
      </c>
      <c r="F14" s="38">
        <v>3.5044361383376805</v>
      </c>
      <c r="G14" s="39">
        <v>-9.8299959422860166</v>
      </c>
      <c r="H14" s="38">
        <v>2.28798820982243</v>
      </c>
      <c r="I14" s="39">
        <v>-9.2674156664837852</v>
      </c>
      <c r="J14" s="38">
        <v>1.3631342112687768</v>
      </c>
      <c r="K14" s="39">
        <v>-12.817396641028768</v>
      </c>
      <c r="L14" s="38">
        <v>7.2077799396307238</v>
      </c>
      <c r="M14" s="39">
        <v>-14.215749069377795</v>
      </c>
      <c r="N14" s="38">
        <v>9.5153387687549689</v>
      </c>
      <c r="O14" s="39">
        <v>-16.170629951290511</v>
      </c>
      <c r="P14" s="38">
        <v>12.744467106724814</v>
      </c>
      <c r="Q14" s="39">
        <v>-18.328477551550154</v>
      </c>
      <c r="R14" s="38">
        <v>16.31227111506384</v>
      </c>
      <c r="S14" s="39">
        <v>-20.596313523880948</v>
      </c>
      <c r="T14" s="38">
        <v>20.065027801742705</v>
      </c>
      <c r="U14" s="39">
        <v>-23.172345731034209</v>
      </c>
      <c r="V14" s="38">
        <v>24.331277368916737</v>
      </c>
      <c r="W14" s="39"/>
      <c r="X14" s="38"/>
    </row>
    <row r="15" spans="1:28">
      <c r="A15" s="39">
        <v>-5.4482821140878102</v>
      </c>
      <c r="B15" s="38">
        <v>1.5559163627589956</v>
      </c>
      <c r="C15" s="39">
        <v>-6.8581204451408402</v>
      </c>
      <c r="D15" s="38">
        <v>5.5513236650772306</v>
      </c>
      <c r="E15" s="39">
        <v>-6.3463930624325151</v>
      </c>
      <c r="F15" s="38">
        <v>4.0997849329891904</v>
      </c>
      <c r="G15" s="39">
        <v>-5.9704920851056515</v>
      </c>
      <c r="H15" s="38">
        <v>3.0344573280164462</v>
      </c>
      <c r="I15" s="39">
        <v>-5.6787042284761231</v>
      </c>
      <c r="J15" s="38">
        <v>2.208135051823862</v>
      </c>
      <c r="K15" s="39">
        <v>-7.4425620921638069</v>
      </c>
      <c r="L15" s="38">
        <v>7.2096433717669841</v>
      </c>
      <c r="M15" s="39">
        <v>-8.0869594479749178</v>
      </c>
      <c r="N15" s="38">
        <v>9.0406650681466481</v>
      </c>
      <c r="O15" s="39">
        <v>-8.9452830350274013</v>
      </c>
      <c r="P15" s="38">
        <v>11.481656872078123</v>
      </c>
      <c r="Q15" s="39">
        <v>-9.8394914759703838</v>
      </c>
      <c r="R15" s="38">
        <v>14.026801970948545</v>
      </c>
      <c r="S15" s="39">
        <v>-10.724099198183529</v>
      </c>
      <c r="T15" s="38">
        <v>16.546370436972801</v>
      </c>
      <c r="U15" s="39">
        <v>-11.665132030148568</v>
      </c>
      <c r="V15" s="38">
        <v>19.22848489109348</v>
      </c>
      <c r="W15" s="39"/>
      <c r="X15" s="38"/>
    </row>
    <row r="16" spans="1:28">
      <c r="A16" s="39">
        <v>-2.6864652715698982</v>
      </c>
      <c r="B16" s="38">
        <v>2.0186193609390068</v>
      </c>
      <c r="C16" s="39">
        <v>-3.3106008763125634</v>
      </c>
      <c r="D16" s="38">
        <v>5.7133968765272831</v>
      </c>
      <c r="E16" s="39">
        <v>-3.0869757005013665</v>
      </c>
      <c r="F16" s="38">
        <v>4.3884271530472923</v>
      </c>
      <c r="G16" s="39">
        <v>-2.9205531888618448</v>
      </c>
      <c r="H16" s="38">
        <v>3.4031884943445325</v>
      </c>
      <c r="I16" s="39">
        <v>-2.790113573232881</v>
      </c>
      <c r="J16" s="38">
        <v>2.6315158705341193</v>
      </c>
      <c r="K16" s="39">
        <v>-3.5634528093751778</v>
      </c>
      <c r="L16" s="38">
        <v>7.2119693459731478</v>
      </c>
      <c r="M16" s="39">
        <v>-3.8358989262544081</v>
      </c>
      <c r="N16" s="38">
        <v>8.828831331129722</v>
      </c>
      <c r="O16" s="39">
        <v>-4.1909917058738113</v>
      </c>
      <c r="P16" s="38">
        <v>10.937881579125943</v>
      </c>
      <c r="Q16" s="39">
        <v>-4.5517531032864778</v>
      </c>
      <c r="R16" s="38">
        <v>13.082259509608868</v>
      </c>
      <c r="S16" s="39">
        <v>-4.8997032278980877</v>
      </c>
      <c r="T16" s="38">
        <v>15.151827272811028</v>
      </c>
      <c r="U16" s="39">
        <v>-5.2598957852321684</v>
      </c>
      <c r="V16" s="38">
        <v>17.295585477302243</v>
      </c>
      <c r="W16" s="39"/>
      <c r="X16" s="38"/>
    </row>
    <row r="17" spans="1:28">
      <c r="A17" s="39">
        <v>-0.18353265941610256</v>
      </c>
      <c r="B17" s="38">
        <v>2.17275122860715</v>
      </c>
      <c r="C17" s="39">
        <v>-0.22457376837990825</v>
      </c>
      <c r="D17" s="38">
        <v>5.7635605113788309</v>
      </c>
      <c r="E17" s="39">
        <v>-0.20992685027987479</v>
      </c>
      <c r="F17" s="38">
        <v>4.4809725733534966</v>
      </c>
      <c r="G17" s="39">
        <v>-0.19898117829730999</v>
      </c>
      <c r="H17" s="38">
        <v>3.5232581391259714</v>
      </c>
      <c r="I17" s="39">
        <v>-0.19037647200583521</v>
      </c>
      <c r="J17" s="38">
        <v>2.7708885156789074</v>
      </c>
      <c r="K17" s="39">
        <v>-0.24114866589925263</v>
      </c>
      <c r="L17" s="38">
        <v>7.2153891928383738</v>
      </c>
      <c r="M17" s="39">
        <v>-0.25881491096997017</v>
      </c>
      <c r="N17" s="38">
        <v>8.7648458901651267</v>
      </c>
      <c r="O17" s="39">
        <v>-0.28168105237294472</v>
      </c>
      <c r="P17" s="38">
        <v>10.771965904634353</v>
      </c>
      <c r="Q17" s="39">
        <v>-0.3047277101984312</v>
      </c>
      <c r="R17" s="38">
        <v>12.796464690569104</v>
      </c>
      <c r="S17" s="39">
        <v>-0.3267771281103426</v>
      </c>
      <c r="T17" s="38">
        <v>14.734590072343135</v>
      </c>
      <c r="U17" s="39">
        <v>-0.34938340825674258</v>
      </c>
      <c r="V17" s="38">
        <v>16.722917384331488</v>
      </c>
      <c r="W17" s="39"/>
      <c r="X17" s="38"/>
    </row>
    <row r="18" spans="1:28">
      <c r="A18" s="39">
        <v>2.3027051057602068</v>
      </c>
      <c r="B18" s="38">
        <v>2.0593845481267006</v>
      </c>
      <c r="C18" s="39">
        <v>2.8314010821015492</v>
      </c>
      <c r="D18" s="38">
        <v>5.7201385341309363</v>
      </c>
      <c r="E18" s="39">
        <v>2.6420136928211799</v>
      </c>
      <c r="F18" s="38">
        <v>4.4076678134743172</v>
      </c>
      <c r="G18" s="39">
        <v>2.500949911973755</v>
      </c>
      <c r="H18" s="38">
        <v>3.4308802056649306</v>
      </c>
      <c r="I18" s="39">
        <v>2.3903553588242388</v>
      </c>
      <c r="J18" s="38">
        <v>2.665610924792424</v>
      </c>
      <c r="K18" s="39">
        <v>3.0478509114260759</v>
      </c>
      <c r="L18" s="38">
        <v>7.2206005367848816</v>
      </c>
      <c r="M18" s="39">
        <v>3.2783548155598803</v>
      </c>
      <c r="N18" s="38">
        <v>8.8206092511382899</v>
      </c>
      <c r="O18" s="39">
        <v>3.5781729712695882</v>
      </c>
      <c r="P18" s="38">
        <v>10.903434528178625</v>
      </c>
      <c r="Q18" s="39">
        <v>3.882013123788159</v>
      </c>
      <c r="R18" s="38">
        <v>13.015826572944905</v>
      </c>
      <c r="S18" s="39">
        <v>4.1742049170684634</v>
      </c>
      <c r="T18" s="38">
        <v>15.048545947380829</v>
      </c>
      <c r="U18" s="39">
        <v>4.4748179284137208</v>
      </c>
      <c r="V18" s="38">
        <v>17.141192353352864</v>
      </c>
      <c r="W18" s="39"/>
      <c r="X18" s="38"/>
    </row>
    <row r="19" spans="1:28">
      <c r="A19" s="39">
        <v>5.0075137376712577</v>
      </c>
      <c r="B19" s="38">
        <v>1.6485908749803959</v>
      </c>
      <c r="C19" s="39">
        <v>6.2712480764732002</v>
      </c>
      <c r="D19" s="38">
        <v>5.5685711240273887</v>
      </c>
      <c r="E19" s="39">
        <v>5.8129484394440709</v>
      </c>
      <c r="F19" s="38">
        <v>4.1456802615680708</v>
      </c>
      <c r="G19" s="39">
        <v>5.4755755548974188</v>
      </c>
      <c r="H19" s="38">
        <v>3.0991384454536117</v>
      </c>
      <c r="I19" s="39">
        <v>5.2134700451191476</v>
      </c>
      <c r="J19" s="38">
        <v>2.2866843035751838</v>
      </c>
      <c r="K19" s="39">
        <v>6.8058394110093126</v>
      </c>
      <c r="L19" s="38">
        <v>7.2288723331171871</v>
      </c>
      <c r="M19" s="39">
        <v>7.3813619129272761</v>
      </c>
      <c r="N19" s="38">
        <v>9.0187780395896571</v>
      </c>
      <c r="O19" s="39">
        <v>8.1442334560545078</v>
      </c>
      <c r="P19" s="38">
        <v>11.393375618163878</v>
      </c>
      <c r="Q19" s="39">
        <v>8.9342078034191612</v>
      </c>
      <c r="R19" s="38">
        <v>13.854341107539666</v>
      </c>
      <c r="S19" s="39">
        <v>9.7102298022815923</v>
      </c>
      <c r="T19" s="38">
        <v>16.273499522794911</v>
      </c>
      <c r="U19" s="39">
        <v>10.52449347141593</v>
      </c>
      <c r="V19" s="38">
        <v>18.813603984789609</v>
      </c>
      <c r="W19" s="39"/>
      <c r="X19" s="38"/>
    </row>
    <row r="20" spans="1:28">
      <c r="A20" s="39">
        <v>8.2634717978565746</v>
      </c>
      <c r="B20" s="38">
        <v>0.81850053757351515</v>
      </c>
      <c r="C20" s="39">
        <v>10.752793043480931</v>
      </c>
      <c r="D20" s="38">
        <v>5.2474125933015952</v>
      </c>
      <c r="E20" s="39">
        <v>9.8273792405415552</v>
      </c>
      <c r="F20" s="38">
        <v>3.5993000749981032</v>
      </c>
      <c r="G20" s="39">
        <v>9.1626326590570049</v>
      </c>
      <c r="H20" s="38">
        <v>2.4165708042563097</v>
      </c>
      <c r="I20" s="39">
        <v>8.6556384439931513</v>
      </c>
      <c r="J20" s="38">
        <v>1.515274459258056</v>
      </c>
      <c r="K20" s="39">
        <v>11.872880446143377</v>
      </c>
      <c r="L20" s="38">
        <v>7.2430226798714701</v>
      </c>
      <c r="M20" s="39">
        <v>13.115501272555342</v>
      </c>
      <c r="N20" s="38">
        <v>9.460310816643748</v>
      </c>
      <c r="O20" s="39">
        <v>14.83475486496784</v>
      </c>
      <c r="P20" s="38">
        <v>12.531035125878379</v>
      </c>
      <c r="Q20" s="39">
        <v>16.707539689961919</v>
      </c>
      <c r="R20" s="38">
        <v>15.879082063346708</v>
      </c>
      <c r="S20" s="39">
        <v>18.645453141228717</v>
      </c>
      <c r="T20" s="38">
        <v>19.346322046507268</v>
      </c>
      <c r="U20" s="39">
        <v>20.788244596776696</v>
      </c>
      <c r="V20" s="38">
        <v>23.183177826670285</v>
      </c>
      <c r="W20" s="39"/>
      <c r="X20" s="38"/>
    </row>
    <row r="21" spans="1:28">
      <c r="A21" s="39">
        <v>12.715219315979699</v>
      </c>
      <c r="B21" s="38">
        <v>-0.74787701337063672</v>
      </c>
      <c r="C21" s="39">
        <v>17.861854821661854</v>
      </c>
      <c r="D21" s="38">
        <v>4.5691352207516518</v>
      </c>
      <c r="E21" s="39">
        <v>15.854763846994109</v>
      </c>
      <c r="F21" s="38">
        <v>2.4931072977977391</v>
      </c>
      <c r="G21" s="39">
        <v>14.482966398125779</v>
      </c>
      <c r="H21" s="38">
        <v>1.0759085675983777</v>
      </c>
      <c r="I21" s="39">
        <v>13.473777263392382</v>
      </c>
      <c r="J21" s="38">
        <v>3.440983734183873E-2</v>
      </c>
      <c r="K21" s="39">
        <v>20.472292504647562</v>
      </c>
      <c r="L21" s="38">
        <v>7.2708076528931462</v>
      </c>
      <c r="M21" s="39">
        <v>23.589763973314398</v>
      </c>
      <c r="N21" s="38">
        <v>10.503136620341179</v>
      </c>
      <c r="O21" s="39">
        <v>28.369980454579849</v>
      </c>
      <c r="P21" s="38">
        <v>15.465805165713576</v>
      </c>
      <c r="Q21" s="39">
        <v>34.30723868620538</v>
      </c>
      <c r="R21" s="38">
        <v>21.637805086095117</v>
      </c>
      <c r="S21" s="39">
        <v>41.432239264203737</v>
      </c>
      <c r="T21" s="38">
        <v>29.053805473785214</v>
      </c>
      <c r="U21" s="39">
        <v>50.76207496686704</v>
      </c>
      <c r="V21" s="38">
        <v>38.777815953730745</v>
      </c>
      <c r="W21" s="39"/>
      <c r="X21" s="38"/>
    </row>
    <row r="22" spans="1:28">
      <c r="A22" s="39">
        <v>20.046133672080426</v>
      </c>
      <c r="B22" s="38">
        <v>-3.962741630893738</v>
      </c>
      <c r="C22" s="39">
        <v>33.64329062938203</v>
      </c>
      <c r="D22" s="38">
        <v>2.7721888119281513</v>
      </c>
      <c r="E22" s="39">
        <v>27.754531940603545</v>
      </c>
      <c r="F22" s="38">
        <v>-0.15006250572387456</v>
      </c>
      <c r="G22" s="39">
        <v>24.185027664455706</v>
      </c>
      <c r="H22" s="38">
        <v>-1.9177119134670269</v>
      </c>
      <c r="I22" s="39">
        <v>21.762405523467791</v>
      </c>
      <c r="J22" s="38">
        <v>-3.1153304876040173</v>
      </c>
      <c r="K22" s="39">
        <v>42.840376347011095</v>
      </c>
      <c r="L22" s="38">
        <v>7.3432112902712223</v>
      </c>
      <c r="M22" s="39">
        <v>56.766649210090456</v>
      </c>
      <c r="N22" s="38">
        <v>14.287796459753467</v>
      </c>
      <c r="O22" s="39">
        <v>88.3913736694074</v>
      </c>
      <c r="P22" s="38">
        <v>30.116460584276734</v>
      </c>
      <c r="Q22" s="39">
        <v>166.38490486124419</v>
      </c>
      <c r="R22" s="38">
        <v>69.372340876493283</v>
      </c>
      <c r="S22" s="39">
        <v>546.32565767597725</v>
      </c>
      <c r="T22" s="38">
        <v>262.09586832133397</v>
      </c>
      <c r="U22" s="39"/>
      <c r="V22" s="38"/>
      <c r="W22" s="39"/>
      <c r="X22" s="38"/>
    </row>
    <row r="23" spans="1:28">
      <c r="A23" s="40">
        <v>37.013196128252972</v>
      </c>
      <c r="B23" s="41">
        <v>-12.605232011973923</v>
      </c>
      <c r="C23" s="40">
        <v>128.22402094757399</v>
      </c>
      <c r="D23" s="41">
        <v>-9.1983059667402394</v>
      </c>
      <c r="E23" s="40">
        <v>72.603452219512533</v>
      </c>
      <c r="F23" s="41">
        <v>-11.332294159930699</v>
      </c>
      <c r="G23" s="40">
        <v>53.04887788875552</v>
      </c>
      <c r="H23" s="41">
        <v>-12.044060102358067</v>
      </c>
      <c r="I23" s="40">
        <v>43.001159485835885</v>
      </c>
      <c r="J23" s="41">
        <v>-12.398397791383765</v>
      </c>
      <c r="K23" s="40">
        <v>519.4677598218675</v>
      </c>
      <c r="L23" s="41">
        <v>7.4011549466859252</v>
      </c>
      <c r="M23" s="40"/>
      <c r="N23" s="41"/>
      <c r="O23" s="40"/>
      <c r="P23" s="41"/>
      <c r="Q23" s="40"/>
      <c r="R23" s="41"/>
      <c r="S23" s="40"/>
      <c r="T23" s="41"/>
      <c r="U23" s="40"/>
      <c r="V23" s="41"/>
      <c r="W23" s="40"/>
      <c r="X23" s="41"/>
    </row>
    <row r="24" spans="1:28" s="6" customFormat="1">
      <c r="A24" s="43"/>
      <c r="B24" s="44">
        <v>6</v>
      </c>
      <c r="C24" s="43"/>
      <c r="D24" s="44">
        <v>7</v>
      </c>
      <c r="E24" s="43"/>
      <c r="F24" s="44">
        <v>8</v>
      </c>
      <c r="G24" s="43"/>
      <c r="H24" s="44">
        <v>9</v>
      </c>
      <c r="I24" s="43"/>
      <c r="J24" s="44">
        <v>10</v>
      </c>
      <c r="K24" s="43"/>
      <c r="L24" s="44">
        <v>11</v>
      </c>
      <c r="M24" s="43"/>
      <c r="N24" s="44">
        <v>12</v>
      </c>
      <c r="O24" s="43"/>
      <c r="P24" s="44">
        <v>13</v>
      </c>
      <c r="Q24" s="43"/>
      <c r="R24" s="44">
        <v>14</v>
      </c>
      <c r="S24" s="43"/>
      <c r="T24" s="44">
        <v>15</v>
      </c>
      <c r="U24" s="43"/>
      <c r="V24" s="44">
        <v>16</v>
      </c>
      <c r="W24" s="43"/>
      <c r="X24" s="44"/>
      <c r="Y24" s="45"/>
      <c r="Z24" s="44"/>
      <c r="AB24" s="48"/>
    </row>
    <row r="25" spans="1:28">
      <c r="A25" s="39">
        <v>-41.919592613852799</v>
      </c>
      <c r="B25" s="38">
        <v>-15.232574644442101</v>
      </c>
      <c r="C25" s="39">
        <v>-21.640417180241187</v>
      </c>
      <c r="D25" s="38">
        <v>-4.7245148936967727</v>
      </c>
      <c r="E25" s="39">
        <v>-13.559046086435936</v>
      </c>
      <c r="F25" s="38">
        <v>-1.0856509931818819</v>
      </c>
      <c r="G25" s="39">
        <v>-8.8293518458848617</v>
      </c>
      <c r="H25" s="38">
        <v>0.64338372274537337</v>
      </c>
      <c r="I25" s="39">
        <v>-5.4482821140878102</v>
      </c>
      <c r="J25" s="38">
        <v>1.5559163627589956</v>
      </c>
      <c r="K25" s="39">
        <v>-2.6864652715698982</v>
      </c>
      <c r="L25" s="38">
        <v>2.0186193609390068</v>
      </c>
      <c r="M25" s="39">
        <v>-0.18353265941610256</v>
      </c>
      <c r="N25" s="38">
        <v>2.17275122860715</v>
      </c>
      <c r="O25" s="39">
        <v>2.3027051057602068</v>
      </c>
      <c r="P25" s="38">
        <v>2.0593845481267006</v>
      </c>
      <c r="Q25" s="39">
        <v>5.0075137376712577</v>
      </c>
      <c r="R25" s="38">
        <v>1.6485908749803959</v>
      </c>
      <c r="S25" s="39">
        <v>8.2634717978565746</v>
      </c>
      <c r="T25" s="38">
        <v>0.81850053757351515</v>
      </c>
      <c r="U25" s="39">
        <v>12.715219315979699</v>
      </c>
      <c r="V25" s="38">
        <v>-0.74787701337063672</v>
      </c>
      <c r="W25" s="39"/>
      <c r="X25" s="38"/>
      <c r="Z25" s="38"/>
    </row>
    <row r="26" spans="1:28">
      <c r="A26" s="39">
        <v>-219.8883394935005</v>
      </c>
      <c r="B26" s="38">
        <v>-20.193857271983955</v>
      </c>
      <c r="C26" s="39">
        <v>-38.319238267746556</v>
      </c>
      <c r="D26" s="38">
        <v>2.3441179265265704</v>
      </c>
      <c r="E26" s="39">
        <v>-19.43679546493437</v>
      </c>
      <c r="F26" s="38">
        <v>4.462633931617825</v>
      </c>
      <c r="G26" s="39">
        <v>-11.603315132241089</v>
      </c>
      <c r="H26" s="38">
        <v>5.2074298333594724</v>
      </c>
      <c r="I26" s="39">
        <v>-6.8581204451408402</v>
      </c>
      <c r="J26" s="38">
        <v>5.5513236650772306</v>
      </c>
      <c r="K26" s="39">
        <v>-3.3106008763125634</v>
      </c>
      <c r="L26" s="38">
        <v>5.7133968765272831</v>
      </c>
      <c r="M26" s="39">
        <v>-0.22457376837990825</v>
      </c>
      <c r="N26" s="38">
        <v>5.7635605113788309</v>
      </c>
      <c r="O26" s="39">
        <v>2.8314010821015492</v>
      </c>
      <c r="P26" s="38">
        <v>5.7201385341309363</v>
      </c>
      <c r="Q26" s="39">
        <v>6.2712480764732002</v>
      </c>
      <c r="R26" s="38">
        <v>5.5685711240273887</v>
      </c>
      <c r="S26" s="39">
        <v>10.752793043480931</v>
      </c>
      <c r="T26" s="38">
        <v>5.2474125933015952</v>
      </c>
      <c r="U26" s="39">
        <v>17.861854821661854</v>
      </c>
      <c r="V26" s="38">
        <v>4.5691352207516518</v>
      </c>
      <c r="W26" s="39"/>
      <c r="X26" s="38"/>
      <c r="Z26" s="38"/>
    </row>
    <row r="27" spans="1:28">
      <c r="A27" s="39">
        <v>-95.584629361471315</v>
      </c>
      <c r="B27" s="38">
        <v>-16.85982632402559</v>
      </c>
      <c r="C27" s="39">
        <v>-30.915289280534026</v>
      </c>
      <c r="D27" s="38">
        <v>-0.80039280275395486</v>
      </c>
      <c r="E27" s="39">
        <v>-17.126764041748935</v>
      </c>
      <c r="F27" s="38">
        <v>2.2793573589558278</v>
      </c>
      <c r="G27" s="39">
        <v>-10.5693155481668</v>
      </c>
      <c r="H27" s="38">
        <v>3.5044361383376805</v>
      </c>
      <c r="I27" s="39">
        <v>-6.3463930624325151</v>
      </c>
      <c r="J27" s="38">
        <v>4.0997849329891904</v>
      </c>
      <c r="K27" s="39">
        <v>-3.0869757005013665</v>
      </c>
      <c r="L27" s="38">
        <v>4.3884271530472923</v>
      </c>
      <c r="M27" s="39">
        <v>-0.20992685027987479</v>
      </c>
      <c r="N27" s="38">
        <v>4.4809725733534966</v>
      </c>
      <c r="O27" s="39">
        <v>2.6420136928211799</v>
      </c>
      <c r="P27" s="38">
        <v>4.4076678134743172</v>
      </c>
      <c r="Q27" s="39">
        <v>5.8129484394440709</v>
      </c>
      <c r="R27" s="38">
        <v>4.1456802615680708</v>
      </c>
      <c r="S27" s="39">
        <v>9.8273792405415552</v>
      </c>
      <c r="T27" s="38">
        <v>3.5993000749981032</v>
      </c>
      <c r="U27" s="39">
        <v>15.854763846994109</v>
      </c>
      <c r="V27" s="38">
        <v>2.4931072977977391</v>
      </c>
      <c r="W27" s="39"/>
      <c r="X27" s="38"/>
      <c r="Z27" s="38"/>
    </row>
    <row r="28" spans="1:28">
      <c r="A28" s="39">
        <v>-64.336203578199203</v>
      </c>
      <c r="B28" s="38">
        <v>-15.934434866586853</v>
      </c>
      <c r="C28" s="39">
        <v>-26.575922281327138</v>
      </c>
      <c r="D28" s="38">
        <v>-2.6388464614337166</v>
      </c>
      <c r="E28" s="39">
        <v>-15.56493135462555</v>
      </c>
      <c r="F28" s="38">
        <v>0.80509786124036031</v>
      </c>
      <c r="G28" s="39">
        <v>-9.8299959422860166</v>
      </c>
      <c r="H28" s="38">
        <v>2.28798820982243</v>
      </c>
      <c r="I28" s="39">
        <v>-5.9704920851056515</v>
      </c>
      <c r="J28" s="38">
        <v>3.0344573280164462</v>
      </c>
      <c r="K28" s="39">
        <v>-2.9205531888618448</v>
      </c>
      <c r="L28" s="38">
        <v>3.4031884943445325</v>
      </c>
      <c r="M28" s="39">
        <v>-0.19898117829730999</v>
      </c>
      <c r="N28" s="38">
        <v>3.5232581391259714</v>
      </c>
      <c r="O28" s="39">
        <v>2.500949911973755</v>
      </c>
      <c r="P28" s="38">
        <v>3.4308802056649306</v>
      </c>
      <c r="Q28" s="39">
        <v>5.4755755548974188</v>
      </c>
      <c r="R28" s="38">
        <v>3.0991384454536117</v>
      </c>
      <c r="S28" s="39">
        <v>9.1626326590570049</v>
      </c>
      <c r="T28" s="38">
        <v>2.4165708042563097</v>
      </c>
      <c r="U28" s="39">
        <v>14.482966398125779</v>
      </c>
      <c r="V28" s="38">
        <v>1.0759085675983777</v>
      </c>
      <c r="W28" s="39"/>
      <c r="X28" s="38"/>
      <c r="Z28" s="38"/>
    </row>
    <row r="29" spans="1:28">
      <c r="A29" s="39">
        <v>-50.049231917311822</v>
      </c>
      <c r="B29" s="38">
        <v>-15.49143319640363</v>
      </c>
      <c r="C29" s="39">
        <v>-23.687208117396761</v>
      </c>
      <c r="D29" s="38">
        <v>-3.8602593911245022</v>
      </c>
      <c r="E29" s="39">
        <v>-14.422984996542477</v>
      </c>
      <c r="F29" s="38">
        <v>-0.2716389509310666</v>
      </c>
      <c r="G29" s="39">
        <v>-9.2674156664837852</v>
      </c>
      <c r="H29" s="38">
        <v>1.3631342112687768</v>
      </c>
      <c r="I29" s="39">
        <v>-5.6787042284761231</v>
      </c>
      <c r="J29" s="38">
        <v>2.208135051823862</v>
      </c>
      <c r="K29" s="39">
        <v>-2.790113573232881</v>
      </c>
      <c r="L29" s="38">
        <v>2.6315158705341193</v>
      </c>
      <c r="M29" s="39">
        <v>-0.19037647200583521</v>
      </c>
      <c r="N29" s="38">
        <v>2.7708885156789074</v>
      </c>
      <c r="O29" s="39">
        <v>2.3903553588242388</v>
      </c>
      <c r="P29" s="38">
        <v>2.665610924792424</v>
      </c>
      <c r="Q29" s="39">
        <v>5.2134700451191476</v>
      </c>
      <c r="R29" s="38">
        <v>2.2866843035751838</v>
      </c>
      <c r="S29" s="39">
        <v>8.6556384439931513</v>
      </c>
      <c r="T29" s="38">
        <v>1.515274459258056</v>
      </c>
      <c r="U29" s="39">
        <v>13.473777263392382</v>
      </c>
      <c r="V29" s="38">
        <v>3.440983734183873E-2</v>
      </c>
      <c r="W29" s="39"/>
      <c r="X29" s="38"/>
      <c r="Z29" s="38"/>
    </row>
    <row r="30" spans="1:28">
      <c r="A30" s="39">
        <v>0</v>
      </c>
      <c r="B30" s="38">
        <v>0</v>
      </c>
      <c r="C30" s="39">
        <v>-49.689663087584854</v>
      </c>
      <c r="D30" s="38">
        <v>7.1823665490190001</v>
      </c>
      <c r="E30" s="39">
        <v>-22.336231061789455</v>
      </c>
      <c r="F30" s="38">
        <v>7.2045720710469938</v>
      </c>
      <c r="G30" s="39">
        <v>-12.817396641028768</v>
      </c>
      <c r="H30" s="38">
        <v>7.2077799396307238</v>
      </c>
      <c r="I30" s="39">
        <v>-7.4425620921638069</v>
      </c>
      <c r="J30" s="38">
        <v>7.2096433717669841</v>
      </c>
      <c r="K30" s="39">
        <v>-3.5634528093751778</v>
      </c>
      <c r="L30" s="38">
        <v>7.2119693459731478</v>
      </c>
      <c r="M30" s="39">
        <v>-0.24114866589925263</v>
      </c>
      <c r="N30" s="38">
        <v>7.2153891928383738</v>
      </c>
      <c r="O30" s="39">
        <v>3.0478509114260759</v>
      </c>
      <c r="P30" s="38">
        <v>7.2206005367848816</v>
      </c>
      <c r="Q30" s="39">
        <v>6.8058394110093126</v>
      </c>
      <c r="R30" s="38">
        <v>7.2288723331171871</v>
      </c>
      <c r="S30" s="39">
        <v>11.872880446143377</v>
      </c>
      <c r="T30" s="38">
        <v>7.2430226798714701</v>
      </c>
      <c r="U30" s="39">
        <v>20.472292504647562</v>
      </c>
      <c r="V30" s="38">
        <v>7.2708076528931462</v>
      </c>
      <c r="W30" s="39"/>
      <c r="X30" s="38"/>
      <c r="Z30" s="38"/>
    </row>
    <row r="31" spans="1:28">
      <c r="A31" s="39">
        <v>0</v>
      </c>
      <c r="B31" s="38">
        <v>0</v>
      </c>
      <c r="C31" s="39">
        <v>-69.11834904463764</v>
      </c>
      <c r="D31" s="38">
        <v>15.483404536980562</v>
      </c>
      <c r="E31" s="39">
        <v>-26.001429884328012</v>
      </c>
      <c r="F31" s="38">
        <v>10.677363305454836</v>
      </c>
      <c r="G31" s="39">
        <v>-14.215749069377795</v>
      </c>
      <c r="H31" s="38">
        <v>9.5153387687549689</v>
      </c>
      <c r="I31" s="39">
        <v>-8.0869594479749178</v>
      </c>
      <c r="J31" s="38">
        <v>9.0406650681466481</v>
      </c>
      <c r="K31" s="39">
        <v>-3.8358989262544081</v>
      </c>
      <c r="L31" s="38">
        <v>8.828831331129722</v>
      </c>
      <c r="M31" s="39">
        <v>-0.25881491096997017</v>
      </c>
      <c r="N31" s="38">
        <v>8.7648458901651267</v>
      </c>
      <c r="O31" s="39">
        <v>3.2783548155598803</v>
      </c>
      <c r="P31" s="38">
        <v>8.8206092511382899</v>
      </c>
      <c r="Q31" s="39">
        <v>7.3813619129272761</v>
      </c>
      <c r="R31" s="38">
        <v>9.0187780395896571</v>
      </c>
      <c r="S31" s="39">
        <v>13.115501272555342</v>
      </c>
      <c r="T31" s="38">
        <v>9.460310816643748</v>
      </c>
      <c r="U31" s="39">
        <v>23.589763973314398</v>
      </c>
      <c r="V31" s="38">
        <v>10.503136620341179</v>
      </c>
      <c r="W31" s="39"/>
      <c r="X31" s="38"/>
      <c r="Z31" s="38"/>
    </row>
    <row r="32" spans="1:28">
      <c r="A32" s="39">
        <v>0</v>
      </c>
      <c r="B32" s="38">
        <v>0</v>
      </c>
      <c r="C32" s="39">
        <v>-121.12259654049325</v>
      </c>
      <c r="D32" s="38">
        <v>37.819321154462351</v>
      </c>
      <c r="E32" s="39">
        <v>-31.77540043143614</v>
      </c>
      <c r="F32" s="38">
        <v>16.155769560690217</v>
      </c>
      <c r="G32" s="39">
        <v>-16.170629951290511</v>
      </c>
      <c r="H32" s="38">
        <v>12.744467106724814</v>
      </c>
      <c r="I32" s="39">
        <v>-8.9452830350274013</v>
      </c>
      <c r="J32" s="38">
        <v>11.481656872078123</v>
      </c>
      <c r="K32" s="39">
        <v>-4.1909917058738113</v>
      </c>
      <c r="L32" s="38">
        <v>10.937881579125943</v>
      </c>
      <c r="M32" s="39">
        <v>-0.28168105237294472</v>
      </c>
      <c r="N32" s="38">
        <v>10.771965904634353</v>
      </c>
      <c r="O32" s="39">
        <v>3.5781729712695882</v>
      </c>
      <c r="P32" s="38">
        <v>10.903434528178625</v>
      </c>
      <c r="Q32" s="39">
        <v>8.1442334560545078</v>
      </c>
      <c r="R32" s="38">
        <v>11.393375618163878</v>
      </c>
      <c r="S32" s="39">
        <v>14.83475486496784</v>
      </c>
      <c r="T32" s="38">
        <v>12.531035125878379</v>
      </c>
      <c r="U32" s="39">
        <v>28.369980454579849</v>
      </c>
      <c r="V32" s="38">
        <v>15.465805165713576</v>
      </c>
      <c r="W32" s="39"/>
      <c r="X32" s="38"/>
      <c r="Z32" s="38"/>
    </row>
    <row r="33" spans="1:26">
      <c r="A33" s="39">
        <v>0</v>
      </c>
      <c r="B33" s="38">
        <v>0</v>
      </c>
      <c r="C33" s="39">
        <v>-323.39181571919329</v>
      </c>
      <c r="D33" s="38">
        <v>125.45672724897068</v>
      </c>
      <c r="E33" s="39">
        <v>-39.224239914815954</v>
      </c>
      <c r="F33" s="38">
        <v>23.233610135683065</v>
      </c>
      <c r="G33" s="39">
        <v>-18.328477551550154</v>
      </c>
      <c r="H33" s="38">
        <v>16.31227111506384</v>
      </c>
      <c r="I33" s="39">
        <v>-9.8394914759703838</v>
      </c>
      <c r="J33" s="38">
        <v>14.026801970948545</v>
      </c>
      <c r="K33" s="39">
        <v>-4.5517531032864778</v>
      </c>
      <c r="L33" s="38">
        <v>13.082259509608868</v>
      </c>
      <c r="M33" s="39">
        <v>-0.3047277101984312</v>
      </c>
      <c r="N33" s="38">
        <v>12.796464690569104</v>
      </c>
      <c r="O33" s="39">
        <v>3.882013123788159</v>
      </c>
      <c r="P33" s="38">
        <v>13.015826572944905</v>
      </c>
      <c r="Q33" s="39">
        <v>8.9342078034191612</v>
      </c>
      <c r="R33" s="38">
        <v>13.854341107539666</v>
      </c>
      <c r="S33" s="39">
        <v>16.707539689961919</v>
      </c>
      <c r="T33" s="38">
        <v>15.879082063346708</v>
      </c>
      <c r="U33" s="39">
        <v>34.30723868620538</v>
      </c>
      <c r="V33" s="38">
        <v>21.637805086095117</v>
      </c>
      <c r="W33" s="39"/>
      <c r="X33" s="38"/>
      <c r="Z33" s="38"/>
    </row>
    <row r="34" spans="1:26">
      <c r="A34" s="39">
        <v>0</v>
      </c>
      <c r="B34" s="38">
        <v>0</v>
      </c>
      <c r="C34" s="39">
        <v>0</v>
      </c>
      <c r="D34" s="38">
        <v>0</v>
      </c>
      <c r="E34" s="39">
        <v>-48.611409788677015</v>
      </c>
      <c r="F34" s="38">
        <v>32.166063911268644</v>
      </c>
      <c r="G34" s="39">
        <v>-20.596313523880948</v>
      </c>
      <c r="H34" s="38">
        <v>20.065027801742705</v>
      </c>
      <c r="I34" s="39">
        <v>-10.724099198183529</v>
      </c>
      <c r="J34" s="38">
        <v>16.546370436972801</v>
      </c>
      <c r="K34" s="39">
        <v>-4.8997032278980877</v>
      </c>
      <c r="L34" s="38">
        <v>15.151827272811028</v>
      </c>
      <c r="M34" s="39">
        <v>-0.3267771281103426</v>
      </c>
      <c r="N34" s="38">
        <v>14.734590072343135</v>
      </c>
      <c r="O34" s="39">
        <v>4.1742049170684634</v>
      </c>
      <c r="P34" s="38">
        <v>15.048545947380829</v>
      </c>
      <c r="Q34" s="39">
        <v>9.7102298022815923</v>
      </c>
      <c r="R34" s="38">
        <v>16.273499522794911</v>
      </c>
      <c r="S34" s="39">
        <v>18.645453141228717</v>
      </c>
      <c r="T34" s="38">
        <v>19.346322046507268</v>
      </c>
      <c r="U34" s="39">
        <v>41.432239264203737</v>
      </c>
      <c r="V34" s="38">
        <v>29.053805473785214</v>
      </c>
      <c r="W34" s="39"/>
      <c r="X34" s="38"/>
      <c r="Z34" s="38"/>
    </row>
    <row r="35" spans="1:26">
      <c r="A35" s="39">
        <v>0</v>
      </c>
      <c r="B35" s="38">
        <v>0</v>
      </c>
      <c r="C35" s="39">
        <v>0</v>
      </c>
      <c r="D35" s="38">
        <v>0</v>
      </c>
      <c r="E35" s="39">
        <v>-61.901792365738046</v>
      </c>
      <c r="F35" s="38">
        <v>44.832882197179117</v>
      </c>
      <c r="G35" s="39">
        <v>-23.172345731034209</v>
      </c>
      <c r="H35" s="38">
        <v>24.331277368916737</v>
      </c>
      <c r="I35" s="39">
        <v>-11.665132030148568</v>
      </c>
      <c r="J35" s="38">
        <v>19.22848489109348</v>
      </c>
      <c r="K35" s="39">
        <v>-5.2598957852321684</v>
      </c>
      <c r="L35" s="38">
        <v>17.295585477302243</v>
      </c>
      <c r="M35" s="39">
        <v>-0.34938340825674258</v>
      </c>
      <c r="N35" s="38">
        <v>16.722917384331488</v>
      </c>
      <c r="O35" s="39">
        <v>4.4748179284137208</v>
      </c>
      <c r="P35" s="38">
        <v>17.141192353352864</v>
      </c>
      <c r="Q35" s="39">
        <v>10.52449347141593</v>
      </c>
      <c r="R35" s="38">
        <v>18.813603984789609</v>
      </c>
      <c r="S35" s="39">
        <v>20.788244596776696</v>
      </c>
      <c r="T35" s="38">
        <v>23.183177826670285</v>
      </c>
      <c r="U35" s="39">
        <v>50.76207496686704</v>
      </c>
      <c r="V35" s="38">
        <v>38.777815953730745</v>
      </c>
      <c r="W35" s="39"/>
      <c r="X35" s="38"/>
      <c r="Z35" s="38"/>
    </row>
    <row r="36" spans="1:26">
      <c r="A36" s="40"/>
      <c r="B36" s="41"/>
      <c r="C36" s="40"/>
      <c r="D36" s="41"/>
      <c r="E36" s="40"/>
      <c r="F36" s="41"/>
      <c r="G36" s="40"/>
      <c r="H36" s="41"/>
      <c r="I36" s="40"/>
      <c r="J36" s="41"/>
      <c r="K36" s="40"/>
      <c r="L36" s="41"/>
      <c r="M36" s="40"/>
      <c r="N36" s="41"/>
      <c r="O36" s="40"/>
      <c r="P36" s="41"/>
      <c r="Q36" s="40"/>
      <c r="R36" s="41"/>
      <c r="S36" s="40"/>
      <c r="T36" s="41"/>
      <c r="U36" s="40"/>
      <c r="V36" s="41"/>
      <c r="W36" s="40"/>
      <c r="X36" s="41"/>
      <c r="Y36" s="42"/>
      <c r="Z36" s="4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VectorGnom">
                <anchor moveWithCells="1" sizeWithCells="1">
                  <from>
                    <xdr:col>4</xdr:col>
                    <xdr:colOff>657225</xdr:colOff>
                    <xdr:row>3</xdr:row>
                    <xdr:rowOff>123825</xdr:rowOff>
                  </from>
                  <to>
                    <xdr:col>8</xdr:col>
                    <xdr:colOff>133350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5" name="List Box 5">
              <controlPr defaultSize="0" autoLine="0" autoPict="0">
                <anchor moveWithCells="1">
                  <from>
                    <xdr:col>0</xdr:col>
                    <xdr:colOff>571500</xdr:colOff>
                    <xdr:row>2</xdr:row>
                    <xdr:rowOff>9525</xdr:rowOff>
                  </from>
                  <to>
                    <xdr:col>2</xdr:col>
                    <xdr:colOff>542925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6" name="Option Button 7">
              <controlPr defaultSize="0" autoFill="0" autoLine="0" autoPict="0">
                <anchor moveWithCells="1">
                  <from>
                    <xdr:col>2</xdr:col>
                    <xdr:colOff>609600</xdr:colOff>
                    <xdr:row>2</xdr:row>
                    <xdr:rowOff>76200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7" name="Option Button 8">
              <controlPr defaultSize="0" autoFill="0" autoLine="0" autoPict="0">
                <anchor moveWithCells="1">
                  <from>
                    <xdr:col>2</xdr:col>
                    <xdr:colOff>600075</xdr:colOff>
                    <xdr:row>3</xdr:row>
                    <xdr:rowOff>161925</xdr:rowOff>
                  </from>
                  <to>
                    <xdr:col>4</xdr:col>
                    <xdr:colOff>447675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60402-2850-40FF-BF84-4451D7BABBC7}">
  <sheetPr codeName="Sheet17"/>
  <dimension ref="A1:V30"/>
  <sheetViews>
    <sheetView workbookViewId="0">
      <selection activeCell="A5" sqref="A5"/>
    </sheetView>
  </sheetViews>
  <sheetFormatPr defaultRowHeight="15"/>
  <cols>
    <col min="2" max="2" width="10.5703125" customWidth="1"/>
    <col min="4" max="4" width="9.7109375" customWidth="1"/>
    <col min="5" max="6" width="10.140625" customWidth="1"/>
    <col min="10" max="10" width="9.7109375" customWidth="1"/>
    <col min="12" max="12" width="9.85546875" customWidth="1"/>
    <col min="14" max="14" width="10.140625" customWidth="1"/>
    <col min="16" max="16" width="10.7109375" customWidth="1"/>
    <col min="18" max="18" width="9.5703125" customWidth="1"/>
    <col min="20" max="20" width="10.85546875" customWidth="1"/>
    <col min="22" max="22" width="10.42578125" customWidth="1"/>
  </cols>
  <sheetData>
    <row r="1" spans="1:22" ht="19.5">
      <c r="A1" s="129" t="s">
        <v>19</v>
      </c>
      <c r="B1" s="129" t="s">
        <v>26</v>
      </c>
      <c r="C1" s="129" t="s">
        <v>13</v>
      </c>
      <c r="D1" s="129" t="s">
        <v>2</v>
      </c>
      <c r="E1" s="129" t="s">
        <v>27</v>
      </c>
      <c r="G1" s="174" t="s">
        <v>148</v>
      </c>
      <c r="K1" s="172" t="s">
        <v>25</v>
      </c>
      <c r="L1" s="172" t="s">
        <v>21</v>
      </c>
      <c r="M1" s="172" t="s">
        <v>20</v>
      </c>
      <c r="N1" s="172" t="s">
        <v>23</v>
      </c>
      <c r="O1" s="172" t="s">
        <v>24</v>
      </c>
      <c r="P1" s="172" t="s">
        <v>28</v>
      </c>
      <c r="Q1" s="172" t="s">
        <v>29</v>
      </c>
    </row>
    <row r="2" spans="1:22">
      <c r="A2" t="str">
        <f>Enter!B2</f>
        <v>تبریز</v>
      </c>
      <c r="B2">
        <v>51.3797</v>
      </c>
      <c r="C2">
        <v>35.7029</v>
      </c>
      <c r="D2">
        <v>1210</v>
      </c>
      <c r="E2">
        <v>3.5</v>
      </c>
      <c r="K2">
        <v>35.7029</v>
      </c>
      <c r="L2">
        <v>0</v>
      </c>
      <c r="M2">
        <v>10</v>
      </c>
      <c r="N2">
        <v>10</v>
      </c>
      <c r="O2">
        <v>-90.000000000000171</v>
      </c>
      <c r="P2">
        <v>0</v>
      </c>
      <c r="Q2">
        <v>-1.2246063538223773E-15</v>
      </c>
    </row>
    <row r="5" spans="1:22" s="6" customFormat="1">
      <c r="B5" s="151" t="s">
        <v>53</v>
      </c>
      <c r="D5" s="151" t="s">
        <v>54</v>
      </c>
      <c r="F5" s="151" t="s">
        <v>55</v>
      </c>
      <c r="H5" s="151" t="s">
        <v>56</v>
      </c>
      <c r="J5" s="151" t="s">
        <v>57</v>
      </c>
      <c r="L5" s="151" t="s">
        <v>58</v>
      </c>
      <c r="N5" s="151" t="s">
        <v>59</v>
      </c>
      <c r="P5" s="151" t="s">
        <v>60</v>
      </c>
      <c r="R5" s="151" t="s">
        <v>16</v>
      </c>
      <c r="T5" s="151" t="s">
        <v>17</v>
      </c>
      <c r="V5" s="151" t="s">
        <v>18</v>
      </c>
    </row>
    <row r="6" spans="1:22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</row>
    <row r="7" spans="1:22">
      <c r="A7">
        <v>-40.348344383474114</v>
      </c>
      <c r="B7">
        <v>-18.034065142155878</v>
      </c>
      <c r="C7">
        <v>-40.384818062955716</v>
      </c>
      <c r="D7">
        <v>-4.1442400658818936</v>
      </c>
      <c r="E7">
        <v>-40.393953332014028</v>
      </c>
      <c r="F7">
        <v>-8.4743347106529647</v>
      </c>
      <c r="G7">
        <v>-40.385528484594403</v>
      </c>
      <c r="H7">
        <v>-12.124673365354807</v>
      </c>
      <c r="I7">
        <v>-40.368394261513387</v>
      </c>
      <c r="J7">
        <v>-15.287879814370385</v>
      </c>
      <c r="K7">
        <v>-40.358588057493378</v>
      </c>
      <c r="L7">
        <v>-2.7239376332579479E-3</v>
      </c>
      <c r="M7">
        <v>-40.287254785977467</v>
      </c>
      <c r="N7">
        <v>3.9271320203305935</v>
      </c>
      <c r="O7">
        <v>-40.11847453071335</v>
      </c>
      <c r="P7">
        <v>8.2393165520974385</v>
      </c>
      <c r="Q7">
        <v>-39.760539033058016</v>
      </c>
      <c r="R7">
        <v>11.808196935612841</v>
      </c>
    </row>
    <row r="8" spans="1:22">
      <c r="A8">
        <v>-18.11018385504736</v>
      </c>
      <c r="B8">
        <v>-8.9721576331819062</v>
      </c>
      <c r="C8">
        <v>-18.12313269331354</v>
      </c>
      <c r="D8">
        <v>-2.0624275344725684</v>
      </c>
      <c r="E8">
        <v>-18.122155042589455</v>
      </c>
      <c r="F8">
        <v>-4.2164582288391088</v>
      </c>
      <c r="G8">
        <v>-18.119023781598472</v>
      </c>
      <c r="H8">
        <v>-6.0323754485615142</v>
      </c>
      <c r="I8">
        <v>-18.114739543893165</v>
      </c>
      <c r="J8">
        <v>-7.6066268511806978</v>
      </c>
      <c r="K8">
        <v>-18.122701597063362</v>
      </c>
      <c r="L8">
        <v>1.1909418605848045E-2</v>
      </c>
      <c r="M8">
        <v>-18.117367166794406</v>
      </c>
      <c r="N8">
        <v>1.9752225748784531</v>
      </c>
      <c r="O8">
        <v>-18.106919295995915</v>
      </c>
      <c r="P8">
        <v>4.150454769861204</v>
      </c>
      <c r="Q8">
        <v>-18.092975924455857</v>
      </c>
      <c r="R8">
        <v>6.0108695388594056</v>
      </c>
      <c r="S8">
        <v>-18.076474230233963</v>
      </c>
      <c r="T8">
        <v>7.5430211994079697</v>
      </c>
      <c r="U8">
        <v>-18.055477921479856</v>
      </c>
      <c r="V8">
        <v>8.9169012415419786</v>
      </c>
    </row>
    <row r="9" spans="1:22">
      <c r="A9">
        <v>-10.39235439915524</v>
      </c>
      <c r="B9">
        <v>-6.2539504198951628</v>
      </c>
      <c r="C9">
        <v>-10.397698038329795</v>
      </c>
      <c r="D9">
        <v>-1.4401258200198654</v>
      </c>
      <c r="E9">
        <v>-10.397070553188508</v>
      </c>
      <c r="F9">
        <v>-2.9413041294147053</v>
      </c>
      <c r="G9">
        <v>-10.395765350134329</v>
      </c>
      <c r="H9">
        <v>-4.2068001383675</v>
      </c>
      <c r="I9">
        <v>-10.394092793891041</v>
      </c>
      <c r="J9">
        <v>-5.3037941459882108</v>
      </c>
      <c r="K9">
        <v>-10.39793048282784</v>
      </c>
      <c r="L9">
        <v>1.4020848663747447E-2</v>
      </c>
      <c r="M9">
        <v>-10.396551597775728</v>
      </c>
      <c r="N9">
        <v>1.3830712338315463</v>
      </c>
      <c r="O9">
        <v>-10.393781345545248</v>
      </c>
      <c r="P9">
        <v>2.9010004070493558</v>
      </c>
      <c r="Q9">
        <v>-10.390238722216754</v>
      </c>
      <c r="R9">
        <v>4.2010106089552286</v>
      </c>
      <c r="S9">
        <v>-10.386370672873515</v>
      </c>
      <c r="T9">
        <v>5.2738232075006737</v>
      </c>
      <c r="U9">
        <v>-10.381948332512826</v>
      </c>
      <c r="V9">
        <v>6.2377175795179349</v>
      </c>
    </row>
    <row r="10" spans="1:22">
      <c r="A10">
        <v>-6.0345072320616051</v>
      </c>
      <c r="B10">
        <v>-5.0643098751483402</v>
      </c>
      <c r="C10">
        <v>-6.0369746481999833</v>
      </c>
      <c r="D10">
        <v>-1.168860831799879</v>
      </c>
      <c r="E10">
        <v>-6.0366513473633763</v>
      </c>
      <c r="F10">
        <v>-2.3842405919634828</v>
      </c>
      <c r="G10">
        <v>-6.0360462451208603</v>
      </c>
      <c r="H10">
        <v>-3.4086999623580998</v>
      </c>
      <c r="I10">
        <v>-6.0352880808107514</v>
      </c>
      <c r="J10">
        <v>-4.296552106619095</v>
      </c>
      <c r="K10">
        <v>-6.0371399108790635</v>
      </c>
      <c r="L10">
        <v>1.5247071615302551E-2</v>
      </c>
      <c r="M10">
        <v>-6.036615622688549</v>
      </c>
      <c r="N10">
        <v>1.1239380729104556</v>
      </c>
      <c r="O10">
        <v>-6.0355332639366122</v>
      </c>
      <c r="P10">
        <v>2.3533463720188723</v>
      </c>
      <c r="Q10">
        <v>-6.0341532356153813</v>
      </c>
      <c r="R10">
        <v>3.4064661978266009</v>
      </c>
      <c r="S10">
        <v>-6.0326684594525615</v>
      </c>
      <c r="T10">
        <v>4.2756637224671525</v>
      </c>
      <c r="U10">
        <v>-6.0310030199494511</v>
      </c>
      <c r="V10">
        <v>5.0557198084112107</v>
      </c>
    </row>
    <row r="11" spans="1:22">
      <c r="A11">
        <v>-2.8891164328492827</v>
      </c>
      <c r="B11">
        <v>-4.5131617276093197</v>
      </c>
      <c r="C11">
        <v>-2.8901486235959855</v>
      </c>
      <c r="D11">
        <v>-1.0443122368564033</v>
      </c>
      <c r="E11">
        <v>-2.8900076959285741</v>
      </c>
      <c r="F11">
        <v>-2.127204108174515</v>
      </c>
      <c r="G11">
        <v>-2.889754040675423</v>
      </c>
      <c r="H11">
        <v>-3.0398514482117229</v>
      </c>
      <c r="I11">
        <v>-2.8894391948517804</v>
      </c>
      <c r="J11">
        <v>-3.8305674555352316</v>
      </c>
      <c r="K11">
        <v>-2.8902271055164785</v>
      </c>
      <c r="L11">
        <v>1.6777364737457397E-2</v>
      </c>
      <c r="M11">
        <v>-2.8900254636230294</v>
      </c>
      <c r="N11">
        <v>1.0048034759753934</v>
      </c>
      <c r="O11">
        <v>-2.8896029278797339</v>
      </c>
      <c r="P11">
        <v>2.1003802286652031</v>
      </c>
      <c r="Q11">
        <v>-2.8890636800923621</v>
      </c>
      <c r="R11">
        <v>3.0388085666750198</v>
      </c>
      <c r="S11">
        <v>-2.8884857482728896</v>
      </c>
      <c r="T11">
        <v>3.813196401328431</v>
      </c>
      <c r="U11">
        <v>-2.8878410992734125</v>
      </c>
      <c r="V11">
        <v>4.5070572869579442</v>
      </c>
    </row>
    <row r="12" spans="1:22">
      <c r="A12">
        <v>-0.19548627172582891</v>
      </c>
      <c r="B12">
        <v>-4.3366070773283889</v>
      </c>
      <c r="C12">
        <v>-0.19555272886850245</v>
      </c>
      <c r="D12">
        <v>-1.0061786898712883</v>
      </c>
      <c r="E12">
        <v>-0.19554352424817487</v>
      </c>
      <c r="F12">
        <v>-2.0464999022035149</v>
      </c>
      <c r="G12">
        <v>-0.19552717051703294</v>
      </c>
      <c r="H12">
        <v>-2.9231102617431488</v>
      </c>
      <c r="I12">
        <v>-0.19550693702793087</v>
      </c>
      <c r="J12">
        <v>-3.6823435959057909</v>
      </c>
      <c r="K12">
        <v>-0.19555797313864348</v>
      </c>
      <c r="L12">
        <v>1.9026721180503983E-2</v>
      </c>
      <c r="M12">
        <v>-0.19554527886121784</v>
      </c>
      <c r="N12">
        <v>0.96838064294978343</v>
      </c>
      <c r="O12">
        <v>-0.19551858106818296</v>
      </c>
      <c r="P12">
        <v>2.0209768126876342</v>
      </c>
      <c r="Q12">
        <v>-0.19548450851891111</v>
      </c>
      <c r="R12">
        <v>2.9224406745627634</v>
      </c>
      <c r="S12">
        <v>-0.19544804261703796</v>
      </c>
      <c r="T12">
        <v>3.6660793032573489</v>
      </c>
      <c r="U12">
        <v>-0.19540744619651007</v>
      </c>
      <c r="V12">
        <v>4.3312090689479712</v>
      </c>
    </row>
    <row r="13" spans="1:22">
      <c r="A13">
        <v>2.4700880799439</v>
      </c>
      <c r="B13">
        <v>-4.4661347172178543</v>
      </c>
      <c r="C13">
        <v>2.4709593758240662</v>
      </c>
      <c r="D13">
        <v>-1.0391760093265441</v>
      </c>
      <c r="E13">
        <v>2.4708396347565293</v>
      </c>
      <c r="F13">
        <v>-2.11035816783005</v>
      </c>
      <c r="G13">
        <v>2.4706252328583331</v>
      </c>
      <c r="H13">
        <v>-3.0127839925585898</v>
      </c>
      <c r="I13">
        <v>2.4703596116993749</v>
      </c>
      <c r="J13">
        <v>-3.7940768750128688</v>
      </c>
      <c r="K13">
        <v>2.4710258403209098</v>
      </c>
      <c r="L13">
        <v>2.2453009998034883E-2</v>
      </c>
      <c r="M13">
        <v>2.4708563593417967</v>
      </c>
      <c r="N13">
        <v>1.0001346492608214</v>
      </c>
      <c r="O13">
        <v>2.4705011757426076</v>
      </c>
      <c r="P13">
        <v>2.0839819920462093</v>
      </c>
      <c r="Q13">
        <v>2.470048127974243</v>
      </c>
      <c r="R13">
        <v>3.0119792084269914</v>
      </c>
      <c r="S13">
        <v>2.4695630502637433</v>
      </c>
      <c r="T13">
        <v>3.7771743360292738</v>
      </c>
      <c r="U13">
        <v>2.4690235449576767</v>
      </c>
      <c r="V13">
        <v>4.4602865761643846</v>
      </c>
    </row>
    <row r="14" spans="1:22">
      <c r="A14">
        <v>5.5132870449152103</v>
      </c>
      <c r="B14">
        <v>-4.9512962025475566</v>
      </c>
      <c r="C14">
        <v>5.5154836736113939</v>
      </c>
      <c r="D14">
        <v>-1.1555081350334828</v>
      </c>
      <c r="E14">
        <v>5.5151912177877804</v>
      </c>
      <c r="F14">
        <v>-2.3428213912249349</v>
      </c>
      <c r="G14">
        <v>5.5146511116360966</v>
      </c>
      <c r="H14">
        <v>-3.3428420118408191</v>
      </c>
      <c r="I14">
        <v>5.5139771581933799</v>
      </c>
      <c r="J14">
        <v>-4.2082585750390296</v>
      </c>
      <c r="K14">
        <v>5.5156325935122821</v>
      </c>
      <c r="L14">
        <v>2.7887978510967651E-2</v>
      </c>
      <c r="M14">
        <v>5.5151716351624582</v>
      </c>
      <c r="N14">
        <v>1.1117308297527859</v>
      </c>
      <c r="O14">
        <v>5.5142195837682184</v>
      </c>
      <c r="P14">
        <v>2.3130167737059883</v>
      </c>
      <c r="Q14">
        <v>5.5130072939714365</v>
      </c>
      <c r="R14">
        <v>3.3412032397684173</v>
      </c>
      <c r="S14">
        <v>5.511706154315263</v>
      </c>
      <c r="T14">
        <v>4.1885347826750561</v>
      </c>
      <c r="U14">
        <v>5.5102560751466392</v>
      </c>
      <c r="V14">
        <v>4.9434161473294829</v>
      </c>
    </row>
    <row r="15" spans="1:22">
      <c r="A15">
        <v>9.6106970639866525</v>
      </c>
      <c r="B15">
        <v>-6.0142298435077528</v>
      </c>
      <c r="C15">
        <v>9.6154428094121833</v>
      </c>
      <c r="D15">
        <v>-1.408087046315563</v>
      </c>
      <c r="E15">
        <v>9.6148640467707711</v>
      </c>
      <c r="F15">
        <v>-2.8500041453110923</v>
      </c>
      <c r="G15">
        <v>9.613699878595682</v>
      </c>
      <c r="H15">
        <v>-4.0641226030194666</v>
      </c>
      <c r="I15">
        <v>9.6122203990248103</v>
      </c>
      <c r="J15">
        <v>-5.1142996151602995</v>
      </c>
      <c r="K15">
        <v>9.6156617106943862</v>
      </c>
      <c r="L15">
        <v>3.7175584771260553E-2</v>
      </c>
      <c r="M15">
        <v>9.6144762849456846</v>
      </c>
      <c r="N15">
        <v>1.3535697640249551</v>
      </c>
      <c r="O15">
        <v>9.6120917411583147</v>
      </c>
      <c r="P15">
        <v>2.8121122983916313</v>
      </c>
      <c r="Q15">
        <v>9.6090525831213096</v>
      </c>
      <c r="R15">
        <v>4.0597748479807967</v>
      </c>
      <c r="S15">
        <v>9.6057547126239715</v>
      </c>
      <c r="T15">
        <v>5.0871061493058933</v>
      </c>
      <c r="U15">
        <v>9.6020348586776425</v>
      </c>
      <c r="V15">
        <v>6.0001244556907292</v>
      </c>
    </row>
    <row r="16" spans="1:22">
      <c r="A16">
        <v>16.547458234710561</v>
      </c>
      <c r="B16">
        <v>-8.385036988498543</v>
      </c>
      <c r="C16">
        <v>16.55867638255932</v>
      </c>
      <c r="D16">
        <v>-1.9703693228623265</v>
      </c>
      <c r="E16">
        <v>16.557681767419428</v>
      </c>
      <c r="F16">
        <v>-3.9802580184935721</v>
      </c>
      <c r="G16">
        <v>16.554948842571072</v>
      </c>
      <c r="H16">
        <v>-5.6720261049849894</v>
      </c>
      <c r="I16">
        <v>16.55128947963982</v>
      </c>
      <c r="J16">
        <v>-7.1344441443558182</v>
      </c>
      <c r="K16">
        <v>16.558447380855334</v>
      </c>
      <c r="L16">
        <v>5.5376205299042268E-2</v>
      </c>
      <c r="M16">
        <v>16.55423813714058</v>
      </c>
      <c r="N16">
        <v>1.8900307089189763</v>
      </c>
      <c r="O16">
        <v>16.546015402086311</v>
      </c>
      <c r="P16">
        <v>3.9211492013916818</v>
      </c>
      <c r="Q16">
        <v>16.535218491343649</v>
      </c>
      <c r="R16">
        <v>5.6560892544594026</v>
      </c>
      <c r="S16">
        <v>16.522780838289897</v>
      </c>
      <c r="T16">
        <v>7.0814954890648227</v>
      </c>
      <c r="U16">
        <v>16.507676488934912</v>
      </c>
      <c r="V16">
        <v>8.3425583555792517</v>
      </c>
    </row>
    <row r="17" spans="1:22">
      <c r="A17">
        <v>34.51496649254419</v>
      </c>
      <c r="B17">
        <v>-15.588593394744672</v>
      </c>
      <c r="C17">
        <v>34.54725314640887</v>
      </c>
      <c r="D17">
        <v>-3.6809723786741753</v>
      </c>
      <c r="E17">
        <v>34.550789425710477</v>
      </c>
      <c r="F17">
        <v>-7.416540711860673</v>
      </c>
      <c r="G17">
        <v>34.543144975340901</v>
      </c>
      <c r="H17">
        <v>-10.559476338303631</v>
      </c>
      <c r="I17">
        <v>34.529863576951279</v>
      </c>
      <c r="J17">
        <v>-13.273550893807002</v>
      </c>
      <c r="K17">
        <v>34.532237278998878</v>
      </c>
      <c r="L17">
        <v>0.10258087442590574</v>
      </c>
      <c r="M17">
        <v>34.490475037775703</v>
      </c>
      <c r="N17">
        <v>3.5037142550634468</v>
      </c>
      <c r="O17">
        <v>34.398919791052094</v>
      </c>
      <c r="P17">
        <v>7.2464149828814</v>
      </c>
      <c r="Q17">
        <v>34.232047492552482</v>
      </c>
      <c r="R17">
        <v>10.389517855749862</v>
      </c>
      <c r="S17">
        <v>33.917459399578817</v>
      </c>
      <c r="T17">
        <v>12.851162762007164</v>
      </c>
    </row>
    <row r="18" spans="1:22">
      <c r="A18">
        <v>484.24443463982755</v>
      </c>
      <c r="B18">
        <v>-210.26969210817649</v>
      </c>
      <c r="C18">
        <v>465.8336173587889</v>
      </c>
      <c r="D18">
        <v>-48.33787440025953</v>
      </c>
      <c r="E18">
        <v>481.7065027750092</v>
      </c>
      <c r="F18">
        <v>-99.775236096184315</v>
      </c>
      <c r="G18">
        <v>485.86702393658936</v>
      </c>
      <c r="H18">
        <v>-143.02698403668836</v>
      </c>
      <c r="I18">
        <v>485.85903549096395</v>
      </c>
      <c r="J18">
        <v>-179.69510778111078</v>
      </c>
      <c r="K18">
        <v>417.58788241450816</v>
      </c>
      <c r="L18">
        <v>0.14012712939705035</v>
      </c>
    </row>
    <row r="19" spans="1:22" s="6" customFormat="1">
      <c r="B19" s="6">
        <v>6</v>
      </c>
      <c r="D19" s="6">
        <v>7</v>
      </c>
      <c r="F19" s="6">
        <v>8</v>
      </c>
      <c r="H19" s="6">
        <v>9</v>
      </c>
      <c r="J19" s="6">
        <v>10</v>
      </c>
      <c r="L19" s="6">
        <v>11</v>
      </c>
      <c r="N19" s="6">
        <v>12</v>
      </c>
      <c r="P19" s="6">
        <v>13</v>
      </c>
      <c r="R19" s="6">
        <v>14</v>
      </c>
      <c r="T19" s="6">
        <v>15</v>
      </c>
      <c r="V19" s="6">
        <v>16</v>
      </c>
    </row>
    <row r="20" spans="1:22">
      <c r="A20">
        <v>99999</v>
      </c>
      <c r="B20">
        <v>99999</v>
      </c>
      <c r="C20">
        <v>-40.348344383474114</v>
      </c>
      <c r="D20">
        <v>-18.034065142155878</v>
      </c>
      <c r="E20">
        <v>-18.11018385504736</v>
      </c>
      <c r="F20">
        <v>-8.9721576331819062</v>
      </c>
      <c r="G20">
        <v>-10.39235439915524</v>
      </c>
      <c r="H20">
        <v>-6.2539504198951628</v>
      </c>
      <c r="I20">
        <v>-6.0345072320616051</v>
      </c>
      <c r="J20">
        <v>-5.0643098751483402</v>
      </c>
      <c r="K20">
        <v>-2.8891164328492827</v>
      </c>
      <c r="L20">
        <v>-4.5131617276093197</v>
      </c>
      <c r="M20">
        <v>-0.19548627172582891</v>
      </c>
      <c r="N20">
        <v>-4.3366070773283889</v>
      </c>
      <c r="O20">
        <v>2.4700880799439</v>
      </c>
      <c r="P20">
        <v>-4.4661347172178543</v>
      </c>
      <c r="Q20">
        <v>5.5132870449152103</v>
      </c>
      <c r="R20">
        <v>-4.9512962025475566</v>
      </c>
      <c r="S20">
        <v>9.6106970639866525</v>
      </c>
      <c r="T20">
        <v>-6.0142298435077528</v>
      </c>
      <c r="U20">
        <v>16.547458234710561</v>
      </c>
      <c r="V20">
        <v>-8.385036988498543</v>
      </c>
    </row>
    <row r="21" spans="1:22">
      <c r="A21">
        <v>99999</v>
      </c>
      <c r="B21">
        <v>99999</v>
      </c>
      <c r="C21">
        <v>-40.384818062955716</v>
      </c>
      <c r="D21">
        <v>-4.1442400658818936</v>
      </c>
      <c r="E21">
        <v>-18.12313269331354</v>
      </c>
      <c r="F21">
        <v>-2.0624275344725684</v>
      </c>
      <c r="G21">
        <v>-10.397698038329795</v>
      </c>
      <c r="H21">
        <v>-1.4401258200198654</v>
      </c>
      <c r="I21">
        <v>-6.0369746481999833</v>
      </c>
      <c r="J21">
        <v>-1.168860831799879</v>
      </c>
      <c r="K21">
        <v>-2.8901486235959855</v>
      </c>
      <c r="L21">
        <v>-1.0443122368564033</v>
      </c>
      <c r="M21">
        <v>-0.19555272886850245</v>
      </c>
      <c r="N21">
        <v>-1.0061786898712883</v>
      </c>
      <c r="O21">
        <v>2.4709593758240662</v>
      </c>
      <c r="P21">
        <v>-1.0391760093265441</v>
      </c>
      <c r="Q21">
        <v>5.5154836736113939</v>
      </c>
      <c r="R21">
        <v>-1.1555081350334828</v>
      </c>
      <c r="S21">
        <v>9.6154428094121833</v>
      </c>
      <c r="T21">
        <v>-1.408087046315563</v>
      </c>
      <c r="U21">
        <v>16.55867638255932</v>
      </c>
      <c r="V21">
        <v>-1.9703693228623265</v>
      </c>
    </row>
    <row r="22" spans="1:22">
      <c r="A22">
        <v>99999</v>
      </c>
      <c r="B22">
        <v>99999</v>
      </c>
      <c r="C22">
        <v>-40.393953332014028</v>
      </c>
      <c r="D22">
        <v>-8.4743347106529647</v>
      </c>
      <c r="E22">
        <v>-18.122155042589455</v>
      </c>
      <c r="F22">
        <v>-4.2164582288391088</v>
      </c>
      <c r="G22">
        <v>-10.397070553188508</v>
      </c>
      <c r="H22">
        <v>-2.9413041294147053</v>
      </c>
      <c r="I22">
        <v>-6.0366513473633763</v>
      </c>
      <c r="J22">
        <v>-2.3842405919634828</v>
      </c>
      <c r="K22">
        <v>-2.8900076959285741</v>
      </c>
      <c r="L22">
        <v>-2.127204108174515</v>
      </c>
      <c r="M22">
        <v>-0.19554352424817487</v>
      </c>
      <c r="N22">
        <v>-2.0464999022035149</v>
      </c>
      <c r="O22">
        <v>2.4708396347565293</v>
      </c>
      <c r="P22">
        <v>-2.11035816783005</v>
      </c>
      <c r="Q22">
        <v>5.5151912177877804</v>
      </c>
      <c r="R22">
        <v>-2.3428213912249349</v>
      </c>
      <c r="S22">
        <v>9.6148640467707711</v>
      </c>
      <c r="T22">
        <v>-2.8500041453110923</v>
      </c>
      <c r="U22">
        <v>16.557681767419428</v>
      </c>
      <c r="V22">
        <v>-3.9802580184935721</v>
      </c>
    </row>
    <row r="23" spans="1:22">
      <c r="A23">
        <v>99999</v>
      </c>
      <c r="B23">
        <v>99999</v>
      </c>
      <c r="C23">
        <v>-40.385528484594403</v>
      </c>
      <c r="D23">
        <v>-12.124673365354807</v>
      </c>
      <c r="E23">
        <v>-18.119023781598472</v>
      </c>
      <c r="F23">
        <v>-6.0323754485615142</v>
      </c>
      <c r="G23">
        <v>-10.395765350134329</v>
      </c>
      <c r="H23">
        <v>-4.2068001383675</v>
      </c>
      <c r="I23">
        <v>-6.0360462451208603</v>
      </c>
      <c r="J23">
        <v>-3.4086999623580998</v>
      </c>
      <c r="K23">
        <v>-2.889754040675423</v>
      </c>
      <c r="L23">
        <v>-3.0398514482117229</v>
      </c>
      <c r="M23">
        <v>-0.19552717051703294</v>
      </c>
      <c r="N23">
        <v>-2.9231102617431488</v>
      </c>
      <c r="O23">
        <v>2.4706252328583331</v>
      </c>
      <c r="P23">
        <v>-3.0127839925585898</v>
      </c>
      <c r="Q23">
        <v>5.5146511116360966</v>
      </c>
      <c r="R23">
        <v>-3.3428420118408191</v>
      </c>
      <c r="S23">
        <v>9.613699878595682</v>
      </c>
      <c r="T23">
        <v>-4.0641226030194666</v>
      </c>
      <c r="U23">
        <v>16.554948842571072</v>
      </c>
      <c r="V23">
        <v>-5.6720261049849894</v>
      </c>
    </row>
    <row r="24" spans="1:22">
      <c r="A24">
        <v>99999</v>
      </c>
      <c r="B24">
        <v>99999</v>
      </c>
      <c r="C24">
        <v>-40.368394261513387</v>
      </c>
      <c r="D24">
        <v>-15.287879814370385</v>
      </c>
      <c r="E24">
        <v>-18.114739543893165</v>
      </c>
      <c r="F24">
        <v>-7.6066268511806978</v>
      </c>
      <c r="G24">
        <v>-10.394092793891041</v>
      </c>
      <c r="H24">
        <v>-5.3037941459882108</v>
      </c>
      <c r="I24">
        <v>-6.0352880808107514</v>
      </c>
      <c r="J24">
        <v>-4.296552106619095</v>
      </c>
      <c r="K24">
        <v>-2.8894391948517804</v>
      </c>
      <c r="L24">
        <v>-3.8305674555352316</v>
      </c>
      <c r="M24">
        <v>-0.19550693702793087</v>
      </c>
      <c r="N24">
        <v>-3.6823435959057909</v>
      </c>
      <c r="O24">
        <v>2.4703596116993749</v>
      </c>
      <c r="P24">
        <v>-3.7940768750128688</v>
      </c>
      <c r="Q24">
        <v>5.5139771581933799</v>
      </c>
      <c r="R24">
        <v>-4.2082585750390296</v>
      </c>
      <c r="S24">
        <v>9.6122203990248103</v>
      </c>
      <c r="T24">
        <v>-5.1142996151602995</v>
      </c>
      <c r="U24">
        <v>16.55128947963982</v>
      </c>
      <c r="V24">
        <v>-7.1344441443558182</v>
      </c>
    </row>
    <row r="25" spans="1:22">
      <c r="A25">
        <v>0</v>
      </c>
      <c r="B25">
        <v>0</v>
      </c>
      <c r="C25">
        <v>-40.358588057493378</v>
      </c>
      <c r="D25">
        <v>-2.7239376332579479E-3</v>
      </c>
      <c r="E25">
        <v>-18.122701597063362</v>
      </c>
      <c r="F25">
        <v>1.1909418605848045E-2</v>
      </c>
      <c r="G25">
        <v>-10.39793048282784</v>
      </c>
      <c r="H25">
        <v>1.4020848663747447E-2</v>
      </c>
      <c r="I25">
        <v>-6.0371399108790635</v>
      </c>
      <c r="J25">
        <v>1.5247071615302551E-2</v>
      </c>
      <c r="K25">
        <v>-2.8902271055164785</v>
      </c>
      <c r="L25">
        <v>1.6777364737457397E-2</v>
      </c>
      <c r="M25">
        <v>-0.19555797313864348</v>
      </c>
      <c r="N25">
        <v>1.9026721180503983E-2</v>
      </c>
      <c r="O25">
        <v>2.4710258403209098</v>
      </c>
      <c r="P25">
        <v>2.2453009998034883E-2</v>
      </c>
      <c r="Q25">
        <v>5.5156325935122821</v>
      </c>
      <c r="R25">
        <v>2.7887978510967651E-2</v>
      </c>
      <c r="S25">
        <v>9.6156617106943862</v>
      </c>
      <c r="T25">
        <v>3.7175584771260553E-2</v>
      </c>
      <c r="U25">
        <v>16.558447380855334</v>
      </c>
      <c r="V25">
        <v>5.5376205299042268E-2</v>
      </c>
    </row>
    <row r="26" spans="1:22">
      <c r="A26">
        <v>0</v>
      </c>
      <c r="B26">
        <v>0</v>
      </c>
      <c r="C26">
        <v>-40.287254785977467</v>
      </c>
      <c r="D26">
        <v>3.9271320203305935</v>
      </c>
      <c r="E26">
        <v>-18.117367166794406</v>
      </c>
      <c r="F26">
        <v>1.9752225748784531</v>
      </c>
      <c r="G26">
        <v>-10.396551597775728</v>
      </c>
      <c r="H26">
        <v>1.3830712338315463</v>
      </c>
      <c r="I26">
        <v>-6.036615622688549</v>
      </c>
      <c r="J26">
        <v>1.1239380729104556</v>
      </c>
      <c r="K26">
        <v>-2.8900254636230294</v>
      </c>
      <c r="L26">
        <v>1.0048034759753934</v>
      </c>
      <c r="M26">
        <v>-0.19554527886121784</v>
      </c>
      <c r="N26">
        <v>0.96838064294978343</v>
      </c>
      <c r="O26">
        <v>2.4708563593417967</v>
      </c>
      <c r="P26">
        <v>1.0001346492608214</v>
      </c>
      <c r="Q26">
        <v>5.5151716351624582</v>
      </c>
      <c r="R26">
        <v>1.1117308297527859</v>
      </c>
      <c r="S26">
        <v>9.6144762849456846</v>
      </c>
      <c r="T26">
        <v>1.3535697640249551</v>
      </c>
      <c r="U26">
        <v>16.55423813714058</v>
      </c>
      <c r="V26">
        <v>1.8900307089189763</v>
      </c>
    </row>
    <row r="27" spans="1:22">
      <c r="A27">
        <v>0</v>
      </c>
      <c r="B27">
        <v>0</v>
      </c>
      <c r="C27">
        <v>-40.11847453071335</v>
      </c>
      <c r="D27">
        <v>8.2393165520974385</v>
      </c>
      <c r="E27">
        <v>-18.106919295995915</v>
      </c>
      <c r="F27">
        <v>4.150454769861204</v>
      </c>
      <c r="G27">
        <v>-10.393781345545248</v>
      </c>
      <c r="H27">
        <v>2.9010004070493558</v>
      </c>
      <c r="I27">
        <v>-6.0355332639366122</v>
      </c>
      <c r="J27">
        <v>2.3533463720188723</v>
      </c>
      <c r="K27">
        <v>-2.8896029278797339</v>
      </c>
      <c r="L27">
        <v>2.1003802286652031</v>
      </c>
      <c r="M27">
        <v>-0.19551858106818296</v>
      </c>
      <c r="N27">
        <v>2.0209768126876342</v>
      </c>
      <c r="O27">
        <v>2.4705011757426076</v>
      </c>
      <c r="P27">
        <v>2.0839819920462093</v>
      </c>
      <c r="Q27">
        <v>5.5142195837682184</v>
      </c>
      <c r="R27">
        <v>2.3130167737059883</v>
      </c>
      <c r="S27">
        <v>9.6120917411583147</v>
      </c>
      <c r="T27">
        <v>2.8121122983916313</v>
      </c>
      <c r="U27">
        <v>16.546015402086311</v>
      </c>
      <c r="V27">
        <v>3.9211492013916818</v>
      </c>
    </row>
    <row r="28" spans="1:22">
      <c r="A28">
        <v>0</v>
      </c>
      <c r="B28">
        <v>0</v>
      </c>
      <c r="C28">
        <v>-39.760539033058016</v>
      </c>
      <c r="D28">
        <v>11.808196935612841</v>
      </c>
      <c r="E28">
        <v>-18.092975924455857</v>
      </c>
      <c r="F28">
        <v>6.0108695388594056</v>
      </c>
      <c r="G28">
        <v>-10.390238722216754</v>
      </c>
      <c r="H28">
        <v>4.2010106089552286</v>
      </c>
      <c r="I28">
        <v>-6.0341532356153813</v>
      </c>
      <c r="J28">
        <v>3.4064661978266009</v>
      </c>
      <c r="K28">
        <v>-2.8890636800923621</v>
      </c>
      <c r="L28">
        <v>3.0388085666750198</v>
      </c>
      <c r="M28">
        <v>-0.19548450851891111</v>
      </c>
      <c r="N28">
        <v>2.9224406745627634</v>
      </c>
      <c r="O28">
        <v>2.470048127974243</v>
      </c>
      <c r="P28">
        <v>3.0119792084269914</v>
      </c>
      <c r="Q28">
        <v>5.5130072939714365</v>
      </c>
      <c r="R28">
        <v>3.3412032397684173</v>
      </c>
      <c r="S28">
        <v>9.6090525831213096</v>
      </c>
      <c r="T28">
        <v>4.0597748479807967</v>
      </c>
      <c r="U28">
        <v>16.535218491343649</v>
      </c>
      <c r="V28">
        <v>5.6560892544594026</v>
      </c>
    </row>
    <row r="29" spans="1:22">
      <c r="A29">
        <v>0</v>
      </c>
      <c r="B29">
        <v>0</v>
      </c>
      <c r="C29">
        <v>0</v>
      </c>
      <c r="D29">
        <v>0</v>
      </c>
      <c r="E29">
        <v>-18.076474230233963</v>
      </c>
      <c r="F29">
        <v>7.5430211994079697</v>
      </c>
      <c r="G29">
        <v>-10.386370672873515</v>
      </c>
      <c r="H29">
        <v>5.2738232075006737</v>
      </c>
      <c r="I29">
        <v>-6.0326684594525615</v>
      </c>
      <c r="J29">
        <v>4.2756637224671525</v>
      </c>
      <c r="K29">
        <v>-2.8884857482728896</v>
      </c>
      <c r="L29">
        <v>3.813196401328431</v>
      </c>
      <c r="M29">
        <v>-0.19544804261703796</v>
      </c>
      <c r="N29">
        <v>3.6660793032573489</v>
      </c>
      <c r="O29">
        <v>2.4695630502637433</v>
      </c>
      <c r="P29">
        <v>3.7771743360292738</v>
      </c>
      <c r="Q29">
        <v>5.511706154315263</v>
      </c>
      <c r="R29">
        <v>4.1885347826750561</v>
      </c>
      <c r="S29">
        <v>9.6057547126239715</v>
      </c>
      <c r="T29">
        <v>5.0871061493058933</v>
      </c>
      <c r="U29">
        <v>16.522780838289897</v>
      </c>
      <c r="V29">
        <v>7.0814954890648227</v>
      </c>
    </row>
    <row r="30" spans="1:22">
      <c r="A30">
        <v>0</v>
      </c>
      <c r="B30">
        <v>0</v>
      </c>
      <c r="C30">
        <v>0</v>
      </c>
      <c r="D30">
        <v>0</v>
      </c>
      <c r="E30">
        <v>-18.055477921479856</v>
      </c>
      <c r="F30">
        <v>8.9169012415419786</v>
      </c>
      <c r="G30">
        <v>-10.381948332512826</v>
      </c>
      <c r="H30">
        <v>6.2377175795179349</v>
      </c>
      <c r="I30">
        <v>-6.0310030199494511</v>
      </c>
      <c r="J30">
        <v>5.0557198084112107</v>
      </c>
      <c r="K30">
        <v>-2.8878410992734125</v>
      </c>
      <c r="L30">
        <v>4.5070572869579442</v>
      </c>
      <c r="M30">
        <v>-0.19540744619651007</v>
      </c>
      <c r="N30">
        <v>4.3312090689479712</v>
      </c>
      <c r="O30">
        <v>2.4690235449576767</v>
      </c>
      <c r="P30">
        <v>4.4602865761643846</v>
      </c>
      <c r="Q30">
        <v>5.5102560751466392</v>
      </c>
      <c r="R30">
        <v>4.9434161473294829</v>
      </c>
      <c r="S30">
        <v>9.6020348586776425</v>
      </c>
      <c r="T30">
        <v>6.0001244556907292</v>
      </c>
      <c r="U30">
        <v>16.507676488934912</v>
      </c>
      <c r="V30">
        <v>8.3425583555792517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50187-9D71-4B45-B5EC-E1CAB366531B}">
  <sheetPr codeName="Sheet1"/>
  <dimension ref="A1:Z46"/>
  <sheetViews>
    <sheetView workbookViewId="0"/>
  </sheetViews>
  <sheetFormatPr defaultRowHeight="15"/>
  <cols>
    <col min="2" max="2" width="10.42578125" customWidth="1"/>
    <col min="5" max="5" width="10.7109375" customWidth="1"/>
    <col min="6" max="6" width="10.85546875" customWidth="1"/>
    <col min="9" max="9" width="9.42578125" style="5" customWidth="1"/>
    <col min="10" max="10" width="10" customWidth="1"/>
    <col min="11" max="17" width="11" customWidth="1"/>
    <col min="18" max="18" width="10.140625" customWidth="1"/>
    <col min="20" max="20" width="10.7109375" customWidth="1"/>
    <col min="22" max="22" width="11.5703125" customWidth="1"/>
  </cols>
  <sheetData>
    <row r="1" spans="1:24" s="2" customFormat="1" ht="19.5">
      <c r="A1" s="129" t="s">
        <v>19</v>
      </c>
      <c r="B1" s="129" t="s">
        <v>26</v>
      </c>
      <c r="C1" s="129" t="s">
        <v>13</v>
      </c>
      <c r="D1" s="129" t="s">
        <v>2</v>
      </c>
      <c r="E1" s="129" t="s">
        <v>27</v>
      </c>
      <c r="F1" s="65"/>
      <c r="G1" s="23" t="s">
        <v>149</v>
      </c>
      <c r="H1" s="65"/>
      <c r="I1" s="68"/>
      <c r="J1" s="67"/>
      <c r="K1" s="172" t="s">
        <v>25</v>
      </c>
      <c r="L1" s="172" t="s">
        <v>21</v>
      </c>
      <c r="M1" s="172" t="s">
        <v>20</v>
      </c>
      <c r="N1" s="172" t="s">
        <v>23</v>
      </c>
      <c r="O1" s="172" t="s">
        <v>24</v>
      </c>
      <c r="P1" s="172" t="s">
        <v>28</v>
      </c>
      <c r="Q1" s="172" t="s">
        <v>29</v>
      </c>
    </row>
    <row r="2" spans="1:24">
      <c r="A2" s="11" t="str">
        <f>VectorDial!F3</f>
        <v>تبریز</v>
      </c>
      <c r="B2" s="2">
        <v>51.3797</v>
      </c>
      <c r="C2" s="2">
        <v>35.7029</v>
      </c>
      <c r="D2" s="2">
        <v>1210</v>
      </c>
      <c r="E2" s="2">
        <v>3.5</v>
      </c>
      <c r="K2" s="2">
        <v>90</v>
      </c>
      <c r="L2" s="2">
        <v>0</v>
      </c>
      <c r="M2" s="2">
        <v>10</v>
      </c>
      <c r="N2" s="2">
        <v>12.314452143536792</v>
      </c>
      <c r="O2" s="2">
        <v>-54.297100000000107</v>
      </c>
      <c r="P2" s="2">
        <v>0</v>
      </c>
      <c r="Q2" s="2">
        <v>-7.1864964757145673</v>
      </c>
    </row>
    <row r="4" spans="1:24" ht="15.75" thickBot="1"/>
    <row r="5" spans="1:24" s="48" customFormat="1">
      <c r="A5" s="61"/>
      <c r="B5" s="124" t="s">
        <v>53</v>
      </c>
      <c r="C5" s="62"/>
      <c r="D5" s="124" t="s">
        <v>54</v>
      </c>
      <c r="E5" s="62"/>
      <c r="F5" s="124" t="s">
        <v>55</v>
      </c>
      <c r="G5" s="62"/>
      <c r="H5" s="124" t="s">
        <v>56</v>
      </c>
      <c r="I5" s="62"/>
      <c r="J5" s="124" t="s">
        <v>57</v>
      </c>
      <c r="K5" s="62"/>
      <c r="L5" s="124" t="s">
        <v>58</v>
      </c>
      <c r="M5" s="62"/>
      <c r="N5" s="124" t="s">
        <v>59</v>
      </c>
      <c r="O5" s="62"/>
      <c r="P5" s="124" t="s">
        <v>60</v>
      </c>
      <c r="Q5" s="62"/>
      <c r="R5" s="124" t="s">
        <v>16</v>
      </c>
      <c r="S5" s="62"/>
      <c r="T5" s="124" t="s">
        <v>17</v>
      </c>
      <c r="U5" s="62"/>
      <c r="V5" s="124" t="s">
        <v>18</v>
      </c>
      <c r="W5" s="64"/>
      <c r="X5" s="125"/>
    </row>
    <row r="6" spans="1:24">
      <c r="A6" s="52">
        <v>99999</v>
      </c>
      <c r="B6" s="38">
        <v>99999</v>
      </c>
      <c r="C6" s="39">
        <v>99999</v>
      </c>
      <c r="D6" s="38">
        <v>99999</v>
      </c>
      <c r="E6" s="39">
        <v>99999</v>
      </c>
      <c r="F6" s="38">
        <v>99999</v>
      </c>
      <c r="G6" s="39">
        <v>99999</v>
      </c>
      <c r="H6" s="38">
        <v>99999</v>
      </c>
      <c r="I6" s="69">
        <v>99999</v>
      </c>
      <c r="J6" s="38">
        <v>99999</v>
      </c>
      <c r="K6" s="39"/>
      <c r="L6" s="38"/>
      <c r="M6" s="39"/>
      <c r="N6" s="38"/>
      <c r="O6" s="39"/>
      <c r="P6" s="38"/>
      <c r="Q6" s="39"/>
      <c r="R6" s="38"/>
      <c r="S6" s="39"/>
      <c r="T6" s="38"/>
      <c r="U6" s="39"/>
      <c r="V6" s="38"/>
      <c r="X6" s="53"/>
    </row>
    <row r="7" spans="1:24">
      <c r="A7" s="52">
        <v>99999</v>
      </c>
      <c r="B7" s="38">
        <v>99999</v>
      </c>
      <c r="C7" s="39">
        <v>-163.46975480250717</v>
      </c>
      <c r="D7" s="38">
        <v>-42.659969819937693</v>
      </c>
      <c r="E7" s="39">
        <v>99999</v>
      </c>
      <c r="F7" s="38">
        <v>99999</v>
      </c>
      <c r="G7" s="39">
        <v>99999</v>
      </c>
      <c r="H7" s="38">
        <v>99999</v>
      </c>
      <c r="I7" s="69">
        <v>99999</v>
      </c>
      <c r="J7" s="38">
        <v>99999</v>
      </c>
      <c r="K7" s="39">
        <v>-69.182856024483598</v>
      </c>
      <c r="L7" s="38">
        <v>-13.922987544218033</v>
      </c>
      <c r="M7" s="39">
        <v>-44.640278486269104</v>
      </c>
      <c r="N7" s="38">
        <v>-6.458527887788458</v>
      </c>
      <c r="O7" s="39">
        <v>-32.026644805654257</v>
      </c>
      <c r="P7" s="38">
        <v>-2.6441511097350765</v>
      </c>
      <c r="Q7" s="39">
        <v>-25.777160205798889</v>
      </c>
      <c r="R7" s="38">
        <v>-0.79708758703342042</v>
      </c>
      <c r="S7" s="39"/>
      <c r="T7" s="38"/>
      <c r="U7" s="39"/>
      <c r="V7" s="38"/>
      <c r="X7" s="53"/>
    </row>
    <row r="8" spans="1:24">
      <c r="A8" s="52">
        <v>99999</v>
      </c>
      <c r="B8" s="38">
        <v>99999</v>
      </c>
      <c r="C8" s="39">
        <v>-43.554536990417901</v>
      </c>
      <c r="D8" s="38">
        <v>-22.408291052397992</v>
      </c>
      <c r="E8" s="39">
        <v>-75.138564711917539</v>
      </c>
      <c r="F8" s="38">
        <v>-43.872014893622932</v>
      </c>
      <c r="G8" s="39">
        <v>-193.32968206679774</v>
      </c>
      <c r="H8" s="38">
        <v>-124.20850285943884</v>
      </c>
      <c r="I8" s="69">
        <v>99999</v>
      </c>
      <c r="J8" s="38">
        <v>99999</v>
      </c>
      <c r="K8" s="39">
        <v>-31.002856021875338</v>
      </c>
      <c r="L8" s="38">
        <v>-13.880074904361024</v>
      </c>
      <c r="M8" s="39">
        <v>-24.35192017025814</v>
      </c>
      <c r="N8" s="38">
        <v>-9.3656080756296625</v>
      </c>
      <c r="O8" s="39">
        <v>-19.668144133939098</v>
      </c>
      <c r="P8" s="38">
        <v>-6.189739190345775</v>
      </c>
      <c r="Q8" s="39">
        <v>-16.882542009506235</v>
      </c>
      <c r="R8" s="38">
        <v>-4.3041094094290315</v>
      </c>
      <c r="S8" s="39">
        <v>-15.112638563043802</v>
      </c>
      <c r="T8" s="38">
        <v>-3.1088665456816096</v>
      </c>
      <c r="U8" s="39">
        <v>-13.807230169474343</v>
      </c>
      <c r="V8" s="38">
        <v>-2.2305057158759105</v>
      </c>
      <c r="X8" s="53"/>
    </row>
    <row r="9" spans="1:24">
      <c r="A9" s="52">
        <v>-137.23306222620832</v>
      </c>
      <c r="B9" s="38">
        <v>-155.42824051141329</v>
      </c>
      <c r="C9" s="39">
        <v>-22.282230396862413</v>
      </c>
      <c r="D9" s="38">
        <v>-19.203331240180447</v>
      </c>
      <c r="E9" s="39">
        <v>-30.159817816455586</v>
      </c>
      <c r="F9" s="38">
        <v>-28.535261038437497</v>
      </c>
      <c r="G9" s="39">
        <v>-42.963490371521168</v>
      </c>
      <c r="H9" s="38">
        <v>-43.706518928155077</v>
      </c>
      <c r="I9" s="69">
        <v>-67.986083761025228</v>
      </c>
      <c r="J9" s="38">
        <v>-73.360347919756478</v>
      </c>
      <c r="K9" s="39">
        <v>-17.782724706333667</v>
      </c>
      <c r="L9" s="38">
        <v>-13.873897488208124</v>
      </c>
      <c r="M9" s="39">
        <v>-14.939824440152671</v>
      </c>
      <c r="N9" s="38">
        <v>-10.509347321228816</v>
      </c>
      <c r="O9" s="39">
        <v>-12.688353162101079</v>
      </c>
      <c r="P9" s="38">
        <v>-7.8465422808642318</v>
      </c>
      <c r="Q9" s="39">
        <v>-11.236005962789818</v>
      </c>
      <c r="R9" s="38">
        <v>-6.1303542158303763</v>
      </c>
      <c r="S9" s="39">
        <v>-10.26478195165625</v>
      </c>
      <c r="T9" s="38">
        <v>-4.9837957359478118</v>
      </c>
      <c r="U9" s="39">
        <v>-9.5236864796243399</v>
      </c>
      <c r="V9" s="38">
        <v>-4.1099362965525925</v>
      </c>
      <c r="X9" s="53"/>
    </row>
    <row r="10" spans="1:24">
      <c r="A10" s="52">
        <v>-35.016548732906813</v>
      </c>
      <c r="B10" s="38">
        <v>-64.270806833521561</v>
      </c>
      <c r="C10" s="39">
        <v>-12.35402736159036</v>
      </c>
      <c r="D10" s="38">
        <v>-18.013721777580471</v>
      </c>
      <c r="E10" s="39">
        <v>-15.479819468981955</v>
      </c>
      <c r="F10" s="38">
        <v>-24.391523368785265</v>
      </c>
      <c r="G10" s="39">
        <v>-19.675650173035645</v>
      </c>
      <c r="H10" s="38">
        <v>-32.954821633747258</v>
      </c>
      <c r="I10" s="69">
        <v>-25.717196164182141</v>
      </c>
      <c r="J10" s="38">
        <v>-45.287085098079388</v>
      </c>
      <c r="K10" s="39">
        <v>-10.323065522642802</v>
      </c>
      <c r="L10" s="38">
        <v>-13.870311587338756</v>
      </c>
      <c r="M10" s="39">
        <v>-8.9450935158166907</v>
      </c>
      <c r="N10" s="38">
        <v>-11.061133140783401</v>
      </c>
      <c r="O10" s="39">
        <v>-7.7909339520336456</v>
      </c>
      <c r="P10" s="38">
        <v>-8.7095443727452402</v>
      </c>
      <c r="Q10" s="39">
        <v>-7.0147789184942724</v>
      </c>
      <c r="R10" s="38">
        <v>-7.1292087966390083</v>
      </c>
      <c r="S10" s="39">
        <v>-6.4812396404594947</v>
      </c>
      <c r="T10" s="38">
        <v>-6.0436214927564986</v>
      </c>
      <c r="U10" s="39">
        <v>-6.0665892795078085</v>
      </c>
      <c r="V10" s="38">
        <v>-5.2006177588291971</v>
      </c>
      <c r="X10" s="53"/>
    </row>
    <row r="11" spans="1:24">
      <c r="A11" s="52">
        <v>-13.308429135051036</v>
      </c>
      <c r="B11" s="38">
        <v>-49.538809512597673</v>
      </c>
      <c r="C11" s="39">
        <v>-5.7944528410300187</v>
      </c>
      <c r="D11" s="38">
        <v>-17.502722489109068</v>
      </c>
      <c r="E11" s="39">
        <v>-7.0343555739731904</v>
      </c>
      <c r="F11" s="38">
        <v>-22.78720746920914</v>
      </c>
      <c r="G11" s="39">
        <v>-8.5818143594315988</v>
      </c>
      <c r="H11" s="38">
        <v>-29.384208416953953</v>
      </c>
      <c r="I11" s="69">
        <v>-10.602685716147896</v>
      </c>
      <c r="J11" s="38">
        <v>-38.000910851319439</v>
      </c>
      <c r="K11" s="39">
        <v>-4.9410260061142006</v>
      </c>
      <c r="L11" s="38">
        <v>-13.865838192425954</v>
      </c>
      <c r="M11" s="39">
        <v>-4.3447414299663194</v>
      </c>
      <c r="N11" s="38">
        <v>-11.326527402036561</v>
      </c>
      <c r="O11" s="39">
        <v>-3.8316301703905618</v>
      </c>
      <c r="P11" s="38">
        <v>-9.1425381849846996</v>
      </c>
      <c r="Q11" s="39">
        <v>-3.479332526574046</v>
      </c>
      <c r="R11" s="38">
        <v>-7.6439394835846244</v>
      </c>
      <c r="S11" s="39">
        <v>-3.2337375154020411</v>
      </c>
      <c r="T11" s="38">
        <v>-6.5998640427642137</v>
      </c>
      <c r="U11" s="39">
        <v>-3.0411782198035202</v>
      </c>
      <c r="V11" s="38">
        <v>-5.7818221956830591</v>
      </c>
      <c r="X11" s="53"/>
    </row>
    <row r="12" spans="1:24">
      <c r="A12" s="52">
        <v>-0.84470167131700213</v>
      </c>
      <c r="B12" s="38">
        <v>-46.024597148245356</v>
      </c>
      <c r="C12" s="39">
        <v>-0.38964415821861587</v>
      </c>
      <c r="D12" s="38">
        <v>-17.350386068225102</v>
      </c>
      <c r="E12" s="39">
        <v>-0.46848501490108879</v>
      </c>
      <c r="F12" s="38">
        <v>-22.316583813669926</v>
      </c>
      <c r="G12" s="39">
        <v>-0.56476468779724032</v>
      </c>
      <c r="H12" s="38">
        <v>-28.382819552588014</v>
      </c>
      <c r="I12" s="69">
        <v>-0.68705929859190873</v>
      </c>
      <c r="J12" s="38">
        <v>-36.089506825754761</v>
      </c>
      <c r="K12" s="39">
        <v>-0.33421435691725271</v>
      </c>
      <c r="L12" s="38">
        <v>-13.85926626095991</v>
      </c>
      <c r="M12" s="39">
        <v>-0.29528746336588474</v>
      </c>
      <c r="N12" s="38">
        <v>-11.409213721853094</v>
      </c>
      <c r="O12" s="39">
        <v>-0.26149456363554602</v>
      </c>
      <c r="P12" s="38">
        <v>-9.2833565279831891</v>
      </c>
      <c r="Q12" s="39">
        <v>-0.23813429534409822</v>
      </c>
      <c r="R12" s="38">
        <v>-7.814658377770459</v>
      </c>
      <c r="S12" s="39">
        <v>-0.22177551360837122</v>
      </c>
      <c r="T12" s="38">
        <v>-6.7867514134444749</v>
      </c>
      <c r="U12" s="39">
        <v>-0.20892491437171026</v>
      </c>
      <c r="V12" s="38">
        <v>-5.9798178572414935</v>
      </c>
      <c r="X12" s="53"/>
    </row>
    <row r="13" spans="1:24">
      <c r="A13" s="52">
        <v>11.181520750239782</v>
      </c>
      <c r="B13" s="38">
        <v>-48.558196715112402</v>
      </c>
      <c r="C13" s="39">
        <v>4.9498820093379399</v>
      </c>
      <c r="D13" s="38">
        <v>-17.482094079246405</v>
      </c>
      <c r="E13" s="39">
        <v>5.9941306936618384</v>
      </c>
      <c r="F13" s="38">
        <v>-22.687735154245942</v>
      </c>
      <c r="G13" s="39">
        <v>7.2895285234508558</v>
      </c>
      <c r="H13" s="38">
        <v>-29.14703924517196</v>
      </c>
      <c r="I13" s="69">
        <v>8.9673828111668783</v>
      </c>
      <c r="J13" s="38">
        <v>-37.514852250159691</v>
      </c>
      <c r="K13" s="39">
        <v>4.2210490608073243</v>
      </c>
      <c r="L13" s="38">
        <v>-13.849263574484725</v>
      </c>
      <c r="M13" s="39">
        <v>3.7166988381633699</v>
      </c>
      <c r="N13" s="38">
        <v>-11.337085359165499</v>
      </c>
      <c r="O13" s="39">
        <v>3.2816934535831077</v>
      </c>
      <c r="P13" s="38">
        <v>-9.1714220635306809</v>
      </c>
      <c r="Q13" s="39">
        <v>2.982532920235307</v>
      </c>
      <c r="R13" s="38">
        <v>-7.6829542434026212</v>
      </c>
      <c r="S13" s="39">
        <v>2.7738260770602716</v>
      </c>
      <c r="T13" s="38">
        <v>-6.6451602932045697</v>
      </c>
      <c r="U13" s="39">
        <v>2.6105639772127271</v>
      </c>
      <c r="V13" s="38">
        <v>-5.8338998792251031</v>
      </c>
      <c r="X13" s="53"/>
    </row>
    <row r="14" spans="1:24">
      <c r="A14" s="52">
        <v>30.374508397850821</v>
      </c>
      <c r="B14" s="38">
        <v>-60.657863341132789</v>
      </c>
      <c r="C14" s="39">
        <v>11.261862220658134</v>
      </c>
      <c r="D14" s="38">
        <v>-17.95792812423954</v>
      </c>
      <c r="E14" s="39">
        <v>14.021699872351812</v>
      </c>
      <c r="F14" s="38">
        <v>-24.121493624830407</v>
      </c>
      <c r="G14" s="39">
        <v>17.668057272271831</v>
      </c>
      <c r="H14" s="38">
        <v>-32.267032196221436</v>
      </c>
      <c r="I14" s="69">
        <v>22.79925583504448</v>
      </c>
      <c r="J14" s="38">
        <v>-43.731441127947299</v>
      </c>
      <c r="K14" s="39">
        <v>9.4148009501151719</v>
      </c>
      <c r="L14" s="38">
        <v>-13.83341624970687</v>
      </c>
      <c r="M14" s="39">
        <v>8.1844368278333928</v>
      </c>
      <c r="N14" s="38">
        <v>-11.087976615127966</v>
      </c>
      <c r="O14" s="39">
        <v>7.1482181655369681</v>
      </c>
      <c r="P14" s="38">
        <v>-8.7770300349419497</v>
      </c>
      <c r="Q14" s="39">
        <v>6.4486703005724859</v>
      </c>
      <c r="R14" s="38">
        <v>-7.2179542299257156</v>
      </c>
      <c r="S14" s="39">
        <v>5.9668971561280308</v>
      </c>
      <c r="T14" s="38">
        <v>-6.1449597770857904</v>
      </c>
      <c r="U14" s="39">
        <v>5.5940868532816719</v>
      </c>
      <c r="V14" s="38">
        <v>-5.3153026969658503</v>
      </c>
      <c r="X14" s="53"/>
    </row>
    <row r="15" spans="1:24">
      <c r="A15" s="52">
        <v>100.95866060581666</v>
      </c>
      <c r="B15" s="38">
        <v>-122.17462959334341</v>
      </c>
      <c r="C15" s="39">
        <v>20.491609631015137</v>
      </c>
      <c r="D15" s="38">
        <v>-19.057011092981565</v>
      </c>
      <c r="E15" s="39">
        <v>27.303584129608009</v>
      </c>
      <c r="F15" s="38">
        <v>-27.783179483875692</v>
      </c>
      <c r="G15" s="39">
        <v>37.915846053088067</v>
      </c>
      <c r="H15" s="38">
        <v>-41.380951811496359</v>
      </c>
      <c r="I15" s="69">
        <v>57.122578626654636</v>
      </c>
      <c r="J15" s="38">
        <v>-65.99464498924003</v>
      </c>
      <c r="K15" s="39">
        <v>16.392162458828661</v>
      </c>
      <c r="L15" s="38">
        <v>-13.80639056645537</v>
      </c>
      <c r="M15" s="39">
        <v>13.8637107456141</v>
      </c>
      <c r="N15" s="38">
        <v>-10.570477221960543</v>
      </c>
      <c r="O15" s="39">
        <v>11.838411365021178</v>
      </c>
      <c r="P15" s="38">
        <v>-7.9801867120686127</v>
      </c>
      <c r="Q15" s="39">
        <v>10.521728915632668</v>
      </c>
      <c r="R15" s="38">
        <v>-6.2975932488457369</v>
      </c>
      <c r="S15" s="39">
        <v>9.6377249879363482</v>
      </c>
      <c r="T15" s="38">
        <v>-5.1689411434176584</v>
      </c>
      <c r="U15" s="39">
        <v>8.9669521375372288</v>
      </c>
      <c r="V15" s="38">
        <v>-4.313472499225627</v>
      </c>
      <c r="X15" s="53"/>
    </row>
    <row r="16" spans="1:24">
      <c r="A16" s="52">
        <v>99999</v>
      </c>
      <c r="B16" s="38">
        <v>99999</v>
      </c>
      <c r="C16" s="39">
        <v>39.092418934196857</v>
      </c>
      <c r="D16" s="38">
        <v>-21.885979549440599</v>
      </c>
      <c r="E16" s="39">
        <v>63.594390265510071</v>
      </c>
      <c r="F16" s="38">
        <v>-40.110588135670554</v>
      </c>
      <c r="G16" s="39">
        <v>134.61149798680736</v>
      </c>
      <c r="H16" s="38">
        <v>-92.944700889610033</v>
      </c>
      <c r="I16" s="69">
        <v>3915.6759532763308</v>
      </c>
      <c r="J16" s="38">
        <v>-2906.1456759531256</v>
      </c>
      <c r="K16" s="39">
        <v>28.156834126262908</v>
      </c>
      <c r="L16" s="38">
        <v>-13.753630239442309</v>
      </c>
      <c r="M16" s="39">
        <v>22.459732578959915</v>
      </c>
      <c r="N16" s="38">
        <v>-9.5209653663203824</v>
      </c>
      <c r="O16" s="39">
        <v>18.343681528766275</v>
      </c>
      <c r="P16" s="38">
        <v>-6.4658773939355934</v>
      </c>
      <c r="Q16" s="39">
        <v>15.855230486502478</v>
      </c>
      <c r="R16" s="38">
        <v>-4.6215408449289326</v>
      </c>
      <c r="S16" s="39">
        <v>14.260520640432924</v>
      </c>
      <c r="T16" s="38">
        <v>-3.4418899131897818</v>
      </c>
      <c r="U16" s="39">
        <v>13.09049355111587</v>
      </c>
      <c r="V16" s="38">
        <v>-2.5787940228330086</v>
      </c>
      <c r="X16" s="53"/>
    </row>
    <row r="17" spans="1:26">
      <c r="A17" s="52">
        <v>99999</v>
      </c>
      <c r="B17" s="38">
        <v>99999</v>
      </c>
      <c r="C17" s="39">
        <v>121.36002600047301</v>
      </c>
      <c r="D17" s="38">
        <v>-36.072579028427256</v>
      </c>
      <c r="E17" s="39">
        <v>99999</v>
      </c>
      <c r="F17" s="38">
        <v>99999</v>
      </c>
      <c r="G17" s="39">
        <v>99999</v>
      </c>
      <c r="H17" s="38">
        <v>99999</v>
      </c>
      <c r="I17" s="69">
        <v>99999</v>
      </c>
      <c r="J17" s="38">
        <v>99999</v>
      </c>
      <c r="K17" s="39">
        <v>58.340111231402041</v>
      </c>
      <c r="L17" s="38">
        <v>-13.618020243062652</v>
      </c>
      <c r="M17" s="39">
        <v>39.730863586973278</v>
      </c>
      <c r="N17" s="38">
        <v>-6.9989798834050125</v>
      </c>
      <c r="O17" s="39">
        <v>29.34985451628895</v>
      </c>
      <c r="P17" s="38">
        <v>-3.3204433077440512</v>
      </c>
      <c r="Q17" s="39">
        <v>23.98432902206179</v>
      </c>
      <c r="R17" s="38">
        <v>-1.4414966935890638</v>
      </c>
      <c r="S17" s="39">
        <v>20.844497136680275</v>
      </c>
      <c r="T17" s="38">
        <v>-0.38153978023585478</v>
      </c>
      <c r="U17" s="39"/>
      <c r="V17" s="38"/>
      <c r="X17" s="53"/>
    </row>
    <row r="18" spans="1:26" ht="15.75" thickBot="1">
      <c r="A18" s="52">
        <v>99999</v>
      </c>
      <c r="B18" s="38">
        <v>99999</v>
      </c>
      <c r="C18" s="39">
        <v>99999</v>
      </c>
      <c r="D18" s="38">
        <v>99999</v>
      </c>
      <c r="E18" s="39">
        <v>99999</v>
      </c>
      <c r="F18" s="38">
        <v>99999</v>
      </c>
      <c r="G18" s="39">
        <v>99999</v>
      </c>
      <c r="H18" s="38">
        <v>99999</v>
      </c>
      <c r="I18" s="69">
        <v>99999</v>
      </c>
      <c r="J18" s="38">
        <v>99999</v>
      </c>
      <c r="K18" s="39">
        <v>701.87391503606614</v>
      </c>
      <c r="L18" s="38">
        <v>-13.511404736197591</v>
      </c>
      <c r="M18" s="39"/>
      <c r="N18" s="38"/>
      <c r="O18" s="39"/>
      <c r="P18" s="38"/>
      <c r="Q18" s="39"/>
      <c r="R18" s="38"/>
      <c r="S18" s="39"/>
      <c r="T18" s="38"/>
      <c r="U18" s="39"/>
      <c r="V18" s="38"/>
      <c r="X18" s="53"/>
    </row>
    <row r="19" spans="1:26" s="9" customFormat="1">
      <c r="A19" s="59"/>
      <c r="B19" s="47">
        <v>6</v>
      </c>
      <c r="C19" s="60"/>
      <c r="D19" s="47">
        <v>7</v>
      </c>
      <c r="E19" s="60"/>
      <c r="F19" s="47">
        <v>8</v>
      </c>
      <c r="G19" s="60"/>
      <c r="H19" s="47">
        <v>9</v>
      </c>
      <c r="I19" s="62"/>
      <c r="J19" s="47">
        <v>10</v>
      </c>
      <c r="K19" s="60"/>
      <c r="L19" s="47">
        <v>11</v>
      </c>
      <c r="M19" s="60"/>
      <c r="N19" s="47">
        <v>12</v>
      </c>
      <c r="O19" s="60"/>
      <c r="P19" s="47">
        <v>13</v>
      </c>
      <c r="Q19" s="60"/>
      <c r="R19" s="47">
        <v>14</v>
      </c>
      <c r="S19" s="60"/>
      <c r="T19" s="47">
        <v>15</v>
      </c>
      <c r="U19" s="60"/>
      <c r="V19" s="47">
        <v>16</v>
      </c>
      <c r="W19" s="60"/>
      <c r="X19" s="47"/>
      <c r="Y19" s="46"/>
      <c r="Z19" s="36"/>
    </row>
    <row r="20" spans="1:26">
      <c r="A20" s="52">
        <v>99999</v>
      </c>
      <c r="B20" s="38">
        <v>99999</v>
      </c>
      <c r="C20" s="39">
        <v>99999</v>
      </c>
      <c r="D20" s="38">
        <v>99999</v>
      </c>
      <c r="E20" s="39">
        <v>99999</v>
      </c>
      <c r="F20" s="38">
        <v>99999</v>
      </c>
      <c r="G20" s="39">
        <v>-137.23306222620832</v>
      </c>
      <c r="H20" s="38">
        <v>-155.42824051141329</v>
      </c>
      <c r="I20" s="69">
        <v>-35.016548732906813</v>
      </c>
      <c r="J20" s="38">
        <v>-64.270806833521561</v>
      </c>
      <c r="K20" s="39">
        <v>-13.308429135051036</v>
      </c>
      <c r="L20" s="38">
        <v>-49.538809512597673</v>
      </c>
      <c r="M20" s="39">
        <v>-0.84470167131700213</v>
      </c>
      <c r="N20" s="38">
        <v>-46.024597148245356</v>
      </c>
      <c r="O20" s="39">
        <v>11.181520750239782</v>
      </c>
      <c r="P20" s="38">
        <v>-48.558196715112402</v>
      </c>
      <c r="Q20" s="39">
        <v>30.374508397850821</v>
      </c>
      <c r="R20" s="38">
        <v>-60.657863341132789</v>
      </c>
      <c r="S20" s="39">
        <v>100.95866060581666</v>
      </c>
      <c r="T20" s="38">
        <v>-122.17462959334341</v>
      </c>
      <c r="U20" s="39">
        <v>99999</v>
      </c>
      <c r="V20" s="38">
        <v>99999</v>
      </c>
      <c r="W20" s="39"/>
      <c r="X20" s="38"/>
      <c r="Z20" s="53"/>
    </row>
    <row r="21" spans="1:26">
      <c r="A21" s="52">
        <v>99999</v>
      </c>
      <c r="B21" s="38">
        <v>99999</v>
      </c>
      <c r="C21" s="39">
        <v>-163.46975480250717</v>
      </c>
      <c r="D21" s="38">
        <v>-42.659969819937693</v>
      </c>
      <c r="E21" s="39">
        <v>-43.554536990417901</v>
      </c>
      <c r="F21" s="38">
        <v>-22.408291052397992</v>
      </c>
      <c r="G21" s="39">
        <v>-22.282230396862413</v>
      </c>
      <c r="H21" s="38">
        <v>-19.203331240180447</v>
      </c>
      <c r="I21" s="69">
        <v>-12.35402736159036</v>
      </c>
      <c r="J21" s="38">
        <v>-18.013721777580471</v>
      </c>
      <c r="K21" s="39">
        <v>-5.7944528410300187</v>
      </c>
      <c r="L21" s="38">
        <v>-17.502722489109068</v>
      </c>
      <c r="M21" s="39">
        <v>-0.38964415821861587</v>
      </c>
      <c r="N21" s="38">
        <v>-17.350386068225102</v>
      </c>
      <c r="O21" s="39">
        <v>4.9498820093379399</v>
      </c>
      <c r="P21" s="38">
        <v>-17.482094079246405</v>
      </c>
      <c r="Q21" s="39">
        <v>11.261862220658134</v>
      </c>
      <c r="R21" s="38">
        <v>-17.95792812423954</v>
      </c>
      <c r="S21" s="39">
        <v>20.491609631015137</v>
      </c>
      <c r="T21" s="38">
        <v>-19.057011092981565</v>
      </c>
      <c r="U21" s="39">
        <v>39.092418934196857</v>
      </c>
      <c r="V21" s="38">
        <v>-21.885979549440599</v>
      </c>
      <c r="W21" s="39"/>
      <c r="X21" s="38"/>
      <c r="Z21" s="53"/>
    </row>
    <row r="22" spans="1:26">
      <c r="A22" s="52">
        <v>99999</v>
      </c>
      <c r="B22" s="38">
        <v>99999</v>
      </c>
      <c r="C22" s="39">
        <v>99999</v>
      </c>
      <c r="D22" s="38">
        <v>99999</v>
      </c>
      <c r="E22" s="39">
        <v>-75.138564711917539</v>
      </c>
      <c r="F22" s="38">
        <v>-43.872014893622932</v>
      </c>
      <c r="G22" s="39">
        <v>-30.159817816455586</v>
      </c>
      <c r="H22" s="38">
        <v>-28.535261038437497</v>
      </c>
      <c r="I22" s="69">
        <v>-15.479819468981955</v>
      </c>
      <c r="J22" s="38">
        <v>-24.391523368785265</v>
      </c>
      <c r="K22" s="39">
        <v>-7.0343555739731904</v>
      </c>
      <c r="L22" s="38">
        <v>-22.78720746920914</v>
      </c>
      <c r="M22" s="39">
        <v>-0.46848501490108879</v>
      </c>
      <c r="N22" s="38">
        <v>-22.316583813669926</v>
      </c>
      <c r="O22" s="39">
        <v>5.9941306936618384</v>
      </c>
      <c r="P22" s="38">
        <v>-22.687735154245942</v>
      </c>
      <c r="Q22" s="39">
        <v>14.021699872351812</v>
      </c>
      <c r="R22" s="38">
        <v>-24.121493624830407</v>
      </c>
      <c r="S22" s="39">
        <v>27.303584129608009</v>
      </c>
      <c r="T22" s="38">
        <v>-27.783179483875692</v>
      </c>
      <c r="U22" s="39">
        <v>63.594390265510071</v>
      </c>
      <c r="V22" s="38">
        <v>-40.110588135670554</v>
      </c>
      <c r="W22" s="39"/>
      <c r="X22" s="38"/>
      <c r="Z22" s="53"/>
    </row>
    <row r="23" spans="1:26">
      <c r="A23" s="52">
        <v>99999</v>
      </c>
      <c r="B23" s="38">
        <v>99999</v>
      </c>
      <c r="C23" s="39">
        <v>99999</v>
      </c>
      <c r="D23" s="38">
        <v>99999</v>
      </c>
      <c r="E23" s="39">
        <v>-193.32968206679774</v>
      </c>
      <c r="F23" s="38">
        <v>-124.20850285943884</v>
      </c>
      <c r="G23" s="39">
        <v>-42.963490371521168</v>
      </c>
      <c r="H23" s="38">
        <v>-43.706518928155077</v>
      </c>
      <c r="I23" s="69">
        <v>-19.675650173035645</v>
      </c>
      <c r="J23" s="38">
        <v>-32.954821633747258</v>
      </c>
      <c r="K23" s="39">
        <v>-8.5818143594315988</v>
      </c>
      <c r="L23" s="38">
        <v>-29.384208416953953</v>
      </c>
      <c r="M23" s="39">
        <v>-0.56476468779724032</v>
      </c>
      <c r="N23" s="38">
        <v>-28.382819552588014</v>
      </c>
      <c r="O23" s="39">
        <v>7.2895285234508558</v>
      </c>
      <c r="P23" s="38">
        <v>-29.14703924517196</v>
      </c>
      <c r="Q23" s="39">
        <v>17.668057272271831</v>
      </c>
      <c r="R23" s="38">
        <v>-32.267032196221436</v>
      </c>
      <c r="S23" s="39">
        <v>37.915846053088067</v>
      </c>
      <c r="T23" s="38">
        <v>-41.380951811496359</v>
      </c>
      <c r="U23" s="39">
        <v>134.61149798680736</v>
      </c>
      <c r="V23" s="38">
        <v>-92.944700889610033</v>
      </c>
      <c r="W23" s="39"/>
      <c r="X23" s="38"/>
      <c r="Z23" s="53"/>
    </row>
    <row r="24" spans="1:26">
      <c r="A24" s="52">
        <v>99999</v>
      </c>
      <c r="B24" s="38">
        <v>99999</v>
      </c>
      <c r="C24" s="39">
        <v>99999</v>
      </c>
      <c r="D24" s="38">
        <v>99999</v>
      </c>
      <c r="E24" s="39">
        <v>99999</v>
      </c>
      <c r="F24" s="38">
        <v>99999</v>
      </c>
      <c r="G24" s="39">
        <v>-67.986083761025228</v>
      </c>
      <c r="H24" s="38">
        <v>-73.360347919756478</v>
      </c>
      <c r="I24" s="69">
        <v>-25.717196164182141</v>
      </c>
      <c r="J24" s="38">
        <v>-45.287085098079388</v>
      </c>
      <c r="K24" s="39">
        <v>-10.602685716147896</v>
      </c>
      <c r="L24" s="38">
        <v>-38.000910851319439</v>
      </c>
      <c r="M24" s="39">
        <v>-0.68705929859190873</v>
      </c>
      <c r="N24" s="38">
        <v>-36.089506825754761</v>
      </c>
      <c r="O24" s="39">
        <v>8.9673828111668783</v>
      </c>
      <c r="P24" s="38">
        <v>-37.514852250159691</v>
      </c>
      <c r="Q24" s="39">
        <v>22.79925583504448</v>
      </c>
      <c r="R24" s="38">
        <v>-43.731441127947299</v>
      </c>
      <c r="S24" s="39">
        <v>57.122578626654636</v>
      </c>
      <c r="T24" s="38">
        <v>-65.99464498924003</v>
      </c>
      <c r="U24" s="39">
        <v>3915.6759532763308</v>
      </c>
      <c r="V24" s="38">
        <v>-2906.1456759531256</v>
      </c>
      <c r="W24" s="39"/>
      <c r="X24" s="38"/>
      <c r="Z24" s="53"/>
    </row>
    <row r="25" spans="1:26">
      <c r="A25" s="52">
        <v>0</v>
      </c>
      <c r="B25" s="38">
        <v>0</v>
      </c>
      <c r="C25" s="39">
        <v>-69.182856024483598</v>
      </c>
      <c r="D25" s="38">
        <v>-13.922987544218033</v>
      </c>
      <c r="E25" s="39">
        <v>-31.002856021875338</v>
      </c>
      <c r="F25" s="38">
        <v>-13.880074904361024</v>
      </c>
      <c r="G25" s="39">
        <v>-17.782724706333667</v>
      </c>
      <c r="H25" s="38">
        <v>-13.873897488208124</v>
      </c>
      <c r="I25" s="69">
        <v>-10.323065522642802</v>
      </c>
      <c r="J25" s="38">
        <v>-13.870311587338756</v>
      </c>
      <c r="K25" s="39">
        <v>-4.9410260061142006</v>
      </c>
      <c r="L25" s="38">
        <v>-13.865838192425954</v>
      </c>
      <c r="M25" s="39">
        <v>-0.33421435691725271</v>
      </c>
      <c r="N25" s="38">
        <v>-13.85926626095991</v>
      </c>
      <c r="O25" s="39">
        <v>4.2210490608073243</v>
      </c>
      <c r="P25" s="38">
        <v>-13.849263574484725</v>
      </c>
      <c r="Q25" s="39">
        <v>9.4148009501151719</v>
      </c>
      <c r="R25" s="38">
        <v>-13.83341624970687</v>
      </c>
      <c r="S25" s="39">
        <v>16.392162458828661</v>
      </c>
      <c r="T25" s="38">
        <v>-13.80639056645537</v>
      </c>
      <c r="U25" s="39">
        <v>28.156834126262908</v>
      </c>
      <c r="V25" s="38">
        <v>-13.753630239442309</v>
      </c>
      <c r="W25" s="39"/>
      <c r="X25" s="38"/>
      <c r="Z25" s="53"/>
    </row>
    <row r="26" spans="1:26">
      <c r="A26" s="52">
        <v>0</v>
      </c>
      <c r="B26" s="38">
        <v>0</v>
      </c>
      <c r="C26" s="39">
        <v>-44.640278486269104</v>
      </c>
      <c r="D26" s="38">
        <v>-6.458527887788458</v>
      </c>
      <c r="E26" s="39">
        <v>-24.35192017025814</v>
      </c>
      <c r="F26" s="38">
        <v>-9.3656080756296625</v>
      </c>
      <c r="G26" s="39">
        <v>-14.939824440152671</v>
      </c>
      <c r="H26" s="38">
        <v>-10.509347321228816</v>
      </c>
      <c r="I26" s="69">
        <v>-8.9450935158166907</v>
      </c>
      <c r="J26" s="38">
        <v>-11.061133140783401</v>
      </c>
      <c r="K26" s="39">
        <v>-4.3447414299663194</v>
      </c>
      <c r="L26" s="38">
        <v>-11.326527402036561</v>
      </c>
      <c r="M26" s="39">
        <v>-0.29528746336588474</v>
      </c>
      <c r="N26" s="38">
        <v>-11.409213721853094</v>
      </c>
      <c r="O26" s="39">
        <v>3.7166988381633699</v>
      </c>
      <c r="P26" s="38">
        <v>-11.337085359165499</v>
      </c>
      <c r="Q26" s="39">
        <v>8.1844368278333928</v>
      </c>
      <c r="R26" s="38">
        <v>-11.087976615127966</v>
      </c>
      <c r="S26" s="39">
        <v>13.8637107456141</v>
      </c>
      <c r="T26" s="38">
        <v>-10.570477221960543</v>
      </c>
      <c r="U26" s="39">
        <v>22.459732578959915</v>
      </c>
      <c r="V26" s="38">
        <v>-9.5209653663203824</v>
      </c>
      <c r="W26" s="39"/>
      <c r="X26" s="38"/>
      <c r="Z26" s="53"/>
    </row>
    <row r="27" spans="1:26">
      <c r="A27" s="52">
        <v>0</v>
      </c>
      <c r="B27" s="38">
        <v>0</v>
      </c>
      <c r="C27" s="39">
        <v>-32.026644805654257</v>
      </c>
      <c r="D27" s="38">
        <v>-2.6441511097350765</v>
      </c>
      <c r="E27" s="39">
        <v>-19.668144133939098</v>
      </c>
      <c r="F27" s="38">
        <v>-6.189739190345775</v>
      </c>
      <c r="G27" s="39">
        <v>-12.688353162101079</v>
      </c>
      <c r="H27" s="38">
        <v>-7.8465422808642318</v>
      </c>
      <c r="I27" s="69">
        <v>-7.7909339520336456</v>
      </c>
      <c r="J27" s="38">
        <v>-8.7095443727452402</v>
      </c>
      <c r="K27" s="39">
        <v>-3.8316301703905618</v>
      </c>
      <c r="L27" s="38">
        <v>-9.1425381849846996</v>
      </c>
      <c r="M27" s="39">
        <v>-0.26149456363554602</v>
      </c>
      <c r="N27" s="38">
        <v>-9.2833565279831891</v>
      </c>
      <c r="O27" s="39">
        <v>3.2816934535831077</v>
      </c>
      <c r="P27" s="38">
        <v>-9.1714220635306809</v>
      </c>
      <c r="Q27" s="39">
        <v>7.1482181655369681</v>
      </c>
      <c r="R27" s="38">
        <v>-8.7770300349419497</v>
      </c>
      <c r="S27" s="39">
        <v>11.838411365021178</v>
      </c>
      <c r="T27" s="38">
        <v>-7.9801867120686127</v>
      </c>
      <c r="U27" s="39">
        <v>18.343681528766275</v>
      </c>
      <c r="V27" s="38">
        <v>-6.4658773939355934</v>
      </c>
      <c r="W27" s="39"/>
      <c r="X27" s="38"/>
      <c r="Z27" s="53"/>
    </row>
    <row r="28" spans="1:26">
      <c r="A28" s="52">
        <v>0</v>
      </c>
      <c r="B28" s="38">
        <v>0</v>
      </c>
      <c r="C28" s="39">
        <v>-25.777160205798889</v>
      </c>
      <c r="D28" s="38">
        <v>-0.79708758703342042</v>
      </c>
      <c r="E28" s="39">
        <v>-16.882542009506235</v>
      </c>
      <c r="F28" s="38">
        <v>-4.3041094094290315</v>
      </c>
      <c r="G28" s="39">
        <v>-11.236005962789818</v>
      </c>
      <c r="H28" s="38">
        <v>-6.1303542158303763</v>
      </c>
      <c r="I28" s="69">
        <v>-7.0147789184942724</v>
      </c>
      <c r="J28" s="38">
        <v>-7.1292087966390083</v>
      </c>
      <c r="K28" s="39">
        <v>-3.479332526574046</v>
      </c>
      <c r="L28" s="38">
        <v>-7.6439394835846244</v>
      </c>
      <c r="M28" s="39">
        <v>-0.23813429534409822</v>
      </c>
      <c r="N28" s="38">
        <v>-7.814658377770459</v>
      </c>
      <c r="O28" s="39">
        <v>2.982532920235307</v>
      </c>
      <c r="P28" s="38">
        <v>-7.6829542434026212</v>
      </c>
      <c r="Q28" s="39">
        <v>6.4486703005724859</v>
      </c>
      <c r="R28" s="38">
        <v>-7.2179542299257156</v>
      </c>
      <c r="S28" s="39">
        <v>10.521728915632668</v>
      </c>
      <c r="T28" s="38">
        <v>-6.2975932488457369</v>
      </c>
      <c r="U28" s="39">
        <v>15.855230486502478</v>
      </c>
      <c r="V28" s="38">
        <v>-4.6215408449289326</v>
      </c>
      <c r="W28" s="39"/>
      <c r="X28" s="38"/>
      <c r="Z28" s="53"/>
    </row>
    <row r="29" spans="1:26">
      <c r="A29" s="52">
        <v>0</v>
      </c>
      <c r="B29" s="38">
        <v>0</v>
      </c>
      <c r="C29" s="39">
        <v>0</v>
      </c>
      <c r="D29" s="38">
        <v>0</v>
      </c>
      <c r="E29" s="39">
        <v>-15.112638563043802</v>
      </c>
      <c r="F29" s="38">
        <v>-3.1088665456816096</v>
      </c>
      <c r="G29" s="39">
        <v>-10.26478195165625</v>
      </c>
      <c r="H29" s="38">
        <v>-4.9837957359478118</v>
      </c>
      <c r="I29" s="69">
        <v>-6.4812396404594947</v>
      </c>
      <c r="J29" s="38">
        <v>-6.0436214927564986</v>
      </c>
      <c r="K29" s="39">
        <v>-3.2337375154020411</v>
      </c>
      <c r="L29" s="38">
        <v>-6.5998640427642137</v>
      </c>
      <c r="M29" s="39">
        <v>-0.22177551360837122</v>
      </c>
      <c r="N29" s="38">
        <v>-6.7867514134444749</v>
      </c>
      <c r="O29" s="39">
        <v>2.7738260770602716</v>
      </c>
      <c r="P29" s="38">
        <v>-6.6451602932045697</v>
      </c>
      <c r="Q29" s="39">
        <v>5.9668971561280308</v>
      </c>
      <c r="R29" s="38">
        <v>-6.1449597770857904</v>
      </c>
      <c r="S29" s="39">
        <v>9.6377249879363482</v>
      </c>
      <c r="T29" s="38">
        <v>-5.1689411434176584</v>
      </c>
      <c r="U29" s="39">
        <v>14.260520640432924</v>
      </c>
      <c r="V29" s="38">
        <v>-3.4418899131897818</v>
      </c>
      <c r="W29" s="39"/>
      <c r="X29" s="38"/>
      <c r="Z29" s="53"/>
    </row>
    <row r="30" spans="1:26">
      <c r="A30" s="52">
        <v>0</v>
      </c>
      <c r="B30" s="38">
        <v>0</v>
      </c>
      <c r="C30" s="39">
        <v>0</v>
      </c>
      <c r="D30" s="38">
        <v>0</v>
      </c>
      <c r="E30" s="39">
        <v>-13.807230169474343</v>
      </c>
      <c r="F30" s="38">
        <v>-2.2305057158759105</v>
      </c>
      <c r="G30" s="39">
        <v>-9.5236864796243399</v>
      </c>
      <c r="H30" s="38">
        <v>-4.1099362965525925</v>
      </c>
      <c r="I30" s="69">
        <v>-6.0665892795078085</v>
      </c>
      <c r="J30" s="38">
        <v>-5.2006177588291971</v>
      </c>
      <c r="K30" s="39">
        <v>-3.0411782198035202</v>
      </c>
      <c r="L30" s="38">
        <v>-5.7818221956830591</v>
      </c>
      <c r="M30" s="39">
        <v>-0.20892491437171026</v>
      </c>
      <c r="N30" s="38">
        <v>-5.9798178572414935</v>
      </c>
      <c r="O30" s="39">
        <v>2.6105639772127271</v>
      </c>
      <c r="P30" s="38">
        <v>-5.8338998792251031</v>
      </c>
      <c r="Q30" s="39">
        <v>5.5940868532816719</v>
      </c>
      <c r="R30" s="38">
        <v>-5.3153026969658503</v>
      </c>
      <c r="S30" s="39">
        <v>8.9669521375372288</v>
      </c>
      <c r="T30" s="38">
        <v>-4.313472499225627</v>
      </c>
      <c r="U30" s="39">
        <v>13.09049355111587</v>
      </c>
      <c r="V30" s="38">
        <v>-2.5787940228330086</v>
      </c>
      <c r="W30" s="39"/>
      <c r="X30" s="38"/>
      <c r="Z30" s="53"/>
    </row>
    <row r="31" spans="1:26" ht="15.75" thickBot="1">
      <c r="A31" s="54"/>
      <c r="B31" s="56"/>
      <c r="C31" s="58"/>
      <c r="D31" s="56"/>
      <c r="E31" s="58"/>
      <c r="F31" s="56"/>
      <c r="G31" s="58"/>
      <c r="H31" s="56"/>
      <c r="I31" s="70"/>
      <c r="J31" s="56"/>
      <c r="K31" s="58"/>
      <c r="L31" s="56"/>
      <c r="M31" s="58"/>
      <c r="N31" s="56"/>
      <c r="O31" s="58"/>
      <c r="P31" s="56"/>
      <c r="Q31" s="58"/>
      <c r="R31" s="56"/>
      <c r="S31" s="58"/>
      <c r="T31" s="56"/>
      <c r="U31" s="58"/>
      <c r="V31" s="56"/>
      <c r="W31" s="58"/>
      <c r="X31" s="56"/>
      <c r="Y31" s="4"/>
      <c r="Z31" s="30"/>
    </row>
    <row r="40" spans="1:1">
      <c r="A40" s="52"/>
    </row>
    <row r="41" spans="1:1">
      <c r="A41" s="52"/>
    </row>
    <row r="42" spans="1:1">
      <c r="A42" s="52"/>
    </row>
    <row r="43" spans="1:1">
      <c r="A43" s="52"/>
    </row>
    <row r="44" spans="1:1">
      <c r="A44" s="52"/>
    </row>
    <row r="45" spans="1:1">
      <c r="A45" s="52"/>
    </row>
    <row r="46" spans="1:1">
      <c r="A46" s="5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3FD54-7DED-4ECA-A98D-94CF0F877521}">
  <sheetPr codeName="Sheet2"/>
  <dimension ref="A1:Z31"/>
  <sheetViews>
    <sheetView workbookViewId="0"/>
  </sheetViews>
  <sheetFormatPr defaultRowHeight="15"/>
  <cols>
    <col min="2" max="2" width="10.5703125" customWidth="1"/>
    <col min="3" max="3" width="9.5703125" customWidth="1"/>
    <col min="4" max="4" width="9.85546875" customWidth="1"/>
    <col min="5" max="5" width="10.140625" customWidth="1"/>
    <col min="6" max="6" width="10.7109375" customWidth="1"/>
    <col min="10" max="10" width="11" customWidth="1"/>
    <col min="11" max="11" width="9.7109375" customWidth="1"/>
    <col min="12" max="12" width="10" customWidth="1"/>
    <col min="13" max="13" width="11.42578125" customWidth="1"/>
    <col min="14" max="14" width="9.85546875" customWidth="1"/>
    <col min="15" max="16" width="11" customWidth="1"/>
    <col min="18" max="18" width="10.140625" customWidth="1"/>
    <col min="20" max="20" width="11.5703125" customWidth="1"/>
    <col min="22" max="22" width="11" customWidth="1"/>
  </cols>
  <sheetData>
    <row r="1" spans="1:24" s="33" customFormat="1" ht="19.5">
      <c r="A1" s="129" t="s">
        <v>19</v>
      </c>
      <c r="B1" s="129" t="s">
        <v>26</v>
      </c>
      <c r="C1" s="129" t="s">
        <v>13</v>
      </c>
      <c r="D1" s="129" t="s">
        <v>2</v>
      </c>
      <c r="E1" s="129" t="s">
        <v>27</v>
      </c>
      <c r="F1" s="149"/>
      <c r="G1" s="174" t="s">
        <v>150</v>
      </c>
      <c r="H1" s="65"/>
      <c r="I1" s="68"/>
      <c r="J1" s="67"/>
      <c r="K1" s="172" t="s">
        <v>25</v>
      </c>
      <c r="L1" s="172" t="s">
        <v>21</v>
      </c>
      <c r="M1" s="172" t="s">
        <v>20</v>
      </c>
      <c r="N1" s="172" t="s">
        <v>23</v>
      </c>
      <c r="O1" s="172" t="s">
        <v>24</v>
      </c>
      <c r="P1" s="172" t="s">
        <v>28</v>
      </c>
      <c r="Q1" s="172" t="s">
        <v>29</v>
      </c>
    </row>
    <row r="2" spans="1:24" s="2" customFormat="1">
      <c r="A2" s="2" t="str">
        <f>Enter!B2</f>
        <v>تبریز</v>
      </c>
      <c r="B2" s="2">
        <v>51.3797</v>
      </c>
      <c r="C2" s="2">
        <v>35.7029</v>
      </c>
      <c r="D2" s="2">
        <v>1210</v>
      </c>
      <c r="E2" s="2">
        <v>3.5</v>
      </c>
      <c r="K2" s="2">
        <v>125.7029</v>
      </c>
      <c r="L2" s="2">
        <v>0</v>
      </c>
      <c r="M2" s="2">
        <v>10</v>
      </c>
      <c r="N2" s="2">
        <v>1.6331778728383843E+17</v>
      </c>
      <c r="O2" s="2">
        <v>-8.7464757658750614E-14</v>
      </c>
      <c r="P2" s="2">
        <v>0</v>
      </c>
      <c r="Q2" s="2">
        <v>-1.6331778728383843E+17</v>
      </c>
    </row>
    <row r="4" spans="1:24" ht="15.75" thickBot="1"/>
    <row r="5" spans="1:24" s="48" customFormat="1">
      <c r="A5" s="61"/>
      <c r="B5" s="124" t="s">
        <v>53</v>
      </c>
      <c r="C5" s="62"/>
      <c r="D5" s="124" t="s">
        <v>54</v>
      </c>
      <c r="E5" s="62"/>
      <c r="F5" s="124" t="s">
        <v>55</v>
      </c>
      <c r="G5" s="62"/>
      <c r="H5" s="124" t="s">
        <v>56</v>
      </c>
      <c r="I5" s="62"/>
      <c r="J5" s="124" t="s">
        <v>57</v>
      </c>
      <c r="K5" s="62"/>
      <c r="L5" s="124" t="s">
        <v>58</v>
      </c>
      <c r="M5" s="64"/>
      <c r="N5" s="124" t="s">
        <v>59</v>
      </c>
      <c r="O5" s="64"/>
      <c r="P5" s="124" t="s">
        <v>60</v>
      </c>
      <c r="Q5" s="62"/>
      <c r="R5" s="124" t="s">
        <v>16</v>
      </c>
      <c r="S5" s="62"/>
      <c r="T5" s="124" t="s">
        <v>17</v>
      </c>
      <c r="U5" s="62"/>
      <c r="V5" s="124" t="s">
        <v>18</v>
      </c>
      <c r="W5" s="64"/>
      <c r="X5" s="125"/>
    </row>
    <row r="6" spans="1:24">
      <c r="A6" s="52">
        <v>99999</v>
      </c>
      <c r="B6" s="38">
        <v>99999</v>
      </c>
      <c r="C6" s="39">
        <v>99999</v>
      </c>
      <c r="D6" s="38">
        <v>99999</v>
      </c>
      <c r="E6" s="39">
        <v>99999</v>
      </c>
      <c r="F6" s="38">
        <v>99999</v>
      </c>
      <c r="G6" s="39">
        <v>99999</v>
      </c>
      <c r="H6" s="38">
        <v>99999</v>
      </c>
      <c r="I6" s="39">
        <v>99999</v>
      </c>
      <c r="J6" s="38">
        <v>99999</v>
      </c>
      <c r="K6" s="39"/>
      <c r="L6" s="38"/>
      <c r="N6" s="38"/>
      <c r="P6" s="38"/>
      <c r="Q6" s="39"/>
      <c r="R6" s="38"/>
      <c r="S6" s="39"/>
      <c r="T6" s="38"/>
      <c r="U6" s="39"/>
      <c r="V6" s="38"/>
      <c r="X6" s="53"/>
    </row>
    <row r="7" spans="1:24">
      <c r="A7" s="52">
        <v>99999</v>
      </c>
      <c r="B7" s="38">
        <v>99999</v>
      </c>
      <c r="C7" s="39">
        <v>99999</v>
      </c>
      <c r="D7" s="38">
        <v>99999</v>
      </c>
      <c r="E7" s="39">
        <v>99999</v>
      </c>
      <c r="F7" s="38">
        <v>99999</v>
      </c>
      <c r="G7" s="39">
        <v>99999</v>
      </c>
      <c r="H7" s="38">
        <v>99999</v>
      </c>
      <c r="I7" s="39">
        <v>99999</v>
      </c>
      <c r="J7" s="38">
        <v>99999</v>
      </c>
      <c r="K7" s="39">
        <v>99999</v>
      </c>
      <c r="L7" s="38">
        <v>99999</v>
      </c>
      <c r="M7">
        <v>-102.58696315125469</v>
      </c>
      <c r="N7" s="38">
        <v>-25.463875286672909</v>
      </c>
      <c r="O7">
        <v>-48.691507696109163</v>
      </c>
      <c r="P7" s="38">
        <v>-12.136928999838338</v>
      </c>
      <c r="Q7" s="39">
        <v>-33.671981632642314</v>
      </c>
      <c r="R7" s="38">
        <v>-8.4686934461945835</v>
      </c>
      <c r="S7" s="39"/>
      <c r="T7" s="38"/>
      <c r="U7" s="39"/>
      <c r="V7" s="38"/>
      <c r="X7" s="53"/>
    </row>
    <row r="8" spans="1:24">
      <c r="A8" s="52">
        <v>99999</v>
      </c>
      <c r="B8" s="38">
        <v>99999</v>
      </c>
      <c r="C8" s="39">
        <v>99999</v>
      </c>
      <c r="D8" s="38">
        <v>99999</v>
      </c>
      <c r="E8" s="39">
        <v>99999</v>
      </c>
      <c r="F8" s="38">
        <v>99999</v>
      </c>
      <c r="G8" s="39">
        <v>99999</v>
      </c>
      <c r="H8" s="38">
        <v>99999</v>
      </c>
      <c r="I8" s="39">
        <v>99999</v>
      </c>
      <c r="J8" s="38">
        <v>99999</v>
      </c>
      <c r="K8" s="39">
        <v>-15217.11696796909</v>
      </c>
      <c r="L8" s="38">
        <v>-8396.7155153263102</v>
      </c>
      <c r="M8">
        <v>-91.723167794945098</v>
      </c>
      <c r="N8" s="38">
        <v>-50.627205901669711</v>
      </c>
      <c r="O8">
        <v>-43.626350123076463</v>
      </c>
      <c r="P8" s="38">
        <v>-24.093745274892651</v>
      </c>
      <c r="Q8" s="39">
        <v>-30.10043024139404</v>
      </c>
      <c r="R8" s="38">
        <v>-16.636528101885084</v>
      </c>
      <c r="S8" s="39">
        <v>-23.96450142769412</v>
      </c>
      <c r="T8" s="38">
        <v>-13.257287412615055</v>
      </c>
      <c r="U8" s="39">
        <v>-20.248601428221647</v>
      </c>
      <c r="V8" s="38">
        <v>-11.214658241825164</v>
      </c>
      <c r="X8" s="53"/>
    </row>
    <row r="9" spans="1:24">
      <c r="A9" s="52">
        <v>99999</v>
      </c>
      <c r="B9" s="38">
        <v>99999</v>
      </c>
      <c r="C9" s="39">
        <v>99999</v>
      </c>
      <c r="D9" s="38">
        <v>99999</v>
      </c>
      <c r="E9" s="39">
        <v>99999</v>
      </c>
      <c r="F9" s="38">
        <v>99999</v>
      </c>
      <c r="G9" s="39">
        <v>99999</v>
      </c>
      <c r="H9" s="38">
        <v>99999</v>
      </c>
      <c r="I9" s="39">
        <v>99999</v>
      </c>
      <c r="J9" s="38">
        <v>99999</v>
      </c>
      <c r="K9" s="39">
        <v>-7416.0492932407333</v>
      </c>
      <c r="L9" s="38">
        <v>-7132.2358862547926</v>
      </c>
      <c r="M9">
        <v>-75.170037113517509</v>
      </c>
      <c r="N9" s="38">
        <v>-72.302855813844687</v>
      </c>
      <c r="O9">
        <v>-35.828265726156303</v>
      </c>
      <c r="P9" s="38">
        <v>-34.470867276337515</v>
      </c>
      <c r="Q9" s="39">
        <v>-24.732712409885391</v>
      </c>
      <c r="R9" s="38">
        <v>-23.803796112019114</v>
      </c>
      <c r="S9" s="39">
        <v>-19.69419577452182</v>
      </c>
      <c r="T9" s="38">
        <v>-18.961576083509048</v>
      </c>
      <c r="U9" s="39">
        <v>-16.643825566266091</v>
      </c>
      <c r="V9" s="38">
        <v>-16.031504909481317</v>
      </c>
      <c r="X9" s="53"/>
    </row>
    <row r="10" spans="1:24">
      <c r="A10" s="52">
        <v>99999</v>
      </c>
      <c r="B10" s="38">
        <v>99999</v>
      </c>
      <c r="C10" s="39">
        <v>99999</v>
      </c>
      <c r="D10" s="38">
        <v>99999</v>
      </c>
      <c r="E10" s="39">
        <v>99999</v>
      </c>
      <c r="F10" s="38">
        <v>99999</v>
      </c>
      <c r="G10" s="39">
        <v>99999</v>
      </c>
      <c r="H10" s="38">
        <v>99999</v>
      </c>
      <c r="I10" s="39">
        <v>99999</v>
      </c>
      <c r="J10" s="38">
        <v>99999</v>
      </c>
      <c r="K10" s="39">
        <v>-3959.54060091883</v>
      </c>
      <c r="L10" s="38">
        <v>-6558.6364725184658</v>
      </c>
      <c r="M10">
        <v>-53.709503825745074</v>
      </c>
      <c r="N10" s="38">
        <v>-88.972873515216932</v>
      </c>
      <c r="O10">
        <v>-25.646599819298366</v>
      </c>
      <c r="P10" s="38">
        <v>-42.492682415556175</v>
      </c>
      <c r="Q10" s="39">
        <v>-17.713820966329486</v>
      </c>
      <c r="R10" s="38">
        <v>-29.355934916894736</v>
      </c>
      <c r="S10" s="39">
        <v>-14.109314602439206</v>
      </c>
      <c r="T10" s="38">
        <v>-23.388181693179849</v>
      </c>
      <c r="U10" s="39">
        <v>-11.929068952586416</v>
      </c>
      <c r="V10" s="38">
        <v>-19.779577150147734</v>
      </c>
      <c r="X10" s="53"/>
    </row>
    <row r="11" spans="1:24">
      <c r="A11" s="52">
        <v>99999</v>
      </c>
      <c r="B11" s="38">
        <v>99999</v>
      </c>
      <c r="C11" s="39">
        <v>99999</v>
      </c>
      <c r="D11" s="38">
        <v>99999</v>
      </c>
      <c r="E11" s="39">
        <v>99999</v>
      </c>
      <c r="F11" s="38">
        <v>99999</v>
      </c>
      <c r="G11" s="39">
        <v>99999</v>
      </c>
      <c r="H11" s="38">
        <v>99999</v>
      </c>
      <c r="I11" s="39">
        <v>99999</v>
      </c>
      <c r="J11" s="38">
        <v>99999</v>
      </c>
      <c r="K11" s="39">
        <v>-1722.6943269440424</v>
      </c>
      <c r="L11" s="38">
        <v>-5960.4116356669474</v>
      </c>
      <c r="M11">
        <v>-28.762096596227561</v>
      </c>
      <c r="N11" s="38">
        <v>-99.521948710342812</v>
      </c>
      <c r="O11">
        <v>-13.75752298771194</v>
      </c>
      <c r="P11" s="38">
        <v>-47.610427214671368</v>
      </c>
      <c r="Q11" s="39">
        <v>-9.5072250084298009</v>
      </c>
      <c r="R11" s="38">
        <v>-32.907633964391742</v>
      </c>
      <c r="S11" s="39">
        <v>-7.5749723965610585</v>
      </c>
      <c r="T11" s="38">
        <v>-26.224717920420208</v>
      </c>
      <c r="U11" s="39">
        <v>-6.4073760669293929</v>
      </c>
      <c r="V11" s="38">
        <v>-22.187425992868857</v>
      </c>
      <c r="X11" s="53"/>
    </row>
    <row r="12" spans="1:24">
      <c r="A12" s="52">
        <v>99999</v>
      </c>
      <c r="B12" s="38">
        <v>99999</v>
      </c>
      <c r="C12" s="39">
        <v>99999</v>
      </c>
      <c r="D12" s="38">
        <v>99999</v>
      </c>
      <c r="E12" s="39">
        <v>99999</v>
      </c>
      <c r="F12" s="38">
        <v>99999</v>
      </c>
      <c r="G12" s="39">
        <v>99999</v>
      </c>
      <c r="H12" s="38">
        <v>99999</v>
      </c>
      <c r="I12" s="39">
        <v>99999</v>
      </c>
      <c r="J12" s="38">
        <v>99999</v>
      </c>
      <c r="K12" s="39">
        <v>-102.78070050940602</v>
      </c>
      <c r="L12" s="38">
        <v>-5255.7663008985865</v>
      </c>
      <c r="M12">
        <v>-2.0193018136506407</v>
      </c>
      <c r="N12" s="38">
        <v>-103.26517855147145</v>
      </c>
      <c r="O12">
        <v>-0.96744593921491362</v>
      </c>
      <c r="P12" s="38">
        <v>-49.481022925251736</v>
      </c>
      <c r="Q12" s="39">
        <v>-0.66890838955395227</v>
      </c>
      <c r="R12" s="38">
        <v>-34.217974335770101</v>
      </c>
      <c r="S12" s="39">
        <v>-0.53312551761601079</v>
      </c>
      <c r="T12" s="38">
        <v>-27.277096791427404</v>
      </c>
      <c r="U12" s="39">
        <v>-0.45116142648819296</v>
      </c>
      <c r="V12" s="38">
        <v>-23.088241275845181</v>
      </c>
      <c r="X12" s="53"/>
    </row>
    <row r="13" spans="1:24">
      <c r="A13" s="52">
        <v>99999</v>
      </c>
      <c r="B13" s="38">
        <v>99999</v>
      </c>
      <c r="C13" s="39">
        <v>99999</v>
      </c>
      <c r="D13" s="38">
        <v>99999</v>
      </c>
      <c r="E13" s="39">
        <v>99999</v>
      </c>
      <c r="F13" s="38">
        <v>99999</v>
      </c>
      <c r="G13" s="39">
        <v>99999</v>
      </c>
      <c r="H13" s="38">
        <v>99999</v>
      </c>
      <c r="I13" s="39">
        <v>99999</v>
      </c>
      <c r="J13" s="38">
        <v>99999</v>
      </c>
      <c r="K13" s="39">
        <v>1100.532107068015</v>
      </c>
      <c r="L13" s="38">
        <v>-4453.7458455921587</v>
      </c>
      <c r="M13">
        <v>24.705237051509865</v>
      </c>
      <c r="N13" s="38">
        <v>-99.986536886713353</v>
      </c>
      <c r="O13">
        <v>11.854714604884187</v>
      </c>
      <c r="P13" s="38">
        <v>-47.985059555054718</v>
      </c>
      <c r="Q13" s="39">
        <v>8.2007476049750423</v>
      </c>
      <c r="R13" s="38">
        <v>-33.200760390449219</v>
      </c>
      <c r="S13" s="39">
        <v>6.5381230268016592</v>
      </c>
      <c r="T13" s="38">
        <v>-26.474817179109525</v>
      </c>
      <c r="U13" s="39">
        <v>5.535571544106701</v>
      </c>
      <c r="V13" s="38">
        <v>-22.42008406688398</v>
      </c>
      <c r="X13" s="53"/>
    </row>
    <row r="14" spans="1:24">
      <c r="A14" s="52">
        <v>99999</v>
      </c>
      <c r="B14" s="38">
        <v>99999</v>
      </c>
      <c r="C14" s="39">
        <v>99999</v>
      </c>
      <c r="D14" s="38">
        <v>99999</v>
      </c>
      <c r="E14" s="39">
        <v>99999</v>
      </c>
      <c r="F14" s="38">
        <v>99999</v>
      </c>
      <c r="G14" s="39">
        <v>99999</v>
      </c>
      <c r="H14" s="38">
        <v>99999</v>
      </c>
      <c r="I14" s="39">
        <v>99999</v>
      </c>
      <c r="J14" s="38">
        <v>99999</v>
      </c>
      <c r="K14" s="39">
        <v>1977.7814269556936</v>
      </c>
      <c r="L14" s="38">
        <v>-3585.7744210193441</v>
      </c>
      <c r="M14">
        <v>49.608875526000652</v>
      </c>
      <c r="N14" s="38">
        <v>-89.949830771747713</v>
      </c>
      <c r="O14">
        <v>23.839946369836031</v>
      </c>
      <c r="P14" s="38">
        <v>-43.233581847215213</v>
      </c>
      <c r="Q14" s="39">
        <v>16.500065689968398</v>
      </c>
      <c r="R14" s="38">
        <v>-29.929337673852672</v>
      </c>
      <c r="S14" s="39">
        <v>13.159031595280494</v>
      </c>
      <c r="T14" s="38">
        <v>-23.874697284030521</v>
      </c>
      <c r="U14" s="39">
        <v>11.14665630188418</v>
      </c>
      <c r="V14" s="38">
        <v>-20.228926114994646</v>
      </c>
      <c r="X14" s="53"/>
    </row>
    <row r="15" spans="1:24">
      <c r="A15" s="52">
        <v>99999</v>
      </c>
      <c r="B15" s="38">
        <v>99999</v>
      </c>
      <c r="C15" s="39">
        <v>99999</v>
      </c>
      <c r="D15" s="38">
        <v>99999</v>
      </c>
      <c r="E15" s="39">
        <v>99999</v>
      </c>
      <c r="F15" s="38">
        <v>99999</v>
      </c>
      <c r="G15" s="39">
        <v>99999</v>
      </c>
      <c r="H15" s="38">
        <v>99999</v>
      </c>
      <c r="I15" s="39">
        <v>99999</v>
      </c>
      <c r="J15" s="38">
        <v>99999</v>
      </c>
      <c r="K15" s="39">
        <v>2586.5529136570881</v>
      </c>
      <c r="L15" s="38">
        <v>-2689.9375118202879</v>
      </c>
      <c r="M15">
        <v>71.030519005949898</v>
      </c>
      <c r="N15" s="38">
        <v>-73.87871882025361</v>
      </c>
      <c r="O15">
        <v>34.18103802844513</v>
      </c>
      <c r="P15" s="38">
        <v>-35.560457545452117</v>
      </c>
      <c r="Q15" s="39">
        <v>23.668929787819405</v>
      </c>
      <c r="R15" s="38">
        <v>-24.631907863002887</v>
      </c>
      <c r="S15" s="39">
        <v>18.882552143981862</v>
      </c>
      <c r="T15" s="38">
        <v>-19.657541451861388</v>
      </c>
      <c r="U15" s="39">
        <v>16.003059485825677</v>
      </c>
      <c r="V15" s="38">
        <v>-16.666320963585367</v>
      </c>
      <c r="X15" s="53"/>
    </row>
    <row r="16" spans="1:24">
      <c r="A16" s="52">
        <v>99999</v>
      </c>
      <c r="B16" s="38">
        <v>99999</v>
      </c>
      <c r="C16" s="39">
        <v>99999</v>
      </c>
      <c r="D16" s="38">
        <v>99999</v>
      </c>
      <c r="E16" s="39">
        <v>99999</v>
      </c>
      <c r="F16" s="38">
        <v>99999</v>
      </c>
      <c r="G16" s="39">
        <v>99999</v>
      </c>
      <c r="H16" s="38">
        <v>99999</v>
      </c>
      <c r="I16" s="39">
        <v>99999</v>
      </c>
      <c r="J16" s="38">
        <v>99999</v>
      </c>
      <c r="K16" s="39">
        <v>2990.1737201768146</v>
      </c>
      <c r="L16" s="38">
        <v>-1805.8297685772247</v>
      </c>
      <c r="M16">
        <v>87.587138447124943</v>
      </c>
      <c r="N16" s="38">
        <v>-52.90919323591045</v>
      </c>
      <c r="O16">
        <v>42.196852382494953</v>
      </c>
      <c r="P16" s="38">
        <v>-25.502727609678328</v>
      </c>
      <c r="Q16" s="39">
        <v>29.234366268719675</v>
      </c>
      <c r="R16" s="38">
        <v>-17.680060462475385</v>
      </c>
      <c r="S16" s="39">
        <v>23.332332646125629</v>
      </c>
      <c r="T16" s="38">
        <v>-14.121310979357217</v>
      </c>
      <c r="U16" s="39">
        <v>19.787307184845808</v>
      </c>
      <c r="V16" s="38">
        <v>-11.986730657163774</v>
      </c>
      <c r="X16" s="53"/>
    </row>
    <row r="17" spans="1:26">
      <c r="A17" s="52">
        <v>99999</v>
      </c>
      <c r="B17" s="38">
        <v>99999</v>
      </c>
      <c r="C17" s="39">
        <v>99999</v>
      </c>
      <c r="D17" s="38">
        <v>99999</v>
      </c>
      <c r="E17" s="39">
        <v>99999</v>
      </c>
      <c r="F17" s="38">
        <v>99999</v>
      </c>
      <c r="G17" s="39">
        <v>99999</v>
      </c>
      <c r="H17" s="38">
        <v>99999</v>
      </c>
      <c r="I17" s="39">
        <v>99999</v>
      </c>
      <c r="J17" s="38">
        <v>99999</v>
      </c>
      <c r="K17" s="39">
        <v>3366.3426513183063</v>
      </c>
      <c r="L17" s="38">
        <v>-974.84058855508476</v>
      </c>
      <c r="M17">
        <v>98.439748583752078</v>
      </c>
      <c r="N17" s="38">
        <v>-28.541140264358777</v>
      </c>
      <c r="O17">
        <v>47.470259255527637</v>
      </c>
      <c r="P17" s="38">
        <v>-13.799927306983511</v>
      </c>
      <c r="Q17" s="39">
        <v>32.94863916481691</v>
      </c>
      <c r="R17" s="38">
        <v>-9.625085724710198</v>
      </c>
      <c r="S17" s="39">
        <v>26.39252185012506</v>
      </c>
      <c r="T17" s="38">
        <v>-7.7813970495834868</v>
      </c>
      <c r="U17" s="39"/>
      <c r="V17" s="38"/>
      <c r="X17" s="53"/>
    </row>
    <row r="18" spans="1:26" ht="15.75" thickBot="1">
      <c r="A18" s="52">
        <v>99999</v>
      </c>
      <c r="B18" s="38">
        <v>99999</v>
      </c>
      <c r="C18" s="39">
        <v>99999</v>
      </c>
      <c r="D18" s="38">
        <v>99999</v>
      </c>
      <c r="E18" s="39">
        <v>99999</v>
      </c>
      <c r="F18" s="38">
        <v>99999</v>
      </c>
      <c r="G18" s="39">
        <v>99999</v>
      </c>
      <c r="H18" s="38">
        <v>99999</v>
      </c>
      <c r="I18" s="39">
        <v>99999</v>
      </c>
      <c r="J18" s="38">
        <v>99999</v>
      </c>
      <c r="K18" s="39">
        <v>29800.644885910293</v>
      </c>
      <c r="L18" s="38">
        <v>-713.63768300932668</v>
      </c>
      <c r="N18" s="56"/>
      <c r="P18" s="38"/>
      <c r="Q18" s="39"/>
      <c r="R18" s="38"/>
      <c r="S18" s="39"/>
      <c r="T18" s="38"/>
      <c r="U18" s="39"/>
      <c r="V18" s="38"/>
      <c r="X18" s="53"/>
    </row>
    <row r="19" spans="1:26" s="6" customFormat="1">
      <c r="A19" s="49"/>
      <c r="B19" s="55">
        <v>6</v>
      </c>
      <c r="C19" s="57"/>
      <c r="D19" s="55">
        <v>7</v>
      </c>
      <c r="E19" s="57"/>
      <c r="F19" s="55">
        <v>8</v>
      </c>
      <c r="G19" s="57"/>
      <c r="H19" s="55">
        <v>9</v>
      </c>
      <c r="I19" s="57"/>
      <c r="J19" s="55">
        <v>10</v>
      </c>
      <c r="K19" s="57"/>
      <c r="L19" s="55">
        <v>11</v>
      </c>
      <c r="M19" s="57"/>
      <c r="N19" s="55">
        <v>12</v>
      </c>
      <c r="O19" s="57"/>
      <c r="P19" s="55">
        <v>13</v>
      </c>
      <c r="Q19" s="57"/>
      <c r="R19" s="55">
        <v>14</v>
      </c>
      <c r="S19" s="57"/>
      <c r="T19" s="55">
        <v>15</v>
      </c>
      <c r="U19" s="57"/>
      <c r="V19" s="55">
        <v>16</v>
      </c>
      <c r="W19" s="57"/>
      <c r="X19" s="55"/>
      <c r="Y19" s="50"/>
      <c r="Z19" s="51"/>
    </row>
    <row r="20" spans="1:26">
      <c r="A20" s="52">
        <v>99999</v>
      </c>
      <c r="B20" s="38">
        <v>99999</v>
      </c>
      <c r="C20" s="39">
        <v>99999</v>
      </c>
      <c r="D20" s="38">
        <v>99999</v>
      </c>
      <c r="E20" s="39">
        <v>99999</v>
      </c>
      <c r="F20" s="38">
        <v>99999</v>
      </c>
      <c r="G20" s="39">
        <v>99999</v>
      </c>
      <c r="H20" s="38">
        <v>99999</v>
      </c>
      <c r="I20" s="39">
        <v>99999</v>
      </c>
      <c r="J20" s="38">
        <v>99999</v>
      </c>
      <c r="K20" s="39">
        <v>99999</v>
      </c>
      <c r="L20" s="38">
        <v>99999</v>
      </c>
      <c r="M20" s="39">
        <v>99999</v>
      </c>
      <c r="N20" s="38">
        <v>99999</v>
      </c>
      <c r="O20" s="39">
        <v>99999</v>
      </c>
      <c r="P20" s="38">
        <v>99999</v>
      </c>
      <c r="Q20" s="39">
        <v>99999</v>
      </c>
      <c r="R20" s="38">
        <v>99999</v>
      </c>
      <c r="S20" s="39">
        <v>99999</v>
      </c>
      <c r="T20" s="38">
        <v>99999</v>
      </c>
      <c r="U20" s="39">
        <v>99999</v>
      </c>
      <c r="V20" s="38">
        <v>99999</v>
      </c>
      <c r="W20" s="39"/>
      <c r="X20" s="38"/>
      <c r="Z20" s="53"/>
    </row>
    <row r="21" spans="1:26">
      <c r="A21" s="52">
        <v>99999</v>
      </c>
      <c r="B21" s="38">
        <v>99999</v>
      </c>
      <c r="C21" s="39">
        <v>99999</v>
      </c>
      <c r="D21" s="38">
        <v>99999</v>
      </c>
      <c r="E21" s="39">
        <v>99999</v>
      </c>
      <c r="F21" s="38">
        <v>99999</v>
      </c>
      <c r="G21" s="39">
        <v>99999</v>
      </c>
      <c r="H21" s="38">
        <v>99999</v>
      </c>
      <c r="I21" s="39">
        <v>99999</v>
      </c>
      <c r="J21" s="38">
        <v>99999</v>
      </c>
      <c r="K21" s="39">
        <v>99999</v>
      </c>
      <c r="L21" s="38">
        <v>99999</v>
      </c>
      <c r="M21" s="39">
        <v>99999</v>
      </c>
      <c r="N21" s="38">
        <v>99999</v>
      </c>
      <c r="O21" s="39">
        <v>99999</v>
      </c>
      <c r="P21" s="38">
        <v>99999</v>
      </c>
      <c r="Q21" s="39">
        <v>99999</v>
      </c>
      <c r="R21" s="38">
        <v>99999</v>
      </c>
      <c r="S21" s="39">
        <v>99999</v>
      </c>
      <c r="T21" s="38">
        <v>99999</v>
      </c>
      <c r="U21" s="39">
        <v>99999</v>
      </c>
      <c r="V21" s="38">
        <v>99999</v>
      </c>
      <c r="W21" s="39"/>
      <c r="X21" s="38"/>
      <c r="Z21" s="53"/>
    </row>
    <row r="22" spans="1:26">
      <c r="A22" s="52">
        <v>99999</v>
      </c>
      <c r="B22" s="38">
        <v>99999</v>
      </c>
      <c r="C22" s="39">
        <v>99999</v>
      </c>
      <c r="D22" s="38">
        <v>99999</v>
      </c>
      <c r="E22" s="39">
        <v>99999</v>
      </c>
      <c r="F22" s="38">
        <v>99999</v>
      </c>
      <c r="G22" s="39">
        <v>99999</v>
      </c>
      <c r="H22" s="38">
        <v>99999</v>
      </c>
      <c r="I22" s="39">
        <v>99999</v>
      </c>
      <c r="J22" s="38">
        <v>99999</v>
      </c>
      <c r="K22" s="39">
        <v>99999</v>
      </c>
      <c r="L22" s="38">
        <v>99999</v>
      </c>
      <c r="M22" s="39">
        <v>99999</v>
      </c>
      <c r="N22" s="38">
        <v>99999</v>
      </c>
      <c r="O22" s="39">
        <v>99999</v>
      </c>
      <c r="P22" s="38">
        <v>99999</v>
      </c>
      <c r="Q22" s="39">
        <v>99999</v>
      </c>
      <c r="R22" s="38">
        <v>99999</v>
      </c>
      <c r="S22" s="39">
        <v>99999</v>
      </c>
      <c r="T22" s="38">
        <v>99999</v>
      </c>
      <c r="U22" s="39">
        <v>99999</v>
      </c>
      <c r="V22" s="38">
        <v>99999</v>
      </c>
      <c r="W22" s="39"/>
      <c r="X22" s="38"/>
      <c r="Z22" s="53"/>
    </row>
    <row r="23" spans="1:26">
      <c r="A23" s="52">
        <v>99999</v>
      </c>
      <c r="B23" s="38">
        <v>99999</v>
      </c>
      <c r="C23" s="39">
        <v>99999</v>
      </c>
      <c r="D23" s="38">
        <v>99999</v>
      </c>
      <c r="E23" s="39">
        <v>99999</v>
      </c>
      <c r="F23" s="38">
        <v>99999</v>
      </c>
      <c r="G23" s="39">
        <v>99999</v>
      </c>
      <c r="H23" s="38">
        <v>99999</v>
      </c>
      <c r="I23" s="39">
        <v>99999</v>
      </c>
      <c r="J23" s="38">
        <v>99999</v>
      </c>
      <c r="K23" s="39">
        <v>99999</v>
      </c>
      <c r="L23" s="38">
        <v>99999</v>
      </c>
      <c r="M23" s="39">
        <v>99999</v>
      </c>
      <c r="N23" s="38">
        <v>99999</v>
      </c>
      <c r="O23" s="39">
        <v>99999</v>
      </c>
      <c r="P23" s="38">
        <v>99999</v>
      </c>
      <c r="Q23" s="39">
        <v>99999</v>
      </c>
      <c r="R23" s="38">
        <v>99999</v>
      </c>
      <c r="S23" s="39">
        <v>99999</v>
      </c>
      <c r="T23" s="38">
        <v>99999</v>
      </c>
      <c r="U23" s="39">
        <v>99999</v>
      </c>
      <c r="V23" s="38">
        <v>99999</v>
      </c>
      <c r="W23" s="39"/>
      <c r="X23" s="38"/>
      <c r="Z23" s="53"/>
    </row>
    <row r="24" spans="1:26">
      <c r="A24" s="52">
        <v>99999</v>
      </c>
      <c r="B24" s="38">
        <v>99999</v>
      </c>
      <c r="C24" s="39">
        <v>99999</v>
      </c>
      <c r="D24" s="38">
        <v>99999</v>
      </c>
      <c r="E24" s="39">
        <v>99999</v>
      </c>
      <c r="F24" s="38">
        <v>99999</v>
      </c>
      <c r="G24" s="39">
        <v>99999</v>
      </c>
      <c r="H24" s="38">
        <v>99999</v>
      </c>
      <c r="I24" s="39">
        <v>99999</v>
      </c>
      <c r="J24" s="38">
        <v>99999</v>
      </c>
      <c r="K24" s="39">
        <v>99999</v>
      </c>
      <c r="L24" s="38">
        <v>99999</v>
      </c>
      <c r="M24" s="39">
        <v>99999</v>
      </c>
      <c r="N24" s="38">
        <v>99999</v>
      </c>
      <c r="O24" s="39">
        <v>99999</v>
      </c>
      <c r="P24" s="38">
        <v>99999</v>
      </c>
      <c r="Q24" s="39">
        <v>99999</v>
      </c>
      <c r="R24" s="38">
        <v>99999</v>
      </c>
      <c r="S24" s="39">
        <v>99999</v>
      </c>
      <c r="T24" s="38">
        <v>99999</v>
      </c>
      <c r="U24" s="39">
        <v>99999</v>
      </c>
      <c r="V24" s="38">
        <v>99999</v>
      </c>
      <c r="W24" s="39"/>
      <c r="X24" s="38"/>
      <c r="Z24" s="53"/>
    </row>
    <row r="25" spans="1:26">
      <c r="A25" s="52">
        <v>0</v>
      </c>
      <c r="B25" s="38">
        <v>0</v>
      </c>
      <c r="C25" s="39">
        <v>99999</v>
      </c>
      <c r="D25" s="38">
        <v>99999</v>
      </c>
      <c r="E25" s="39">
        <v>-15217.11696796909</v>
      </c>
      <c r="F25" s="38">
        <v>-8396.7155153263102</v>
      </c>
      <c r="G25" s="39">
        <v>-7416.0492932407333</v>
      </c>
      <c r="H25" s="38">
        <v>-7132.2358862547926</v>
      </c>
      <c r="I25" s="39">
        <v>-3959.54060091883</v>
      </c>
      <c r="J25" s="38">
        <v>-6558.6364725184658</v>
      </c>
      <c r="K25" s="39">
        <v>-1722.6943269440424</v>
      </c>
      <c r="L25" s="38">
        <v>-5960.4116356669474</v>
      </c>
      <c r="M25" s="39">
        <v>-102.78070050940602</v>
      </c>
      <c r="N25" s="38">
        <v>-5255.7663008985865</v>
      </c>
      <c r="O25" s="39">
        <v>1100.532107068015</v>
      </c>
      <c r="P25" s="38">
        <v>-4453.7458455921587</v>
      </c>
      <c r="Q25" s="39">
        <v>1977.7814269556936</v>
      </c>
      <c r="R25" s="38">
        <v>-3585.7744210193441</v>
      </c>
      <c r="S25" s="39">
        <v>2586.5529136570881</v>
      </c>
      <c r="T25" s="38">
        <v>-2689.9375118202879</v>
      </c>
      <c r="U25" s="39">
        <v>2990.1737201768146</v>
      </c>
      <c r="V25" s="38">
        <v>-1805.8297685772247</v>
      </c>
      <c r="W25" s="39"/>
      <c r="X25" s="38"/>
      <c r="Z25" s="53"/>
    </row>
    <row r="26" spans="1:26">
      <c r="A26" s="52">
        <v>0</v>
      </c>
      <c r="B26" s="38">
        <v>0</v>
      </c>
      <c r="C26" s="39">
        <v>-102.58696315125469</v>
      </c>
      <c r="D26" s="38">
        <v>-25.463875286672909</v>
      </c>
      <c r="E26" s="39">
        <v>-91.723167794945098</v>
      </c>
      <c r="F26" s="38">
        <v>-50.627205901669711</v>
      </c>
      <c r="G26" s="39">
        <v>-75.170037113517509</v>
      </c>
      <c r="H26" s="38">
        <v>-72.302855813844687</v>
      </c>
      <c r="I26" s="39">
        <v>-53.709503825745074</v>
      </c>
      <c r="J26" s="38">
        <v>-88.972873515216932</v>
      </c>
      <c r="K26" s="39">
        <v>-28.762096596227561</v>
      </c>
      <c r="L26" s="38">
        <v>-99.521948710342812</v>
      </c>
      <c r="M26" s="39">
        <v>-2.0193018136506407</v>
      </c>
      <c r="N26" s="38">
        <v>-103.26517855147145</v>
      </c>
      <c r="O26" s="39">
        <v>24.705237051509865</v>
      </c>
      <c r="P26" s="38">
        <v>-99.986536886713353</v>
      </c>
      <c r="Q26" s="39">
        <v>49.608875526000652</v>
      </c>
      <c r="R26" s="38">
        <v>-89.949830771747713</v>
      </c>
      <c r="S26" s="39">
        <v>71.030519005949898</v>
      </c>
      <c r="T26" s="38">
        <v>-73.87871882025361</v>
      </c>
      <c r="U26" s="39">
        <v>87.587138447124943</v>
      </c>
      <c r="V26" s="38">
        <v>-52.90919323591045</v>
      </c>
      <c r="W26" s="39"/>
      <c r="X26" s="38"/>
      <c r="Z26" s="53"/>
    </row>
    <row r="27" spans="1:26">
      <c r="A27" s="52">
        <v>0</v>
      </c>
      <c r="B27" s="38">
        <v>0</v>
      </c>
      <c r="C27" s="39">
        <v>-48.691507696109163</v>
      </c>
      <c r="D27" s="38">
        <v>-12.136928999838338</v>
      </c>
      <c r="E27" s="39">
        <v>-43.626350123076463</v>
      </c>
      <c r="F27" s="38">
        <v>-24.093745274892651</v>
      </c>
      <c r="G27" s="39">
        <v>-35.828265726156303</v>
      </c>
      <c r="H27" s="38">
        <v>-34.470867276337515</v>
      </c>
      <c r="I27" s="39">
        <v>-25.646599819298366</v>
      </c>
      <c r="J27" s="38">
        <v>-42.492682415556175</v>
      </c>
      <c r="K27" s="39">
        <v>-13.75752298771194</v>
      </c>
      <c r="L27" s="38">
        <v>-47.610427214671368</v>
      </c>
      <c r="M27" s="39">
        <v>-0.96744593921491362</v>
      </c>
      <c r="N27" s="38">
        <v>-49.481022925251736</v>
      </c>
      <c r="O27" s="39">
        <v>11.854714604884187</v>
      </c>
      <c r="P27" s="38">
        <v>-47.985059555054718</v>
      </c>
      <c r="Q27" s="39">
        <v>23.839946369836031</v>
      </c>
      <c r="R27" s="38">
        <v>-43.233581847215213</v>
      </c>
      <c r="S27" s="39">
        <v>34.18103802844513</v>
      </c>
      <c r="T27" s="38">
        <v>-35.560457545452117</v>
      </c>
      <c r="U27" s="39">
        <v>42.196852382494953</v>
      </c>
      <c r="V27" s="38">
        <v>-25.502727609678328</v>
      </c>
      <c r="W27" s="39"/>
      <c r="X27" s="38"/>
      <c r="Z27" s="53"/>
    </row>
    <row r="28" spans="1:26">
      <c r="A28" s="52">
        <v>0</v>
      </c>
      <c r="B28" s="38">
        <v>0</v>
      </c>
      <c r="C28" s="39">
        <v>-33.671981632642314</v>
      </c>
      <c r="D28" s="38">
        <v>-8.4686934461945835</v>
      </c>
      <c r="E28" s="39">
        <v>-30.10043024139404</v>
      </c>
      <c r="F28" s="38">
        <v>-16.636528101885084</v>
      </c>
      <c r="G28" s="39">
        <v>-24.732712409885391</v>
      </c>
      <c r="H28" s="38">
        <v>-23.803796112019114</v>
      </c>
      <c r="I28" s="39">
        <v>-17.713820966329486</v>
      </c>
      <c r="J28" s="38">
        <v>-29.355934916894736</v>
      </c>
      <c r="K28" s="39">
        <v>-9.5072250084298009</v>
      </c>
      <c r="L28" s="38">
        <v>-32.907633964391742</v>
      </c>
      <c r="M28" s="39">
        <v>-0.66890838955395227</v>
      </c>
      <c r="N28" s="38">
        <v>-34.217974335770101</v>
      </c>
      <c r="O28" s="39">
        <v>8.2007476049750423</v>
      </c>
      <c r="P28" s="38">
        <v>-33.200760390449219</v>
      </c>
      <c r="Q28" s="39">
        <v>16.500065689968398</v>
      </c>
      <c r="R28" s="38">
        <v>-29.929337673852672</v>
      </c>
      <c r="S28" s="39">
        <v>23.668929787819405</v>
      </c>
      <c r="T28" s="38">
        <v>-24.631907863002887</v>
      </c>
      <c r="U28" s="39">
        <v>29.234366268719675</v>
      </c>
      <c r="V28" s="38">
        <v>-17.680060462475385</v>
      </c>
      <c r="W28" s="39"/>
      <c r="X28" s="38"/>
      <c r="Z28" s="53"/>
    </row>
    <row r="29" spans="1:26">
      <c r="A29" s="52">
        <v>0</v>
      </c>
      <c r="B29" s="38">
        <v>0</v>
      </c>
      <c r="C29" s="39">
        <v>0</v>
      </c>
      <c r="D29" s="38">
        <v>0</v>
      </c>
      <c r="E29" s="39">
        <v>-23.96450142769412</v>
      </c>
      <c r="F29" s="38">
        <v>-13.257287412615055</v>
      </c>
      <c r="G29" s="39">
        <v>-19.69419577452182</v>
      </c>
      <c r="H29" s="38">
        <v>-18.961576083509048</v>
      </c>
      <c r="I29" s="39">
        <v>-14.109314602439206</v>
      </c>
      <c r="J29" s="38">
        <v>-23.388181693179849</v>
      </c>
      <c r="K29" s="39">
        <v>-7.5749723965610585</v>
      </c>
      <c r="L29" s="38">
        <v>-26.224717920420208</v>
      </c>
      <c r="M29" s="39">
        <v>-0.53312551761601079</v>
      </c>
      <c r="N29" s="38">
        <v>-27.277096791427404</v>
      </c>
      <c r="O29" s="39">
        <v>6.5381230268016592</v>
      </c>
      <c r="P29" s="38">
        <v>-26.474817179109525</v>
      </c>
      <c r="Q29" s="39">
        <v>13.159031595280494</v>
      </c>
      <c r="R29" s="38">
        <v>-23.874697284030521</v>
      </c>
      <c r="S29" s="39">
        <v>18.882552143981862</v>
      </c>
      <c r="T29" s="38">
        <v>-19.657541451861388</v>
      </c>
      <c r="U29" s="39">
        <v>23.332332646125629</v>
      </c>
      <c r="V29" s="38">
        <v>-14.121310979357217</v>
      </c>
      <c r="W29" s="39"/>
      <c r="X29" s="38"/>
      <c r="Z29" s="53"/>
    </row>
    <row r="30" spans="1:26">
      <c r="A30" s="52">
        <v>0</v>
      </c>
      <c r="B30" s="38">
        <v>0</v>
      </c>
      <c r="C30" s="39">
        <v>0</v>
      </c>
      <c r="D30" s="38">
        <v>0</v>
      </c>
      <c r="E30" s="39">
        <v>-20.248601428221647</v>
      </c>
      <c r="F30" s="38">
        <v>-11.214658241825164</v>
      </c>
      <c r="G30" s="39">
        <v>-16.643825566266091</v>
      </c>
      <c r="H30" s="38">
        <v>-16.031504909481317</v>
      </c>
      <c r="I30" s="39">
        <v>-11.929068952586416</v>
      </c>
      <c r="J30" s="38">
        <v>-19.779577150147734</v>
      </c>
      <c r="K30" s="39">
        <v>-6.4073760669293929</v>
      </c>
      <c r="L30" s="38">
        <v>-22.187425992868857</v>
      </c>
      <c r="M30" s="39">
        <v>-0.45116142648819296</v>
      </c>
      <c r="N30" s="38">
        <v>-23.088241275845181</v>
      </c>
      <c r="O30" s="39">
        <v>5.535571544106701</v>
      </c>
      <c r="P30" s="38">
        <v>-22.42008406688398</v>
      </c>
      <c r="Q30" s="39">
        <v>11.14665630188418</v>
      </c>
      <c r="R30" s="38">
        <v>-20.228926114994646</v>
      </c>
      <c r="S30" s="39">
        <v>16.003059485825677</v>
      </c>
      <c r="T30" s="38">
        <v>-16.666320963585367</v>
      </c>
      <c r="U30" s="39">
        <v>19.787307184845808</v>
      </c>
      <c r="V30" s="38">
        <v>-11.986730657163774</v>
      </c>
      <c r="W30" s="39"/>
      <c r="X30" s="38"/>
      <c r="Z30" s="53"/>
    </row>
    <row r="31" spans="1:26" ht="15.75" thickBot="1">
      <c r="A31" s="54"/>
      <c r="B31" s="56"/>
      <c r="C31" s="58"/>
      <c r="D31" s="56"/>
      <c r="E31" s="58"/>
      <c r="F31" s="56"/>
      <c r="G31" s="58"/>
      <c r="H31" s="56"/>
      <c r="I31" s="58"/>
      <c r="J31" s="56"/>
      <c r="K31" s="58"/>
      <c r="L31" s="56"/>
      <c r="M31" s="58"/>
      <c r="N31" s="56"/>
      <c r="O31" s="58"/>
      <c r="P31" s="56"/>
      <c r="Q31" s="58"/>
      <c r="R31" s="56"/>
      <c r="S31" s="58"/>
      <c r="T31" s="56"/>
      <c r="U31" s="58"/>
      <c r="V31" s="56"/>
      <c r="W31" s="58"/>
      <c r="X31" s="56"/>
      <c r="Y31" s="4"/>
      <c r="Z31" s="3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740B5-1BA1-4F56-B199-3C7F1D90B163}">
  <sheetPr codeName="Sheet4"/>
  <dimension ref="A1:V30"/>
  <sheetViews>
    <sheetView workbookViewId="0"/>
  </sheetViews>
  <sheetFormatPr defaultRowHeight="15"/>
  <sheetData>
    <row r="1" spans="1:22" ht="19.5">
      <c r="A1" s="129" t="s">
        <v>19</v>
      </c>
      <c r="B1" s="129" t="s">
        <v>26</v>
      </c>
      <c r="C1" s="129" t="s">
        <v>13</v>
      </c>
      <c r="D1" s="129" t="s">
        <v>2</v>
      </c>
      <c r="E1" s="129" t="s">
        <v>27</v>
      </c>
      <c r="G1" s="174" t="s">
        <v>145</v>
      </c>
      <c r="K1" s="172" t="s">
        <v>25</v>
      </c>
      <c r="L1" s="172" t="s">
        <v>21</v>
      </c>
      <c r="M1" s="172" t="s">
        <v>20</v>
      </c>
      <c r="N1" s="172" t="s">
        <v>23</v>
      </c>
      <c r="O1" s="172" t="s">
        <v>24</v>
      </c>
      <c r="P1" s="172" t="s">
        <v>28</v>
      </c>
      <c r="Q1" s="172" t="s">
        <v>29</v>
      </c>
    </row>
    <row r="2" spans="1:22">
      <c r="A2" t="str">
        <f>Enter!B2</f>
        <v>تبریز</v>
      </c>
      <c r="B2">
        <v>51.3797</v>
      </c>
      <c r="C2">
        <v>35.7029</v>
      </c>
      <c r="D2">
        <v>1210</v>
      </c>
      <c r="E2">
        <v>3.5</v>
      </c>
      <c r="K2">
        <v>35.7029</v>
      </c>
      <c r="L2">
        <v>0</v>
      </c>
      <c r="M2">
        <v>10</v>
      </c>
      <c r="N2">
        <v>10</v>
      </c>
      <c r="O2">
        <v>-90.000000000000171</v>
      </c>
      <c r="P2">
        <v>0</v>
      </c>
      <c r="Q2">
        <v>-1.2246063538223773E-15</v>
      </c>
    </row>
    <row r="5" spans="1:22" s="6" customFormat="1">
      <c r="B5" s="6" t="s">
        <v>53</v>
      </c>
      <c r="D5" s="6" t="s">
        <v>54</v>
      </c>
      <c r="F5" s="6" t="s">
        <v>55</v>
      </c>
      <c r="H5" s="6" t="s">
        <v>56</v>
      </c>
      <c r="J5" s="6" t="s">
        <v>57</v>
      </c>
      <c r="L5" s="6" t="s">
        <v>58</v>
      </c>
      <c r="N5" s="6" t="s">
        <v>59</v>
      </c>
      <c r="P5" s="6" t="s">
        <v>60</v>
      </c>
      <c r="R5" s="6" t="s">
        <v>16</v>
      </c>
      <c r="T5" s="6" t="s">
        <v>17</v>
      </c>
      <c r="V5" s="6" t="s">
        <v>18</v>
      </c>
    </row>
    <row r="6" spans="1:22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</row>
    <row r="7" spans="1:22">
      <c r="A7">
        <v>-40.348344383474114</v>
      </c>
      <c r="B7">
        <v>-18.034065142155878</v>
      </c>
      <c r="C7">
        <v>-40.384818062955716</v>
      </c>
      <c r="D7">
        <v>-4.1442400658818936</v>
      </c>
      <c r="E7">
        <v>-40.393953332014028</v>
      </c>
      <c r="F7">
        <v>-8.4743347106529647</v>
      </c>
      <c r="G7">
        <v>-40.385528484594403</v>
      </c>
      <c r="H7">
        <v>-12.124673365354807</v>
      </c>
      <c r="I7">
        <v>-40.368394261513387</v>
      </c>
      <c r="J7">
        <v>-15.287879814370385</v>
      </c>
      <c r="K7">
        <v>-40.358588057493378</v>
      </c>
      <c r="L7">
        <v>-2.7239376332579479E-3</v>
      </c>
      <c r="M7">
        <v>-40.287254785977467</v>
      </c>
      <c r="N7">
        <v>3.9271320203305935</v>
      </c>
      <c r="O7">
        <v>-40.11847453071335</v>
      </c>
      <c r="P7">
        <v>8.2393165520974385</v>
      </c>
      <c r="Q7">
        <v>-39.760539033058016</v>
      </c>
      <c r="R7">
        <v>11.808196935612841</v>
      </c>
    </row>
    <row r="8" spans="1:22">
      <c r="A8">
        <v>-18.11018385504736</v>
      </c>
      <c r="B8">
        <v>-8.9721576331819062</v>
      </c>
      <c r="C8">
        <v>-18.12313269331354</v>
      </c>
      <c r="D8">
        <v>-2.0624275344725684</v>
      </c>
      <c r="E8">
        <v>-18.122155042589455</v>
      </c>
      <c r="F8">
        <v>-4.2164582288391088</v>
      </c>
      <c r="G8">
        <v>-18.119023781598472</v>
      </c>
      <c r="H8">
        <v>-6.0323754485615142</v>
      </c>
      <c r="I8">
        <v>-18.114739543893165</v>
      </c>
      <c r="J8">
        <v>-7.6066268511806978</v>
      </c>
      <c r="K8">
        <v>-18.122701597063362</v>
      </c>
      <c r="L8">
        <v>1.1909418605848045E-2</v>
      </c>
      <c r="M8">
        <v>-18.117367166794406</v>
      </c>
      <c r="N8">
        <v>1.9752225748784531</v>
      </c>
      <c r="O8">
        <v>-18.106919295995915</v>
      </c>
      <c r="P8">
        <v>4.150454769861204</v>
      </c>
      <c r="Q8">
        <v>-18.092975924455857</v>
      </c>
      <c r="R8">
        <v>6.0108695388594056</v>
      </c>
      <c r="S8">
        <v>-18.076474230233963</v>
      </c>
      <c r="T8">
        <v>7.5430211994079697</v>
      </c>
      <c r="U8">
        <v>-18.055477921479856</v>
      </c>
      <c r="V8">
        <v>8.9169012415419786</v>
      </c>
    </row>
    <row r="9" spans="1:22">
      <c r="A9">
        <v>-10.39235439915524</v>
      </c>
      <c r="B9">
        <v>-6.2539504198951628</v>
      </c>
      <c r="C9">
        <v>-10.397698038329795</v>
      </c>
      <c r="D9">
        <v>-1.4401258200198654</v>
      </c>
      <c r="E9">
        <v>-10.397070553188508</v>
      </c>
      <c r="F9">
        <v>-2.9413041294147053</v>
      </c>
      <c r="G9">
        <v>-10.395765350134329</v>
      </c>
      <c r="H9">
        <v>-4.2068001383675</v>
      </c>
      <c r="I9">
        <v>-10.394092793891041</v>
      </c>
      <c r="J9">
        <v>-5.3037941459882108</v>
      </c>
      <c r="K9">
        <v>-10.39793048282784</v>
      </c>
      <c r="L9">
        <v>1.4020848663747447E-2</v>
      </c>
      <c r="M9">
        <v>-10.396551597775728</v>
      </c>
      <c r="N9">
        <v>1.3830712338315463</v>
      </c>
      <c r="O9">
        <v>-10.393781345545248</v>
      </c>
      <c r="P9">
        <v>2.9010004070493558</v>
      </c>
      <c r="Q9">
        <v>-10.390238722216754</v>
      </c>
      <c r="R9">
        <v>4.2010106089552286</v>
      </c>
      <c r="S9">
        <v>-10.386370672873515</v>
      </c>
      <c r="T9">
        <v>5.2738232075006737</v>
      </c>
      <c r="U9">
        <v>-10.381948332512826</v>
      </c>
      <c r="V9">
        <v>6.2377175795179349</v>
      </c>
    </row>
    <row r="10" spans="1:22">
      <c r="A10">
        <v>-6.0345072320616051</v>
      </c>
      <c r="B10">
        <v>-5.0643098751483402</v>
      </c>
      <c r="C10">
        <v>-6.0369746481999833</v>
      </c>
      <c r="D10">
        <v>-1.168860831799879</v>
      </c>
      <c r="E10">
        <v>-6.0366513473633763</v>
      </c>
      <c r="F10">
        <v>-2.3842405919634828</v>
      </c>
      <c r="G10">
        <v>-6.0360462451208603</v>
      </c>
      <c r="H10">
        <v>-3.4086999623580998</v>
      </c>
      <c r="I10">
        <v>-6.0352880808107514</v>
      </c>
      <c r="J10">
        <v>-4.296552106619095</v>
      </c>
      <c r="K10">
        <v>-6.0371399108790635</v>
      </c>
      <c r="L10">
        <v>1.5247071615302551E-2</v>
      </c>
      <c r="M10">
        <v>-6.036615622688549</v>
      </c>
      <c r="N10">
        <v>1.1239380729104556</v>
      </c>
      <c r="O10">
        <v>-6.0355332639366122</v>
      </c>
      <c r="P10">
        <v>2.3533463720188723</v>
      </c>
      <c r="Q10">
        <v>-6.0341532356153813</v>
      </c>
      <c r="R10">
        <v>3.4064661978266009</v>
      </c>
      <c r="S10">
        <v>-6.0326684594525615</v>
      </c>
      <c r="T10">
        <v>4.2756637224671525</v>
      </c>
      <c r="U10">
        <v>-6.0310030199494511</v>
      </c>
      <c r="V10">
        <v>5.0557198084112107</v>
      </c>
    </row>
    <row r="11" spans="1:22">
      <c r="A11">
        <v>-2.8891164328492827</v>
      </c>
      <c r="B11">
        <v>-4.5131617276093197</v>
      </c>
      <c r="C11">
        <v>-2.8901486235959855</v>
      </c>
      <c r="D11">
        <v>-1.0443122368564033</v>
      </c>
      <c r="E11">
        <v>-2.8900076959285741</v>
      </c>
      <c r="F11">
        <v>-2.127204108174515</v>
      </c>
      <c r="G11">
        <v>-2.889754040675423</v>
      </c>
      <c r="H11">
        <v>-3.0398514482117229</v>
      </c>
      <c r="I11">
        <v>-2.8894391948517804</v>
      </c>
      <c r="J11">
        <v>-3.8305674555352316</v>
      </c>
      <c r="K11">
        <v>-2.8902271055164785</v>
      </c>
      <c r="L11">
        <v>1.6777364737457397E-2</v>
      </c>
      <c r="M11">
        <v>-2.8900254636230294</v>
      </c>
      <c r="N11">
        <v>1.0048034759753934</v>
      </c>
      <c r="O11">
        <v>-2.8896029278797339</v>
      </c>
      <c r="P11">
        <v>2.1003802286652031</v>
      </c>
      <c r="Q11">
        <v>-2.8890636800923621</v>
      </c>
      <c r="R11">
        <v>3.0388085666750198</v>
      </c>
      <c r="S11">
        <v>-2.8884857482728896</v>
      </c>
      <c r="T11">
        <v>3.813196401328431</v>
      </c>
      <c r="U11">
        <v>-2.8878410992734125</v>
      </c>
      <c r="V11">
        <v>4.5070572869579442</v>
      </c>
    </row>
    <row r="12" spans="1:22">
      <c r="A12">
        <v>-0.19548627172582891</v>
      </c>
      <c r="B12">
        <v>-4.3366070773283889</v>
      </c>
      <c r="C12">
        <v>-0.19555272886850245</v>
      </c>
      <c r="D12">
        <v>-1.0061786898712883</v>
      </c>
      <c r="E12">
        <v>-0.19554352424817487</v>
      </c>
      <c r="F12">
        <v>-2.0464999022035149</v>
      </c>
      <c r="G12">
        <v>-0.19552717051703294</v>
      </c>
      <c r="H12">
        <v>-2.9231102617431488</v>
      </c>
      <c r="I12">
        <v>-0.19550693702793087</v>
      </c>
      <c r="J12">
        <v>-3.6823435959057909</v>
      </c>
      <c r="K12">
        <v>-0.19555797313864348</v>
      </c>
      <c r="L12">
        <v>1.9026721180503983E-2</v>
      </c>
      <c r="M12">
        <v>-0.19554527886121784</v>
      </c>
      <c r="N12">
        <v>0.96838064294978343</v>
      </c>
      <c r="O12">
        <v>-0.19551858106818296</v>
      </c>
      <c r="P12">
        <v>2.0209768126876342</v>
      </c>
      <c r="Q12">
        <v>-0.19548450851891111</v>
      </c>
      <c r="R12">
        <v>2.9224406745627634</v>
      </c>
      <c r="S12">
        <v>-0.19544804261703796</v>
      </c>
      <c r="T12">
        <v>3.6660793032573489</v>
      </c>
      <c r="U12">
        <v>-0.19540744619651007</v>
      </c>
      <c r="V12">
        <v>4.3312090689479712</v>
      </c>
    </row>
    <row r="13" spans="1:22">
      <c r="A13">
        <v>2.4700880799439</v>
      </c>
      <c r="B13">
        <v>-4.4661347172178543</v>
      </c>
      <c r="C13">
        <v>2.4709593758240662</v>
      </c>
      <c r="D13">
        <v>-1.0391760093265441</v>
      </c>
      <c r="E13">
        <v>2.4708396347565293</v>
      </c>
      <c r="F13">
        <v>-2.11035816783005</v>
      </c>
      <c r="G13">
        <v>2.4706252328583331</v>
      </c>
      <c r="H13">
        <v>-3.0127839925585898</v>
      </c>
      <c r="I13">
        <v>2.4703596116993749</v>
      </c>
      <c r="J13">
        <v>-3.7940768750128688</v>
      </c>
      <c r="K13">
        <v>2.4710258403209098</v>
      </c>
      <c r="L13">
        <v>2.2453009998034883E-2</v>
      </c>
      <c r="M13">
        <v>2.4708563593417967</v>
      </c>
      <c r="N13">
        <v>1.0001346492608214</v>
      </c>
      <c r="O13">
        <v>2.4705011757426076</v>
      </c>
      <c r="P13">
        <v>2.0839819920462093</v>
      </c>
      <c r="Q13">
        <v>2.470048127974243</v>
      </c>
      <c r="R13">
        <v>3.0119792084269914</v>
      </c>
      <c r="S13">
        <v>2.4695630502637433</v>
      </c>
      <c r="T13">
        <v>3.7771743360292738</v>
      </c>
      <c r="U13">
        <v>2.4690235449576767</v>
      </c>
      <c r="V13">
        <v>4.4602865761643846</v>
      </c>
    </row>
    <row r="14" spans="1:22">
      <c r="A14">
        <v>5.5132870449152103</v>
      </c>
      <c r="B14">
        <v>-4.9512962025475566</v>
      </c>
      <c r="C14">
        <v>5.5154836736113939</v>
      </c>
      <c r="D14">
        <v>-1.1555081350334828</v>
      </c>
      <c r="E14">
        <v>5.5151912177877804</v>
      </c>
      <c r="F14">
        <v>-2.3428213912249349</v>
      </c>
      <c r="G14">
        <v>5.5146511116360966</v>
      </c>
      <c r="H14">
        <v>-3.3428420118408191</v>
      </c>
      <c r="I14">
        <v>5.5139771581933799</v>
      </c>
      <c r="J14">
        <v>-4.2082585750390296</v>
      </c>
      <c r="K14">
        <v>5.5156325935122821</v>
      </c>
      <c r="L14">
        <v>2.7887978510967651E-2</v>
      </c>
      <c r="M14">
        <v>5.5151716351624582</v>
      </c>
      <c r="N14">
        <v>1.1117308297527859</v>
      </c>
      <c r="O14">
        <v>5.5142195837682184</v>
      </c>
      <c r="P14">
        <v>2.3130167737059883</v>
      </c>
      <c r="Q14">
        <v>5.5130072939714365</v>
      </c>
      <c r="R14">
        <v>3.3412032397684173</v>
      </c>
      <c r="S14">
        <v>5.511706154315263</v>
      </c>
      <c r="T14">
        <v>4.1885347826750561</v>
      </c>
      <c r="U14">
        <v>5.5102560751466392</v>
      </c>
      <c r="V14">
        <v>4.9434161473294829</v>
      </c>
    </row>
    <row r="15" spans="1:22">
      <c r="A15">
        <v>9.6106970639866525</v>
      </c>
      <c r="B15">
        <v>-6.0142298435077528</v>
      </c>
      <c r="C15">
        <v>9.6154428094121833</v>
      </c>
      <c r="D15">
        <v>-1.408087046315563</v>
      </c>
      <c r="E15">
        <v>9.6148640467707711</v>
      </c>
      <c r="F15">
        <v>-2.8500041453110923</v>
      </c>
      <c r="G15">
        <v>9.613699878595682</v>
      </c>
      <c r="H15">
        <v>-4.0641226030194666</v>
      </c>
      <c r="I15">
        <v>9.6122203990248103</v>
      </c>
      <c r="J15">
        <v>-5.1142996151602995</v>
      </c>
      <c r="K15">
        <v>9.6156617106943862</v>
      </c>
      <c r="L15">
        <v>3.7175584771260553E-2</v>
      </c>
      <c r="M15">
        <v>9.6144762849456846</v>
      </c>
      <c r="N15">
        <v>1.3535697640249551</v>
      </c>
      <c r="O15">
        <v>9.6120917411583147</v>
      </c>
      <c r="P15">
        <v>2.8121122983916313</v>
      </c>
      <c r="Q15">
        <v>9.6090525831213096</v>
      </c>
      <c r="R15">
        <v>4.0597748479807967</v>
      </c>
      <c r="S15">
        <v>9.6057547126239715</v>
      </c>
      <c r="T15">
        <v>5.0871061493058933</v>
      </c>
      <c r="U15">
        <v>9.6020348586776425</v>
      </c>
      <c r="V15">
        <v>6.0001244556907292</v>
      </c>
    </row>
    <row r="16" spans="1:22">
      <c r="A16">
        <v>16.547458234710561</v>
      </c>
      <c r="B16">
        <v>-8.385036988498543</v>
      </c>
      <c r="C16">
        <v>16.55867638255932</v>
      </c>
      <c r="D16">
        <v>-1.9703693228623265</v>
      </c>
      <c r="E16">
        <v>16.557681767419428</v>
      </c>
      <c r="F16">
        <v>-3.9802580184935721</v>
      </c>
      <c r="G16">
        <v>16.554948842571072</v>
      </c>
      <c r="H16">
        <v>-5.6720261049849894</v>
      </c>
      <c r="I16">
        <v>16.55128947963982</v>
      </c>
      <c r="J16">
        <v>-7.1344441443558182</v>
      </c>
      <c r="K16">
        <v>16.558447380855334</v>
      </c>
      <c r="L16">
        <v>5.5376205299042268E-2</v>
      </c>
      <c r="M16">
        <v>16.55423813714058</v>
      </c>
      <c r="N16">
        <v>1.8900307089189763</v>
      </c>
      <c r="O16">
        <v>16.546015402086311</v>
      </c>
      <c r="P16">
        <v>3.9211492013916818</v>
      </c>
      <c r="Q16">
        <v>16.535218491343649</v>
      </c>
      <c r="R16">
        <v>5.6560892544594026</v>
      </c>
      <c r="S16">
        <v>16.522780838289897</v>
      </c>
      <c r="T16">
        <v>7.0814954890648227</v>
      </c>
      <c r="U16">
        <v>16.507676488934912</v>
      </c>
      <c r="V16">
        <v>8.3425583555792517</v>
      </c>
    </row>
    <row r="17" spans="1:22">
      <c r="A17">
        <v>34.51496649254419</v>
      </c>
      <c r="B17">
        <v>-15.588593394744672</v>
      </c>
      <c r="C17">
        <v>34.54725314640887</v>
      </c>
      <c r="D17">
        <v>-3.6809723786741753</v>
      </c>
      <c r="E17">
        <v>34.550789425710477</v>
      </c>
      <c r="F17">
        <v>-7.416540711860673</v>
      </c>
      <c r="G17">
        <v>34.543144975340901</v>
      </c>
      <c r="H17">
        <v>-10.559476338303631</v>
      </c>
      <c r="I17">
        <v>34.529863576951279</v>
      </c>
      <c r="J17">
        <v>-13.273550893807002</v>
      </c>
      <c r="K17">
        <v>34.532237278998878</v>
      </c>
      <c r="L17">
        <v>0.10258087442590574</v>
      </c>
      <c r="M17">
        <v>34.490475037775703</v>
      </c>
      <c r="N17">
        <v>3.5037142550634468</v>
      </c>
      <c r="O17">
        <v>34.398919791052094</v>
      </c>
      <c r="P17">
        <v>7.2464149828814</v>
      </c>
      <c r="Q17">
        <v>34.232047492552482</v>
      </c>
      <c r="R17">
        <v>10.389517855749862</v>
      </c>
      <c r="S17">
        <v>33.917459399578817</v>
      </c>
      <c r="T17">
        <v>12.851162762007164</v>
      </c>
    </row>
    <row r="18" spans="1:22">
      <c r="A18">
        <v>484.24443463982755</v>
      </c>
      <c r="B18">
        <v>-210.26969210817649</v>
      </c>
      <c r="C18">
        <v>465.8336173587889</v>
      </c>
      <c r="D18">
        <v>-48.33787440025953</v>
      </c>
      <c r="E18">
        <v>481.7065027750092</v>
      </c>
      <c r="F18">
        <v>-99.775236096184315</v>
      </c>
      <c r="G18">
        <v>485.86702393658936</v>
      </c>
      <c r="H18">
        <v>-143.02698403668836</v>
      </c>
      <c r="I18">
        <v>485.85903549096395</v>
      </c>
      <c r="J18">
        <v>-179.69510778111078</v>
      </c>
      <c r="K18">
        <v>417.58788241450816</v>
      </c>
      <c r="L18">
        <v>0.14012712939705035</v>
      </c>
    </row>
    <row r="19" spans="1:22" s="6" customFormat="1">
      <c r="B19" s="6">
        <v>6</v>
      </c>
      <c r="D19" s="6">
        <v>7</v>
      </c>
      <c r="F19" s="6">
        <v>8</v>
      </c>
      <c r="H19" s="6">
        <v>9</v>
      </c>
      <c r="J19" s="6">
        <v>10</v>
      </c>
      <c r="L19" s="6">
        <v>11</v>
      </c>
      <c r="N19" s="6">
        <v>12</v>
      </c>
      <c r="P19" s="6">
        <v>13</v>
      </c>
      <c r="R19" s="6">
        <v>14</v>
      </c>
      <c r="T19" s="6">
        <v>15</v>
      </c>
      <c r="V19" s="6">
        <v>16</v>
      </c>
    </row>
    <row r="20" spans="1:22">
      <c r="A20">
        <v>99999</v>
      </c>
      <c r="B20">
        <v>99999</v>
      </c>
      <c r="C20">
        <v>-40.348344383474114</v>
      </c>
      <c r="D20">
        <v>-18.034065142155878</v>
      </c>
      <c r="E20">
        <v>-18.11018385504736</v>
      </c>
      <c r="F20">
        <v>-8.9721576331819062</v>
      </c>
      <c r="G20">
        <v>-10.39235439915524</v>
      </c>
      <c r="H20">
        <v>-6.2539504198951628</v>
      </c>
      <c r="I20">
        <v>-6.0345072320616051</v>
      </c>
      <c r="J20">
        <v>-5.0643098751483402</v>
      </c>
      <c r="K20">
        <v>-2.8891164328492827</v>
      </c>
      <c r="L20">
        <v>-4.5131617276093197</v>
      </c>
      <c r="M20">
        <v>-0.19548627172582891</v>
      </c>
      <c r="N20">
        <v>-4.3366070773283889</v>
      </c>
      <c r="O20">
        <v>2.4700880799439</v>
      </c>
      <c r="P20">
        <v>-4.4661347172178543</v>
      </c>
      <c r="Q20">
        <v>5.5132870449152103</v>
      </c>
      <c r="R20">
        <v>-4.9512962025475566</v>
      </c>
      <c r="S20">
        <v>9.6106970639866525</v>
      </c>
      <c r="T20">
        <v>-6.0142298435077528</v>
      </c>
      <c r="U20">
        <v>16.547458234710561</v>
      </c>
      <c r="V20">
        <v>-8.385036988498543</v>
      </c>
    </row>
    <row r="21" spans="1:22">
      <c r="A21">
        <v>99999</v>
      </c>
      <c r="B21">
        <v>99999</v>
      </c>
      <c r="C21">
        <v>-40.384818062955716</v>
      </c>
      <c r="D21">
        <v>-4.1442400658818936</v>
      </c>
      <c r="E21">
        <v>-18.12313269331354</v>
      </c>
      <c r="F21">
        <v>-2.0624275344725684</v>
      </c>
      <c r="G21">
        <v>-10.397698038329795</v>
      </c>
      <c r="H21">
        <v>-1.4401258200198654</v>
      </c>
      <c r="I21">
        <v>-6.0369746481999833</v>
      </c>
      <c r="J21">
        <v>-1.168860831799879</v>
      </c>
      <c r="K21">
        <v>-2.8901486235959855</v>
      </c>
      <c r="L21">
        <v>-1.0443122368564033</v>
      </c>
      <c r="M21">
        <v>-0.19555272886850245</v>
      </c>
      <c r="N21">
        <v>-1.0061786898712883</v>
      </c>
      <c r="O21">
        <v>2.4709593758240662</v>
      </c>
      <c r="P21">
        <v>-1.0391760093265441</v>
      </c>
      <c r="Q21">
        <v>5.5154836736113939</v>
      </c>
      <c r="R21">
        <v>-1.1555081350334828</v>
      </c>
      <c r="S21">
        <v>9.6154428094121833</v>
      </c>
      <c r="T21">
        <v>-1.408087046315563</v>
      </c>
      <c r="U21">
        <v>16.55867638255932</v>
      </c>
      <c r="V21">
        <v>-1.9703693228623265</v>
      </c>
    </row>
    <row r="22" spans="1:22">
      <c r="A22">
        <v>99999</v>
      </c>
      <c r="B22">
        <v>99999</v>
      </c>
      <c r="C22">
        <v>-40.393953332014028</v>
      </c>
      <c r="D22">
        <v>-8.4743347106529647</v>
      </c>
      <c r="E22">
        <v>-18.122155042589455</v>
      </c>
      <c r="F22">
        <v>-4.2164582288391088</v>
      </c>
      <c r="G22">
        <v>-10.397070553188508</v>
      </c>
      <c r="H22">
        <v>-2.9413041294147053</v>
      </c>
      <c r="I22">
        <v>-6.0366513473633763</v>
      </c>
      <c r="J22">
        <v>-2.3842405919634828</v>
      </c>
      <c r="K22">
        <v>-2.8900076959285741</v>
      </c>
      <c r="L22">
        <v>-2.127204108174515</v>
      </c>
      <c r="M22">
        <v>-0.19554352424817487</v>
      </c>
      <c r="N22">
        <v>-2.0464999022035149</v>
      </c>
      <c r="O22">
        <v>2.4708396347565293</v>
      </c>
      <c r="P22">
        <v>-2.11035816783005</v>
      </c>
      <c r="Q22">
        <v>5.5151912177877804</v>
      </c>
      <c r="R22">
        <v>-2.3428213912249349</v>
      </c>
      <c r="S22">
        <v>9.6148640467707711</v>
      </c>
      <c r="T22">
        <v>-2.8500041453110923</v>
      </c>
      <c r="U22">
        <v>16.557681767419428</v>
      </c>
      <c r="V22">
        <v>-3.9802580184935721</v>
      </c>
    </row>
    <row r="23" spans="1:22">
      <c r="A23">
        <v>99999</v>
      </c>
      <c r="B23">
        <v>99999</v>
      </c>
      <c r="C23">
        <v>-40.385528484594403</v>
      </c>
      <c r="D23">
        <v>-12.124673365354807</v>
      </c>
      <c r="E23">
        <v>-18.119023781598472</v>
      </c>
      <c r="F23">
        <v>-6.0323754485615142</v>
      </c>
      <c r="G23">
        <v>-10.395765350134329</v>
      </c>
      <c r="H23">
        <v>-4.2068001383675</v>
      </c>
      <c r="I23">
        <v>-6.0360462451208603</v>
      </c>
      <c r="J23">
        <v>-3.4086999623580998</v>
      </c>
      <c r="K23">
        <v>-2.889754040675423</v>
      </c>
      <c r="L23">
        <v>-3.0398514482117229</v>
      </c>
      <c r="M23">
        <v>-0.19552717051703294</v>
      </c>
      <c r="N23">
        <v>-2.9231102617431488</v>
      </c>
      <c r="O23">
        <v>2.4706252328583331</v>
      </c>
      <c r="P23">
        <v>-3.0127839925585898</v>
      </c>
      <c r="Q23">
        <v>5.5146511116360966</v>
      </c>
      <c r="R23">
        <v>-3.3428420118408191</v>
      </c>
      <c r="S23">
        <v>9.613699878595682</v>
      </c>
      <c r="T23">
        <v>-4.0641226030194666</v>
      </c>
      <c r="U23">
        <v>16.554948842571072</v>
      </c>
      <c r="V23">
        <v>-5.6720261049849894</v>
      </c>
    </row>
    <row r="24" spans="1:22">
      <c r="A24">
        <v>99999</v>
      </c>
      <c r="B24">
        <v>99999</v>
      </c>
      <c r="C24">
        <v>-40.368394261513387</v>
      </c>
      <c r="D24">
        <v>-15.287879814370385</v>
      </c>
      <c r="E24">
        <v>-18.114739543893165</v>
      </c>
      <c r="F24">
        <v>-7.6066268511806978</v>
      </c>
      <c r="G24">
        <v>-10.394092793891041</v>
      </c>
      <c r="H24">
        <v>-5.3037941459882108</v>
      </c>
      <c r="I24">
        <v>-6.0352880808107514</v>
      </c>
      <c r="J24">
        <v>-4.296552106619095</v>
      </c>
      <c r="K24">
        <v>-2.8894391948517804</v>
      </c>
      <c r="L24">
        <v>-3.8305674555352316</v>
      </c>
      <c r="M24">
        <v>-0.19550693702793087</v>
      </c>
      <c r="N24">
        <v>-3.6823435959057909</v>
      </c>
      <c r="O24">
        <v>2.4703596116993749</v>
      </c>
      <c r="P24">
        <v>-3.7940768750128688</v>
      </c>
      <c r="Q24">
        <v>5.5139771581933799</v>
      </c>
      <c r="R24">
        <v>-4.2082585750390296</v>
      </c>
      <c r="S24">
        <v>9.6122203990248103</v>
      </c>
      <c r="T24">
        <v>-5.1142996151602995</v>
      </c>
      <c r="U24">
        <v>16.55128947963982</v>
      </c>
      <c r="V24">
        <v>-7.1344441443558182</v>
      </c>
    </row>
    <row r="25" spans="1:22">
      <c r="A25">
        <v>0</v>
      </c>
      <c r="B25">
        <v>0</v>
      </c>
      <c r="C25">
        <v>-40.358588057493378</v>
      </c>
      <c r="D25">
        <v>-2.7239376332579479E-3</v>
      </c>
      <c r="E25">
        <v>-18.122701597063362</v>
      </c>
      <c r="F25">
        <v>1.1909418605848045E-2</v>
      </c>
      <c r="G25">
        <v>-10.39793048282784</v>
      </c>
      <c r="H25">
        <v>1.4020848663747447E-2</v>
      </c>
      <c r="I25">
        <v>-6.0371399108790635</v>
      </c>
      <c r="J25">
        <v>1.5247071615302551E-2</v>
      </c>
      <c r="K25">
        <v>-2.8902271055164785</v>
      </c>
      <c r="L25">
        <v>1.6777364737457397E-2</v>
      </c>
      <c r="M25">
        <v>-0.19555797313864348</v>
      </c>
      <c r="N25">
        <v>1.9026721180503983E-2</v>
      </c>
      <c r="O25">
        <v>2.4710258403209098</v>
      </c>
      <c r="P25">
        <v>2.2453009998034883E-2</v>
      </c>
      <c r="Q25">
        <v>5.5156325935122821</v>
      </c>
      <c r="R25">
        <v>2.7887978510967651E-2</v>
      </c>
      <c r="S25">
        <v>9.6156617106943862</v>
      </c>
      <c r="T25">
        <v>3.7175584771260553E-2</v>
      </c>
      <c r="U25">
        <v>16.558447380855334</v>
      </c>
      <c r="V25">
        <v>5.5376205299042268E-2</v>
      </c>
    </row>
    <row r="26" spans="1:22">
      <c r="A26">
        <v>0</v>
      </c>
      <c r="B26">
        <v>0</v>
      </c>
      <c r="C26">
        <v>-40.287254785977467</v>
      </c>
      <c r="D26">
        <v>3.9271320203305935</v>
      </c>
      <c r="E26">
        <v>-18.117367166794406</v>
      </c>
      <c r="F26">
        <v>1.9752225748784531</v>
      </c>
      <c r="G26">
        <v>-10.396551597775728</v>
      </c>
      <c r="H26">
        <v>1.3830712338315463</v>
      </c>
      <c r="I26">
        <v>-6.036615622688549</v>
      </c>
      <c r="J26">
        <v>1.1239380729104556</v>
      </c>
      <c r="K26">
        <v>-2.8900254636230294</v>
      </c>
      <c r="L26">
        <v>1.0048034759753934</v>
      </c>
      <c r="M26">
        <v>-0.19554527886121784</v>
      </c>
      <c r="N26">
        <v>0.96838064294978343</v>
      </c>
      <c r="O26">
        <v>2.4708563593417967</v>
      </c>
      <c r="P26">
        <v>1.0001346492608214</v>
      </c>
      <c r="Q26">
        <v>5.5151716351624582</v>
      </c>
      <c r="R26">
        <v>1.1117308297527859</v>
      </c>
      <c r="S26">
        <v>9.6144762849456846</v>
      </c>
      <c r="T26">
        <v>1.3535697640249551</v>
      </c>
      <c r="U26">
        <v>16.55423813714058</v>
      </c>
      <c r="V26">
        <v>1.8900307089189763</v>
      </c>
    </row>
    <row r="27" spans="1:22">
      <c r="A27">
        <v>0</v>
      </c>
      <c r="B27">
        <v>0</v>
      </c>
      <c r="C27">
        <v>-40.11847453071335</v>
      </c>
      <c r="D27">
        <v>8.2393165520974385</v>
      </c>
      <c r="E27">
        <v>-18.106919295995915</v>
      </c>
      <c r="F27">
        <v>4.150454769861204</v>
      </c>
      <c r="G27">
        <v>-10.393781345545248</v>
      </c>
      <c r="H27">
        <v>2.9010004070493558</v>
      </c>
      <c r="I27">
        <v>-6.0355332639366122</v>
      </c>
      <c r="J27">
        <v>2.3533463720188723</v>
      </c>
      <c r="K27">
        <v>-2.8896029278797339</v>
      </c>
      <c r="L27">
        <v>2.1003802286652031</v>
      </c>
      <c r="M27">
        <v>-0.19551858106818296</v>
      </c>
      <c r="N27">
        <v>2.0209768126876342</v>
      </c>
      <c r="O27">
        <v>2.4705011757426076</v>
      </c>
      <c r="P27">
        <v>2.0839819920462093</v>
      </c>
      <c r="Q27">
        <v>5.5142195837682184</v>
      </c>
      <c r="R27">
        <v>2.3130167737059883</v>
      </c>
      <c r="S27">
        <v>9.6120917411583147</v>
      </c>
      <c r="T27">
        <v>2.8121122983916313</v>
      </c>
      <c r="U27">
        <v>16.546015402086311</v>
      </c>
      <c r="V27">
        <v>3.9211492013916818</v>
      </c>
    </row>
    <row r="28" spans="1:22">
      <c r="A28">
        <v>0</v>
      </c>
      <c r="B28">
        <v>0</v>
      </c>
      <c r="C28">
        <v>-39.760539033058016</v>
      </c>
      <c r="D28">
        <v>11.808196935612841</v>
      </c>
      <c r="E28">
        <v>-18.092975924455857</v>
      </c>
      <c r="F28">
        <v>6.0108695388594056</v>
      </c>
      <c r="G28">
        <v>-10.390238722216754</v>
      </c>
      <c r="H28">
        <v>4.2010106089552286</v>
      </c>
      <c r="I28">
        <v>-6.0341532356153813</v>
      </c>
      <c r="J28">
        <v>3.4064661978266009</v>
      </c>
      <c r="K28">
        <v>-2.8890636800923621</v>
      </c>
      <c r="L28">
        <v>3.0388085666750198</v>
      </c>
      <c r="M28">
        <v>-0.19548450851891111</v>
      </c>
      <c r="N28">
        <v>2.9224406745627634</v>
      </c>
      <c r="O28">
        <v>2.470048127974243</v>
      </c>
      <c r="P28">
        <v>3.0119792084269914</v>
      </c>
      <c r="Q28">
        <v>5.5130072939714365</v>
      </c>
      <c r="R28">
        <v>3.3412032397684173</v>
      </c>
      <c r="S28">
        <v>9.6090525831213096</v>
      </c>
      <c r="T28">
        <v>4.0597748479807967</v>
      </c>
      <c r="U28">
        <v>16.535218491343649</v>
      </c>
      <c r="V28">
        <v>5.6560892544594026</v>
      </c>
    </row>
    <row r="29" spans="1:22">
      <c r="A29">
        <v>0</v>
      </c>
      <c r="B29">
        <v>0</v>
      </c>
      <c r="C29">
        <v>0</v>
      </c>
      <c r="D29">
        <v>0</v>
      </c>
      <c r="E29">
        <v>-18.076474230233963</v>
      </c>
      <c r="F29">
        <v>7.5430211994079697</v>
      </c>
      <c r="G29">
        <v>-10.386370672873515</v>
      </c>
      <c r="H29">
        <v>5.2738232075006737</v>
      </c>
      <c r="I29">
        <v>-6.0326684594525615</v>
      </c>
      <c r="J29">
        <v>4.2756637224671525</v>
      </c>
      <c r="K29">
        <v>-2.8884857482728896</v>
      </c>
      <c r="L29">
        <v>3.813196401328431</v>
      </c>
      <c r="M29">
        <v>-0.19544804261703796</v>
      </c>
      <c r="N29">
        <v>3.6660793032573489</v>
      </c>
      <c r="O29">
        <v>2.4695630502637433</v>
      </c>
      <c r="P29">
        <v>3.7771743360292738</v>
      </c>
      <c r="Q29">
        <v>5.511706154315263</v>
      </c>
      <c r="R29">
        <v>4.1885347826750561</v>
      </c>
      <c r="S29">
        <v>9.6057547126239715</v>
      </c>
      <c r="T29">
        <v>5.0871061493058933</v>
      </c>
      <c r="U29">
        <v>16.522780838289897</v>
      </c>
      <c r="V29">
        <v>7.0814954890648227</v>
      </c>
    </row>
    <row r="30" spans="1:22">
      <c r="A30">
        <v>0</v>
      </c>
      <c r="B30">
        <v>0</v>
      </c>
      <c r="C30">
        <v>0</v>
      </c>
      <c r="D30">
        <v>0</v>
      </c>
      <c r="E30">
        <v>-18.055477921479856</v>
      </c>
      <c r="F30">
        <v>8.9169012415419786</v>
      </c>
      <c r="G30">
        <v>-10.381948332512826</v>
      </c>
      <c r="H30">
        <v>6.2377175795179349</v>
      </c>
      <c r="I30">
        <v>-6.0310030199494511</v>
      </c>
      <c r="J30">
        <v>5.0557198084112107</v>
      </c>
      <c r="K30">
        <v>-2.8878410992734125</v>
      </c>
      <c r="L30">
        <v>4.5070572869579442</v>
      </c>
      <c r="M30">
        <v>-0.19540744619651007</v>
      </c>
      <c r="N30">
        <v>4.3312090689479712</v>
      </c>
      <c r="O30">
        <v>2.4690235449576767</v>
      </c>
      <c r="P30">
        <v>4.4602865761643846</v>
      </c>
      <c r="Q30">
        <v>5.5102560751466392</v>
      </c>
      <c r="R30">
        <v>4.9434161473294829</v>
      </c>
      <c r="S30">
        <v>9.6020348586776425</v>
      </c>
      <c r="T30">
        <v>6.0001244556907292</v>
      </c>
      <c r="U30">
        <v>16.507676488934912</v>
      </c>
      <c r="V30">
        <v>8.3425583555792517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Enter</vt:lpstr>
      <vt:lpstr>EquSol</vt:lpstr>
      <vt:lpstr>Average</vt:lpstr>
      <vt:lpstr>HourLines</vt:lpstr>
      <vt:lpstr>Equatorial</vt:lpstr>
      <vt:lpstr>Polar</vt:lpstr>
      <vt:lpstr>Horizontal</vt:lpstr>
      <vt:lpstr>Vertical</vt:lpstr>
      <vt:lpstr>General</vt:lpstr>
      <vt:lpstr>Bifilar</vt:lpstr>
      <vt:lpstr>VectorDial</vt:lpstr>
      <vt:lpstr>V_Polar</vt:lpstr>
      <vt:lpstr>V_Vertical</vt:lpstr>
      <vt:lpstr>V_Equatorial</vt:lpstr>
      <vt:lpstr>V_General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 Khiabani</dc:creator>
  <cp:lastModifiedBy>Amin Khiabani</cp:lastModifiedBy>
  <cp:lastPrinted>2022-08-16T04:33:40Z</cp:lastPrinted>
  <dcterms:created xsi:type="dcterms:W3CDTF">2021-09-08T08:25:56Z</dcterms:created>
  <dcterms:modified xsi:type="dcterms:W3CDTF">2022-10-28T15:02:43Z</dcterms:modified>
</cp:coreProperties>
</file>